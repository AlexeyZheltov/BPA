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WHelg\YandexDisk\Oleg\Coding\C#\BPA\BPA\"/>
    </mc:Choice>
  </mc:AlternateContent>
  <xr:revisionPtr revIDLastSave="0" documentId="13_ncr:1_{DE90031E-8572-4407-B996-220299D42960}" xr6:coauthVersionLast="45" xr6:coauthVersionMax="45" xr10:uidLastSave="{00000000-0000-0000-0000-000000000000}"/>
  <bookViews>
    <workbookView xWindow="-120" yWindow="-120" windowWidth="29040" windowHeight="15840" activeTab="7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N23" i="22" l="1"/>
  <c r="GN22" i="22"/>
  <c r="GN21" i="22"/>
  <c r="GN20" i="22"/>
  <c r="GN19" i="22"/>
  <c r="GN18" i="22"/>
  <c r="GN17" i="22"/>
  <c r="GN16" i="22"/>
  <c r="GN15" i="22"/>
  <c r="GN14" i="22"/>
  <c r="GN13" i="22"/>
  <c r="GN12" i="22"/>
  <c r="GN11" i="22"/>
  <c r="GN6" i="22"/>
  <c r="AW4" i="5" l="1"/>
  <c r="AW5" i="5"/>
  <c r="AW6" i="5"/>
  <c r="AW7" i="5"/>
  <c r="AW8" i="5"/>
  <c r="AW9" i="5"/>
  <c r="AW10" i="5"/>
  <c r="AW3" i="5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X3" i="5" l="1"/>
  <c r="AX4" i="5"/>
  <c r="AX5" i="5"/>
  <c r="AX6" i="5"/>
  <c r="AX7" i="5"/>
  <c r="AX8" i="5"/>
  <c r="AX9" i="5"/>
  <c r="AX10" i="5"/>
  <c r="AT1" i="5"/>
  <c r="AS9" i="5" l="1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<sst xmlns="http://schemas.openxmlformats.org/spreadsheetml/2006/main" count="3474" uniqueCount="1450">
  <si>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</si>
  <si>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</si>
  <si>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</si>
  <si>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</si>
  <si>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</si>
  <si>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</si>
  <si>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</si>
  <si>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</si>
  <si>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</si>
  <si>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</si>
  <si>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</si>
  <si>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</si>
  <si>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</si>
  <si>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</si>
  <si>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</si>
  <si>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</si>
  <si>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</si>
  <si>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</si>
  <si>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</si>
  <si>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</si>
  <si>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</si>
  <si>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</si>
  <si>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</si>
  <si>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</si>
  <si>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</si>
  <si>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</si>
  <si>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</si>
  <si>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</si>
  <si>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</si>
  <si>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</si>
  <si>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</si>
  <si>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</si>
  <si>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</si>
  <si>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</si>
  <si>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</si>
  <si>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</si>
  <si>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</si>
  <si>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</si>
  <si>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</si>
  <si>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</si>
  <si>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</si>
  <si>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</si>
  <si>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</si>
  <si>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</si>
  <si>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</si>
  <si>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</si>
  <si>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</si>
  <si>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</si>
  <si>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</si>
  <si>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</si>
  <si>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</si>
  <si>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</si>
  <si>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</si>
  <si>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</si>
  <si>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</si>
  <si>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</si>
  <si>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</si>
  <si>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</si>
  <si>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</si>
  <si>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</si>
  <si>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</si>
  <si>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</si>
  <si>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</si>
  <si>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</si>
  <si>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</si>
  <si>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</si>
  <si>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</si>
  <si>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</si>
  <si>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</si>
  <si>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</si>
  <si>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</si>
  <si>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</si>
  <si>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</si>
  <si>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</si>
  <si>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</si>
  <si>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</si>
  <si>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</si>
  <si>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</si>
  <si>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</si>
  <si>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</si>
  <si>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</si>
  <si>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</si>
  <si>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</si>
  <si>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</si>
  <si>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</si>
  <si>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</si>
  <si>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</si>
  <si>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</si>
  <si>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</si>
  <si>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</si>
  <si>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</si>
  <si>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</si>
  <si>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</si>
  <si>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</si>
  <si>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</si>
  <si>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</si>
  <si>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</si>
  <si>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</si>
  <si>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</si>
  <si>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</si>
  <si>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</si>
  <si>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</si>
  <si>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</si>
  <si>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</si>
  <si>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</si>
  <si>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</si>
  <si>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</si>
  <si>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</si>
  <si>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</si>
  <si>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</si>
  <si>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</si>
  <si>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</si>
  <si>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</si>
  <si>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</si>
  <si>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</si>
  <si>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</si>
  <si>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</si>
  <si>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</si>
  <si>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</si>
  <si>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</si>
  <si>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</si>
  <si>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</si>
  <si>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</si>
  <si>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</si>
  <si>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</si>
  <si>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</si>
  <si>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</si>
  <si>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</si>
  <si>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</si>
  <si>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</si>
  <si>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</si>
  <si>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</si>
  <si>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</si>
  <si>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</si>
  <si>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</si>
  <si>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</si>
  <si>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</si>
  <si>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</si>
  <si>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</si>
  <si>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</si>
  <si>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</si>
  <si>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</si>
  <si>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</si>
  <si>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</si>
  <si>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</si>
  <si>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</si>
  <si>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</si>
  <si>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</si>
  <si>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</si>
  <si>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</si>
  <si>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</si>
  <si>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</si>
  <si>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</si>
  <si>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</si>
  <si>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</si>
  <si>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</si>
  <si>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</si>
  <si>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</si>
  <si>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</si>
  <si>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</si>
  <si>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</si>
  <si>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</si>
  <si>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</si>
  <si>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</si>
  <si>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</si>
  <si>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</si>
  <si>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</si>
  <si>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</si>
  <si>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</si>
  <si>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</si>
  <si>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</si>
  <si>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</si>
  <si>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</si>
  <si>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</si>
  <si>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</si>
  <si>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</si>
  <si>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</si>
  <si>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</si>
  <si>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</si>
  <si>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</si>
  <si>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</si>
  <si>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</si>
  <si>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</si>
  <si>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</si>
  <si>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</si>
  <si>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</si>
  <si>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</si>
  <si>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</si>
  <si>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</si>
  <si>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</si>
  <si>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</si>
  <si>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</si>
  <si>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</si>
  <si>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</si>
  <si>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</si>
  <si>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</si>
  <si>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</si>
  <si>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</si>
  <si>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</si>
  <si>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</si>
  <si>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</si>
  <si>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</si>
  <si>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</si>
  <si>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</si>
  <si>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</si>
  <si>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</si>
  <si>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</si>
  <si>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</si>
  <si>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</si>
  <si>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</si>
  <si>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</si>
  <si>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</si>
  <si>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</si>
  <si>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</si>
  <si>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</si>
  <si>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</si>
  <si>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</si>
  <si>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</si>
  <si>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</si>
  <si>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</si>
  <si>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</si>
  <si>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</si>
  <si>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</si>
  <si>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</si>
  <si>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</si>
  <si>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</si>
  <si>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</si>
  <si>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</si>
  <si>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</si>
  <si>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</si>
  <si>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</si>
  <si>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</si>
  <si>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</si>
  <si>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</si>
  <si>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</si>
  <si>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</si>
  <si>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</si>
  <si>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</si>
  <si>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</si>
  <si>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</si>
  <si>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</si>
  <si>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</si>
  <si>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</si>
  <si>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</si>
  <si>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</si>
  <si>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</si>
  <si>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</si>
  <si>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</si>
  <si>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</si>
  <si>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</si>
  <si>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</si>
  <si>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</si>
  <si>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</si>
  <si>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</si>
  <si>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</si>
  <si>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</si>
  <si>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</si>
  <si>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</si>
  <si>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</si>
  <si>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</si>
  <si>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</si>
  <si>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</si>
  <si>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</si>
  <si>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</si>
  <si>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</si>
  <si>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</si>
  <si>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</si>
  <si>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</si>
  <si>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</si>
  <si>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</si>
  <si>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</si>
  <si>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</si>
  <si>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</si>
  <si>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</si>
  <si>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</si>
  <si>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</si>
  <si>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</si>
  <si>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</si>
  <si>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</si>
  <si>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</si>
  <si>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</si>
  <si>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</si>
  <si>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</si>
  <si>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</si>
  <si>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</si>
  <si>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</si>
  <si>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</si>
  <si>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</si>
  <si>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</si>
  <si>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</si>
  <si>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</si>
  <si>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</si>
  <si>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</si>
  <si>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</si>
  <si>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</si>
  <si>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</si>
  <si>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</si>
  <si>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</si>
  <si>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</si>
  <si>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</si>
  <si>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</si>
  <si>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</si>
  <si>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</si>
  <si>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</si>
  <si>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</si>
  <si>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</si>
  <si>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</si>
  <si>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</si>
  <si>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</si>
  <si>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</si>
  <si>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</si>
  <si>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</si>
  <si>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</si>
  <si>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</si>
  <si>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</si>
  <si>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</si>
  <si>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</si>
  <si>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</si>
  <si>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</si>
  <si>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</si>
  <si>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</si>
  <si>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</si>
  <si>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</si>
  <si>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</si>
  <si>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</si>
  <si>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</si>
  <si>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</si>
  <si>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</si>
  <si>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</si>
  <si>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</si>
  <si>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</si>
  <si>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</si>
  <si>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</si>
  <si>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</si>
  <si>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</si>
  <si>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</si>
  <si>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</si>
  <si>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</si>
  <si>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</si>
  <si>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</si>
  <si>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</si>
  <si>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</si>
  <si>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</si>
  <si>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</si>
  <si>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</si>
  <si>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</si>
  <si>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</si>
  <si>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</si>
  <si>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</si>
  <si>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</si>
  <si>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</si>
  <si>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</si>
  <si>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</si>
  <si>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</si>
  <si>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</si>
  <si>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</si>
  <si>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</si>
  <si>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</si>
  <si>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</si>
  <si>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</si>
  <si>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</si>
  <si>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</si>
  <si>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</si>
  <si>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</si>
  <si>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</si>
  <si>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</si>
  <si>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</si>
  <si>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</si>
  <si>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</si>
  <si>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</si>
  <si>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</si>
  <si>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</si>
  <si>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</si>
  <si>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</si>
  <si>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</si>
  <si>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</si>
  <si>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</si>
  <si>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</si>
  <si>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</si>
  <si>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</si>
  <si>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</si>
  <si>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</si>
  <si>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</si>
  <si>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</si>
  <si>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</si>
  <si>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</si>
  <si>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</si>
  <si>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</si>
  <si>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</si>
  <si>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</si>
  <si>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</si>
  <si>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</si>
  <si>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</si>
  <si>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</si>
  <si>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</si>
  <si>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</si>
  <si>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</si>
  <si>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</si>
  <si>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</si>
  <si>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</si>
  <si>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</si>
  <si>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</si>
  <si>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</si>
  <si>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</si>
  <si>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</si>
  <si>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</si>
  <si>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</si>
  <si>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</si>
  <si>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</si>
  <si>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</si>
  <si>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</si>
  <si>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</si>
  <si>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</si>
  <si>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</si>
  <si>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</si>
  <si>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</si>
  <si>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</si>
  <si>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</si>
  <si>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</si>
  <si>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</si>
  <si>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</si>
  <si>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</si>
  <si>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</si>
  <si>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</si>
  <si>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</si>
  <si>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</si>
  <si>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</si>
  <si>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</si>
  <si>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</si>
  <si>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</si>
  <si>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</si>
  <si>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</si>
  <si>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</si>
  <si>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</si>
  <si>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</si>
  <si>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</si>
  <si>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</si>
  <si>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</si>
  <si>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</si>
  <si>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</si>
  <si>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</si>
  <si>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</si>
  <si>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</si>
  <si>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</si>
  <si>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</si>
  <si>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</si>
  <si>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</si>
  <si>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</si>
  <si>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</si>
  <si>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</si>
  <si>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</si>
  <si>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</si>
  <si>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</si>
  <si>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</si>
  <si>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</si>
  <si>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</si>
  <si>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</si>
  <si>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</si>
  <si>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</si>
  <si>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</si>
  <si>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</si>
  <si>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</si>
  <si>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</si>
  <si>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</si>
  <si>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</si>
  <si>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</si>
  <si>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</si>
  <si>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</si>
  <si>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</si>
  <si>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</si>
  <si>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</si>
  <si>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</si>
  <si>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</si>
  <si>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</si>
  <si>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</si>
  <si>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</si>
  <si>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</si>
  <si>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</si>
  <si>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</si>
  <si>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</si>
  <si>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</si>
  <si>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</si>
  <si>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</si>
  <si>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</si>
  <si>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</si>
  <si>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</si>
  <si>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</si>
  <si>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</si>
  <si>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</si>
  <si>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</si>
  <si>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</si>
  <si>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</si>
  <si>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</si>
  <si>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</si>
  <si>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</si>
  <si>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</si>
  <si>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</si>
  <si>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</si>
  <si>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</si>
  <si>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</si>
  <si>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</si>
  <si>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</si>
  <si>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</si>
  <si>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</si>
  <si>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</si>
  <si>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</si>
  <si>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</si>
  <si>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</si>
  <si>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</si>
  <si>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</si>
  <si>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</si>
  <si>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</si>
  <si>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</si>
  <si>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</si>
  <si>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</si>
  <si>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</si>
  <si>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</si>
  <si>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</si>
  <si>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</si>
  <si>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</si>
  <si>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</si>
  <si>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</si>
  <si>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</si>
  <si>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</si>
  <si>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</si>
  <si>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</si>
  <si>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</si>
  <si>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</si>
  <si>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</si>
  <si>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</si>
  <si>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</si>
  <si>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</si>
  <si>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</si>
  <si>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</si>
  <si>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</si>
  <si>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</si>
  <si>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</si>
  <si>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</si>
  <si>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</si>
  <si>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</si>
  <si>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</si>
  <si>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</si>
  <si>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</si>
  <si>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</si>
  <si>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</si>
  <si>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</si>
  <si>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</si>
  <si>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</si>
  <si>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</si>
  <si>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</si>
  <si>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</si>
  <si>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</si>
  <si>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</si>
  <si>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</si>
  <si>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</si>
  <si>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</si>
  <si>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</si>
  <si>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</si>
  <si>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</si>
  <si>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</si>
  <si>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</si>
  <si>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</si>
  <si>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</si>
  <si>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</si>
  <si>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</si>
  <si>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</si>
  <si>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</si>
  <si>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</si>
  <si>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</si>
  <si>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</si>
  <si>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</si>
  <si>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</si>
  <si>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</si>
  <si>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</si>
  <si>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</si>
  <si>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</si>
  <si>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</si>
  <si>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</si>
  <si>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</si>
  <si>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</si>
  <si>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</si>
  <si>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</si>
  <si>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</si>
  <si>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</si>
  <si>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</si>
  <si>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</si>
  <si>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</si>
  <si>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</si>
  <si>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</si>
  <si>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</si>
  <si>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</si>
  <si>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</si>
  <si>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</si>
  <si>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</si>
  <si>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</si>
  <si>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</si>
  <si>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</si>
  <si>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</si>
  <si>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</si>
  <si>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</si>
  <si>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</si>
  <si>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</si>
  <si>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</si>
  <si>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</si>
  <si>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</si>
  <si>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</si>
  <si>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</si>
  <si>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</si>
  <si>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</si>
  <si>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</si>
  <si>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</si>
  <si>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</si>
  <si>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</si>
  <si>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</si>
  <si>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</si>
  <si>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</si>
  <si>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</si>
  <si>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</si>
  <si>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</si>
  <si>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</si>
  <si>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</si>
  <si>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</si>
  <si>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</si>
  <si>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</si>
  <si>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</si>
  <si>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</si>
  <si>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</si>
  <si>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</si>
  <si>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</si>
  <si>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</si>
  <si>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</si>
  <si>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</si>
  <si>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</si>
  <si>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</si>
  <si>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</si>
  <si>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</si>
  <si>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</si>
  <si>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</si>
  <si>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</si>
  <si>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</si>
  <si>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</si>
  <si>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</si>
  <si>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</si>
  <si>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</si>
  <si>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</si>
  <si>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</si>
  <si>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</si>
  <si>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</si>
  <si>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</si>
  <si>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</si>
  <si>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</si>
  <si>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</si>
  <si>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</si>
  <si>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</si>
  <si>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</si>
  <si>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</si>
  <si>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</si>
  <si>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</si>
  <si>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</si>
  <si>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</si>
  <si>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</si>
  <si>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</si>
  <si>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</si>
  <si>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</si>
  <si>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</si>
  <si>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</si>
  <si>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</si>
  <si>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</si>
  <si>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</si>
  <si>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</si>
  <si>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</si>
  <si>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</si>
  <si>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</si>
  <si>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</si>
  <si>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</si>
  <si>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</si>
  <si>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</si>
  <si>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</si>
  <si>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</si>
  <si>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</si>
  <si>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</si>
  <si>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</si>
  <si>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</si>
  <si>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</si>
  <si>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</si>
  <si>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</si>
  <si>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</si>
  <si>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</si>
  <si>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</si>
  <si>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</si>
  <si>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</si>
  <si>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</si>
  <si>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</si>
  <si>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</si>
  <si>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</si>
  <si>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</si>
  <si>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</si>
  <si>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</si>
  <si>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</si>
  <si>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</si>
  <si>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</si>
  <si>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</si>
  <si>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</si>
  <si>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</si>
  <si>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</si>
  <si>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</si>
  <si>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</si>
  <si>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</si>
  <si>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</si>
  <si>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</si>
  <si>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</si>
  <si>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</si>
  <si>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</si>
  <si>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</si>
  <si>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</si>
  <si>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</si>
  <si>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</si>
  <si>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</si>
  <si>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</si>
  <si>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</si>
  <si>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</si>
  <si>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</si>
  <si>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</si>
  <si>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</si>
  <si>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</si>
  <si>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</si>
  <si>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</si>
  <si>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</si>
  <si>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</si>
  <si>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</si>
  <si>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</si>
  <si>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</si>
  <si>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</si>
  <si>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</si>
  <si>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</si>
  <si>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</si>
  <si>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</si>
  <si>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</si>
  <si>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</si>
  <si>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</si>
  <si>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</si>
  <si>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</si>
  <si>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</si>
  <si>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</si>
  <si>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</si>
  <si>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</si>
  <si>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</si>
  <si>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</si>
  <si>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</si>
  <si>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</si>
  <si>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</si>
  <si>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</si>
  <si>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</si>
  <si>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</si>
  <si>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</si>
  <si>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</si>
  <si>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</si>
  <si>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</si>
  <si>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</si>
  <si>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</si>
  <si>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</si>
  <si>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</si>
  <si>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</si>
  <si>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</si>
  <si>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</si>
  <si>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</si>
  <si>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</si>
  <si>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</si>
  <si>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</si>
  <si>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</si>
  <si>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</si>
  <si>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</si>
  <si>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</si>
  <si>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</si>
  <si>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</si>
  <si>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</si>
  <si>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</si>
  <si>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</si>
  <si>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</si>
  <si>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</si>
  <si>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</si>
  <si>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</si>
  <si>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</si>
  <si>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</si>
  <si>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</si>
  <si>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</si>
  <si>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</si>
  <si>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</si>
  <si>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</si>
  <si>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</si>
  <si>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</si>
  <si>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</si>
  <si>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</si>
  <si>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</si>
  <si>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</si>
  <si>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</si>
  <si>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</si>
  <si>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</si>
  <si>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</si>
  <si>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</si>
  <si>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</si>
  <si>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</si>
  <si>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</si>
  <si>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</si>
  <si>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</si>
  <si>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</si>
  <si>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</si>
  <si>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</si>
  <si>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</si>
  <si>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</si>
  <si>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</si>
  <si>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</si>
  <si>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</si>
  <si>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</si>
  <si>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</si>
  <si>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</si>
  <si>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</si>
  <si>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</si>
  <si>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</si>
  <si>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</si>
  <si>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</si>
  <si>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</si>
  <si>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</si>
  <si>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</si>
  <si>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</si>
  <si>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</si>
  <si>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</si>
  <si>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</si>
  <si>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</si>
  <si>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</si>
  <si>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</si>
  <si>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</si>
  <si>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</si>
  <si>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</si>
  <si>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</si>
  <si>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</si>
  <si>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</si>
  <si>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</si>
  <si>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</si>
  <si>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</si>
  <si>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</si>
  <si>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</si>
  <si>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</si>
  <si>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</si>
  <si>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</si>
  <si>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</si>
  <si>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</si>
  <si>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</si>
  <si>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</si>
  <si>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</si>
  <si>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</si>
  <si>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</si>
  <si>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</si>
  <si>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</si>
  <si>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</si>
  <si>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</si>
  <si>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</si>
  <si>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</si>
  <si>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</si>
  <si>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</si>
  <si>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</si>
  <si>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</si>
  <si>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</si>
  <si>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</si>
  <si>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</si>
  <si>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</si>
  <si>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</si>
  <si>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</si>
  <si>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</si>
  <si>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</si>
  <si>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</si>
  <si>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</si>
  <si>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</si>
  <si>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</si>
  <si>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</si>
  <si>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</si>
  <si>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</si>
  <si>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</si>
  <si>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</si>
  <si>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</si>
  <si>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</si>
  <si>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</si>
  <si>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</si>
  <si>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</si>
  <si>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</si>
  <si>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</si>
  <si>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</si>
  <si>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</si>
  <si>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</si>
  <si>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</si>
  <si>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</si>
  <si>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</si>
  <si>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</si>
  <si>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</si>
  <si>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</si>
  <si>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</si>
  <si>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</si>
  <si>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</si>
  <si>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</si>
  <si>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</si>
  <si>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</si>
  <si>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</si>
  <si>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</si>
  <si>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</si>
  <si>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</si>
  <si>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</si>
  <si>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</si>
  <si>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</si>
  <si>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</si>
  <si>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</si>
  <si>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</si>
  <si>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</si>
  <si>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</si>
  <si>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</si>
  <si>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</si>
  <si>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</si>
  <si>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</si>
  <si>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</si>
  <si>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</si>
  <si>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</si>
  <si>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</si>
  <si>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</si>
  <si>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</si>
  <si>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</si>
  <si>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</si>
  <si>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</si>
  <si>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</si>
  <si>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</si>
  <si>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</si>
  <si>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</si>
  <si>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</si>
  <si>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</si>
  <si>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</si>
  <si>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</si>
  <si>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</si>
  <si>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</si>
  <si>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</si>
  <si>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</si>
  <si>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</si>
  <si>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</si>
  <si>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</si>
  <si>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</si>
  <si>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</si>
  <si>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</si>
  <si>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</si>
  <si>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</si>
  <si>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</si>
  <si>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</si>
  <si>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</si>
  <si>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</si>
  <si>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</si>
  <si>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</si>
  <si>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</si>
  <si>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</si>
  <si>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</si>
  <si>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</si>
  <si>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</si>
  <si>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</si>
  <si>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</si>
  <si>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</si>
  <si>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</si>
  <si>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</si>
  <si>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</si>
  <si>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</si>
  <si>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</si>
  <si>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</si>
  <si>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</si>
  <si>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</si>
  <si>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</si>
  <si>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</si>
  <si>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</si>
  <si>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</si>
  <si>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</si>
  <si>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</si>
  <si>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</si>
  <si>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</si>
  <si>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</si>
  <si>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</si>
  <si>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</si>
  <si>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</si>
  <si>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</si>
  <si>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</si>
  <si>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</si>
  <si>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</si>
  <si>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</si>
  <si>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</si>
  <si>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</si>
  <si>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</si>
  <si>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</si>
  <si>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</si>
  <si>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</si>
  <si>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</si>
  <si>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</si>
  <si>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</si>
  <si>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</si>
  <si>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</si>
  <si>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</si>
  <si>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</si>
  <si>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</si>
  <si>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</si>
  <si>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</si>
  <si>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</si>
  <si>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</si>
  <si>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</si>
  <si>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</si>
  <si>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</si>
  <si>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</si>
  <si>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</si>
  <si>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</si>
  <si>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</si>
  <si>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</si>
  <si>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</si>
  <si>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</si>
  <si>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</si>
  <si>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</si>
  <si>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</si>
  <si>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</si>
  <si>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</si>
  <si>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</si>
  <si>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</si>
  <si>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</si>
  <si>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</si>
  <si>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</si>
  <si>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</si>
  <si>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</si>
  <si>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</si>
  <si>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</si>
  <si>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</si>
  <si>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</si>
  <si>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</si>
  <si>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</si>
  <si>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</si>
  <si>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</si>
  <si>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</si>
  <si>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</si>
  <si>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</si>
  <si>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</si>
  <si>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</si>
  <si>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</si>
  <si>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</si>
  <si>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</si>
  <si>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</si>
  <si>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</si>
  <si>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</si>
  <si>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</si>
  <si>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</si>
  <si>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</si>
  <si>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</si>
  <si>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</si>
  <si>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</si>
  <si>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</si>
  <si>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</si>
  <si>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</si>
  <si>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</si>
  <si>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</si>
  <si>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</si>
  <si>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</si>
  <si>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</si>
  <si>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</si>
  <si>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</si>
  <si>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</si>
  <si>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</si>
  <si>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</si>
  <si>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</si>
  <si>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</si>
  <si>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</si>
  <si>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</si>
  <si>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</si>
  <si>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</si>
  <si>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</si>
  <si>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</si>
  <si>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</si>
  <si>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</si>
  <si>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</si>
  <si>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</si>
  <si>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</si>
  <si>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</si>
  <si>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</si>
  <si>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</si>
  <si>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</si>
  <si>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</si>
  <si>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</si>
  <si>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</si>
  <si>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</si>
  <si>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</si>
  <si>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</si>
  <si>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</si>
  <si>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</si>
  <si>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</si>
  <si>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</si>
  <si>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</si>
  <si>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</si>
  <si>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</si>
  <si>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</si>
  <si>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</si>
  <si>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</si>
  <si>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</si>
  <si>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</si>
  <si>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</si>
  <si>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</si>
  <si>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</si>
  <si>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</si>
  <si>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</si>
  <si>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</si>
  <si>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</si>
  <si>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</si>
  <si>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</si>
  <si>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</si>
  <si>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</si>
  <si>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</si>
  <si>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</si>
  <si>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</si>
  <si>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</si>
  <si>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</si>
  <si>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</si>
  <si>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</si>
  <si>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</si>
  <si>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</si>
  <si>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</si>
  <si>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</si>
  <si>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</si>
  <si>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</si>
  <si>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</si>
  <si>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</si>
  <si>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</si>
  <si>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</si>
  <si>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</si>
  <si>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</si>
  <si>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</si>
  <si>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</si>
  <si>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</si>
  <si>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</si>
  <si>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</si>
  <si>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</si>
  <si>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</si>
  <si>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</si>
  <si>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</si>
  <si>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</si>
  <si>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</si>
  <si>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</si>
  <si>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</si>
  <si>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</si>
  <si>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</si>
  <si>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</si>
  <si>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</si>
  <si>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</si>
  <si>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</si>
  <si>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</si>
  <si>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</si>
  <si>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</si>
  <si>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</si>
  <si>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</si>
  <si>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</si>
  <si>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</si>
  <si>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</si>
  <si>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</si>
  <si>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</si>
  <si>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</si>
  <si>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</si>
  <si>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</si>
  <si>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</si>
  <si>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</si>
  <si>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</si>
  <si>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</si>
  <si>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</si>
  <si>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</si>
  <si>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</si>
  <si>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</si>
  <si>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</si>
  <si>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</si>
  <si>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</si>
  <si>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</si>
  <si>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</si>
  <si>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</si>
  <si>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</si>
  <si>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</si>
  <si>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</si>
  <si>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</si>
  <si>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</si>
  <si>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</si>
  <si>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</si>
  <si>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</si>
  <si>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</si>
  <si>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</si>
  <si>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</si>
  <si>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</si>
  <si>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</si>
  <si>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</si>
  <si>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</si>
  <si>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</si>
  <si>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</si>
  <si>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</si>
  <si>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</si>
  <si>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</si>
  <si>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</si>
  <si>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</si>
  <si>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</si>
  <si>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</si>
  <si>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</si>
  <si>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</si>
  <si>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</si>
  <si>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</si>
  <si>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</si>
  <si>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</si>
  <si>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</si>
  <si>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</si>
  <si>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</si>
  <si>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</si>
  <si>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</si>
  <si>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</si>
  <si>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</si>
  <si>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</si>
  <si>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</si>
  <si>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</si>
  <si>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</si>
  <si>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</si>
  <si>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</si>
  <si>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</si>
  <si>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</si>
  <si>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</si>
  <si>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</si>
  <si>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</si>
  <si>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</si>
  <si>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</si>
  <si>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</si>
  <si>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</si>
  <si>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</si>
  <si>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</si>
  <si>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</si>
  <si>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</si>
  <si>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</si>
  <si>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</si>
  <si>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</si>
  <si>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</si>
  <si>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</si>
  <si>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</si>
  <si>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</si>
  <si>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</si>
  <si>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</si>
  <si>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</si>
  <si>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</si>
  <si>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</si>
  <si>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</si>
  <si>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</si>
  <si>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</si>
  <si>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</si>
  <si>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</si>
  <si>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</si>
  <si>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</si>
  <si>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</si>
  <si>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</si>
  <si>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</si>
  <si>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</si>
  <si>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</si>
  <si>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</si>
  <si>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</si>
  <si>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</si>
  <si>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</si>
  <si>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PricelistPriceTotal умножить на количество</t>
  </si>
  <si>
    <t>штуки умножить на price list</t>
  </si>
  <si>
    <t>PricelistPriceTotal умножить на количество минус Bonus</t>
  </si>
  <si>
    <t>берем GS - процент годового бонуса (столбец С)</t>
  </si>
  <si>
    <t>Заполнить вручную</t>
  </si>
  <si>
    <t>штуки умножить на промо price list столбец EK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</si>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</sst>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98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10" xfId="3" applyFont="1" applyFill="1" applyBorder="1" applyAlignment="1">
      <alignment horizontal="center" vertical="top" wrapText="1"/>
    </xf>
    <xf numFmtId="0" fontId="8" fillId="0" borderId="0" xfId="3" applyAlignment="1">
      <alignment horizontal="center" vertical="top" wrapText="1"/>
    </xf>
    <xf numFmtId="0" fontId="1" fillId="7" borderId="11" xfId="3" applyFont="1" applyFill="1" applyBorder="1" applyAlignment="1">
      <alignment horizontal="center" vertical="top" wrapText="1"/>
    </xf>
    <xf numFmtId="0" fontId="1" fillId="8" borderId="5" xfId="3" applyFont="1" applyFill="1" applyBorder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9" fontId="1" fillId="7" borderId="0" xfId="3" applyNumberFormat="1" applyFont="1" applyFill="1" applyAlignment="1">
      <alignment horizontal="center" vertical="top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271"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270" dataDxfId="269">
  <autoFilter ref="A2:AX10" xr:uid="{6B7FED29-D1EF-44AD-8CEA-6B36EA57CFDF}"/>
  <tableColumns count="50">
    <tableColumn id="20" xr3:uid="{F0834113-79EB-4DC4-BB50-96E4D3BC9E62}" name="№" dataDxfId="268"/>
    <tableColumn id="1" xr3:uid="{00000000-0010-0000-0300-000001000000}" name="Категория для прайс-листа диллеров" dataDxfId="267"/>
    <tableColumn id="2" xr3:uid="{00000000-0010-0000-0300-000002000000}" name="Суперкатегория (ENG)" dataDxfId="266"/>
    <tableColumn id="3" xr3:uid="{00000000-0010-0000-0300-000003000000}" name="Суперкатегория (RUS)" dataDxfId="265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264"/>
    <tableColumn id="5" xr3:uid="{00000000-0010-0000-0300-000005000000}" name="Название продукт группы (ENG)" dataDxfId="263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262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261"/>
    <tableColumn id="8" xr3:uid="{00000000-0010-0000-0300-000008000000}" name="Generic Name (long)" dataDxfId="260"/>
    <tableColumn id="9" xr3:uid="{00000000-0010-0000-0300-000009000000}" name="Model" dataDxfId="259"/>
    <tableColumn id="10" xr3:uid="{00000000-0010-0000-0300-00000A000000}" name="PNS" dataDxfId="258"/>
    <tableColumn id="11" xr3:uid="{00000000-0010-0000-0300-00000B000000}" name="Артикул" dataDxfId="257"/>
    <tableColumn id="12" xr3:uid="{00000000-0010-0000-0300-00000C000000}" name="Артикул предшественника (если есть)" dataDxfId="256"/>
    <tableColumn id="13" xr3:uid="{00000000-0010-0000-0300-00000D000000}" name="Название артикула (ENG)" dataDxfId="255"/>
    <tableColumn id="14" xr3:uid="{00000000-0010-0000-0300-00000E000000}" name="Название артикула (RUS)" dataDxfId="254"/>
    <tableColumn id="15" xr3:uid="{00000000-0010-0000-0300-00000F000000}" name="Используемый календарь" dataDxfId="253"/>
    <tableColumn id="21" xr3:uid="{22E1A367-1EE8-43BC-814E-457CB0799CE2}" name="to be sold in" dataDxfId="252"/>
    <tableColumn id="22" xr3:uid="{96D0E354-E4F0-4C0D-A215-B5053EDC93D3}" name="Sales Start Date" dataDxfId="251"/>
    <tableColumn id="23" xr3:uid="{8E8FA46F-C4EA-4B11-9002-6C2FB1732F50}" name="Preliminary Elimination Date" dataDxfId="250"/>
    <tableColumn id="24" xr3:uid="{1CD4DFA3-524A-4B3F-B75B-153436EC8505}" name="Elimination Date" dataDxfId="249"/>
    <tableColumn id="25" xr3:uid="{9E91402A-0829-46E3-BCAD-2B3FBD67E8B4}" name="GTIN-13/EAN" dataDxfId="248"/>
    <tableColumn id="26" xr3:uid="{6D670FEE-0EE3-4984-AE03-EE53C5B4F796}" name="Current Producing Factory Entity Reference" dataDxfId="247"/>
    <tableColumn id="27" xr3:uid="{5EE7ABD6-FDA4-4488-802E-A3E44391980C}" name="Country of Origin" dataDxfId="246"/>
    <tableColumn id="28" xr3:uid="{9B515A88-1ED3-4508-B5E0-8006888F9EC2}" name="Unit of measure" dataDxfId="245"/>
    <tableColumn id="29" xr3:uid="{87BE889F-2ABE-4DA6-8E30-3420049514D6}" name="Quantity in Master pack" dataDxfId="244"/>
    <tableColumn id="30" xr3:uid="{47EEE49F-81B7-4FCC-B374-69DEC03ECE66}" name="Article gross weight, preliminary" dataDxfId="243"/>
    <tableColumn id="31" xr3:uid="{EFEF2C58-568B-4F24-9FA2-6034A66D278C}" name="Article gross weight" dataDxfId="242"/>
    <tableColumn id="32" xr3:uid="{D9BFC098-81CC-44FD-9FDE-FE6F58BB8BD6}" name="Article net weight, preliminary" dataDxfId="241"/>
    <tableColumn id="33" xr3:uid="{C47E9D47-775F-4F97-AD61-45CFFC8D6D30}" name="Article net weight" dataDxfId="240"/>
    <tableColumn id="34" xr3:uid="{8FDF5358-549B-4DBC-B8D0-CFC371276F4D}" name="Packaging length" dataDxfId="239"/>
    <tableColumn id="35" xr3:uid="{6E69E3B5-4350-4ABB-89BF-8A6BD2DC4947}" name="Packaging width" dataDxfId="238"/>
    <tableColumn id="36" xr3:uid="{96879B4C-6D27-4389-8B5A-11E1CBC022EA}" name="Packaging height" dataDxfId="237"/>
    <tableColumn id="37" xr3:uid="{170F61C0-2069-494A-A33C-F39311F5A9C7}" name="Packaging volume" dataDxfId="236"/>
    <tableColumn id="38" xr3:uid="{5E3DED34-6BEE-4E8A-AFB4-2CACE6CD1835}" name="Product size length" dataDxfId="235"/>
    <tableColumn id="39" xr3:uid="{FF80A301-50E2-4D81-BB7D-1EE251460E5A}" name="Product size height" dataDxfId="234"/>
    <tableColumn id="40" xr3:uid="{37BA004B-7442-4871-93EF-B13A77E1A917}" name="Product size width" dataDxfId="233"/>
    <tableColumn id="41" xr3:uid="{9C4077D9-3E18-4C57-A4FE-24EC817418FB}" name="Units Per Pallet" dataDxfId="232"/>
    <tableColumn id="16" xr3:uid="{00000000-0010-0000-0300-000010000000}" name="Статус" dataDxfId="231"/>
    <tableColumn id="17" xr3:uid="{00000000-0010-0000-0300-000011000000}" name="Эксклюзив клиента или канала продажи" dataDxfId="230"/>
    <tableColumn id="18" xr3:uid="{00000000-0010-0000-0300-000012000000}" name="Локальный сертификат" dataDxfId="229"/>
    <tableColumn id="43" xr3:uid="{F395E6EB-A30D-4A38-AB3A-7536C9D93B73}" name="IRP, Eur" dataDxfId="228"/>
    <tableColumn id="42" xr3:uid="{05ED5D32-E5CB-4A2F-932D-7E4E79D8C3DB}" name="РРЦ текущий" dataDxfId="227"/>
    <tableColumn id="19" xr3:uid="{942DBC0D-E4D1-4CAE-964C-D4023A4F222C}" name="DIY текущий" dataDxfId="226"/>
    <tableColumn id="44" xr3:uid="{B34018FA-361B-4D7A-BB24-F38CB52B40FF}" name="Процент повышения РРЦ" dataDxfId="225"/>
    <tableColumn id="45" xr3:uid="{74423DE5-1814-4A91-B002-871E2E69DACF}" name="РРЦ расчетная, руб." dataDxfId="224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223"/>
    <tableColumn id="49" xr3:uid="{9DFD32D8-20F7-44F2-9EFD-A1D48FECC173}" name="РРЦ, евро" dataDxfId="222">
      <calculatedColumnFormula>ROUND(Товары[[#This Row],[РРЦ финальная, руб.]]/$AT$1,2)</calculatedColumnFormula>
    </tableColumn>
    <tableColumn id="47" xr3:uid="{274477BF-6DA6-42C0-8813-165D8A99D45E}" name="Индекс IRP" dataDxfId="221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220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219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218" dataDxfId="217">
  <autoFilter ref="A1:H440" xr:uid="{00000000-0009-0000-0100-00000D000000}"/>
  <tableColumns count="8">
    <tableColumn id="8" xr3:uid="{E2D1A163-1F1A-4C5F-BF19-12C204A54D1C}" name="№" dataDxfId="216"/>
    <tableColumn id="1" xr3:uid="{00000000-0010-0000-0A00-000001000000}" name="GardenaChannel" dataDxfId="215"/>
    <tableColumn id="2" xr3:uid="{00000000-0010-0000-0A00-000002000000}" name="Customer" dataDxfId="214"/>
    <tableColumn id="3" xr3:uid="{00000000-0010-0000-0A00-000003000000}" name="Channel type" dataDxfId="213"/>
    <tableColumn id="4" xr3:uid="{00000000-0010-0000-0A00-000004000000}" name="Customer status" dataDxfId="212"/>
    <tableColumn id="5" xr3:uid="{00000000-0010-0000-0A00-000005000000}" name="Sales manager" dataDxfId="211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210"/>
    <tableColumn id="7" xr3:uid="{00000000-0010-0000-0A00-000007000000}" name="CustomerBudget" dataDxfId="20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208">
  <autoFilter ref="A1:K2" xr:uid="{00000000-0009-0000-0100-00000F000000}"/>
  <tableColumns count="11">
    <tableColumn id="11" xr3:uid="{F724774D-6E5F-421B-8A8A-7AD1541FFA21}" name="№" dataDxfId="207"/>
    <tableColumn id="1" xr3:uid="{00000000-0010-0000-0C00-000001000000}" name="Channel type" dataDxfId="206"/>
    <tableColumn id="2" xr3:uid="{00000000-0010-0000-0C00-000002000000}" name="Customer status" dataDxfId="205"/>
    <tableColumn id="3" xr3:uid="{00000000-0010-0000-0C00-000003000000}" name="Период" dataDxfId="204"/>
    <tableColumn id="4" xr3:uid="{00000000-0010-0000-0C00-000004000000}" name="Оборудование для полива" dataDxfId="203"/>
    <tableColumn id="5" xr3:uid="{00000000-0010-0000-0C00-000005000000}" name="Электрика (Готовая продукция)" dataDxfId="202"/>
    <tableColumn id="6" xr3:uid="{00000000-0010-0000-0C00-000006000000}" name="Газонокосилки-роботы" dataDxfId="201"/>
    <tableColumn id="7" xr3:uid="{00000000-0010-0000-0C00-000007000000}" name="Насосное оборудование" dataDxfId="200"/>
    <tableColumn id="8" xr3:uid="{00000000-0010-0000-0C00-000008000000}" name="Ручные и режущие инструменты" dataDxfId="199"/>
    <tableColumn id="9" xr3:uid="{00000000-0010-0000-0C00-000009000000}" name="Зимние инструменты ClassicLine" dataDxfId="198"/>
    <tableColumn id="10" xr3:uid="{00000000-0010-0000-0C00-00000A000000}" name="Максимальный годовой бонус" dataDxfId="19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196" headerRowBorderDxfId="195" tableBorderDxfId="194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193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9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91"/>
    <tableColumn id="2" xr3:uid="{00000000-0010-0000-0700-000002000000}" name="SubGroup" dataDxfId="190"/>
    <tableColumn id="3" xr3:uid="{00000000-0010-0000-0700-000003000000}" name="Процент от РРЦ, без НДС" dataDxfId="189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88">
  <tableColumns count="121">
    <tableColumn id="1" xr3:uid="{00000000-0010-0000-0D00-000001000000}" name="ID" dataDxfId="187"/>
    <tableColumn id="2" xr3:uid="{00000000-0010-0000-0D00-000002000000}" name="Channel type" dataDxfId="186"/>
    <tableColumn id="3" xr3:uid="{00000000-0010-0000-0D00-000003000000}" name="Customer status" dataDxfId="185"/>
    <tableColumn id="4" xr3:uid="{00000000-0010-0000-0D00-000004000000}" name="Дата прогноза" dataDxfId="184"/>
    <tableColumn id="5" xr3:uid="{00000000-0010-0000-0D00-000005000000}" name="Данные справочника товаров"/>
    <tableColumn id="6" xr3:uid="{00000000-0010-0000-0D00-000006000000}" name="STK 2.5, руб." dataDxfId="183"/>
    <tableColumn id="7" xr3:uid="{00000000-0010-0000-0D00-000007000000}" name="IRP, Eur" dataDxfId="182"/>
    <tableColumn id="8" xr3:uid="{00000000-0010-0000-0D00-000008000000}" name="РРЦ, руб.с НДС" dataDxfId="181"/>
    <tableColumn id="9" xr3:uid="{00000000-0010-0000-0D00-000009000000}" name="Индекс IRP" dataDxfId="180"/>
    <tableColumn id="10" xr3:uid="{00000000-0010-0000-0D00-00000A000000}" name="DIY price list, руб. без НДС" dataDxfId="179"/>
    <tableColumn id="11" xr3:uid="{00000000-0010-0000-0D00-00000B000000}" name="2 net цена, руб." dataDxfId="178"/>
    <tableColumn id="12" xr3:uid="{00000000-0010-0000-0D00-00000C000000}" name="3 net цена, руб." dataDxfId="177"/>
    <tableColumn id="13" xr3:uid="{00000000-0010-0000-0D00-00000D000000}" name="Transfer цена, руб." dataDxfId="176"/>
    <tableColumn id="14" xr3:uid="{00000000-0010-0000-0D00-00000E000000}" name="Price-list январь" dataDxfId="175"/>
    <tableColumn id="15" xr3:uid="{00000000-0010-0000-0D00-00000F000000}" name="Price-list февраль" dataDxfId="174"/>
    <tableColumn id="16" xr3:uid="{00000000-0010-0000-0D00-000010000000}" name="Price-list март" dataDxfId="173"/>
    <tableColumn id="17" xr3:uid="{00000000-0010-0000-0D00-000011000000}" name="Price-list апрель" dataDxfId="172"/>
    <tableColumn id="18" xr3:uid="{00000000-0010-0000-0D00-000012000000}" name="Price-list май" dataDxfId="171"/>
    <tableColumn id="19" xr3:uid="{00000000-0010-0000-0D00-000013000000}" name="Price-list июнь" dataDxfId="170"/>
    <tableColumn id="20" xr3:uid="{00000000-0010-0000-0D00-000014000000}" name="Price-list июль" dataDxfId="169"/>
    <tableColumn id="21" xr3:uid="{00000000-0010-0000-0D00-000015000000}" name="Price-list август" dataDxfId="168"/>
    <tableColumn id="22" xr3:uid="{00000000-0010-0000-0D00-000016000000}" name="Price-list сентябрь" dataDxfId="167"/>
    <tableColumn id="23" xr3:uid="{00000000-0010-0000-0D00-000017000000}" name="Price-list октябрь" dataDxfId="166"/>
    <tableColumn id="24" xr3:uid="{00000000-0010-0000-0D00-000018000000}" name="Price-list ноябрь" dataDxfId="165"/>
    <tableColumn id="25" xr3:uid="{00000000-0010-0000-0D00-000019000000}" name="Price-list декабрь" dataDxfId="164"/>
    <tableColumn id="26" xr3:uid="{00000000-0010-0000-0D00-00001A000000}" name="Объем продаж январь" dataDxfId="163"/>
    <tableColumn id="27" xr3:uid="{00000000-0010-0000-0D00-00001B000000}" name="Объем продаж февраль" dataDxfId="162"/>
    <tableColumn id="28" xr3:uid="{00000000-0010-0000-0D00-00001C000000}" name="Объем продаж март" dataDxfId="161"/>
    <tableColumn id="29" xr3:uid="{00000000-0010-0000-0D00-00001D000000}" name="Объем продаж апрель" dataDxfId="160"/>
    <tableColumn id="30" xr3:uid="{00000000-0010-0000-0D00-00001E000000}" name="Объем продаж май" dataDxfId="159"/>
    <tableColumn id="31" xr3:uid="{00000000-0010-0000-0D00-00001F000000}" name="Объем продаж июнь" dataDxfId="158"/>
    <tableColumn id="32" xr3:uid="{00000000-0010-0000-0D00-000020000000}" name="Объем продаж июль" dataDxfId="157"/>
    <tableColumn id="33" xr3:uid="{00000000-0010-0000-0D00-000021000000}" name="Объем продаж август" dataDxfId="156"/>
    <tableColumn id="34" xr3:uid="{00000000-0010-0000-0D00-000022000000}" name="Объем продаж сентябрь" dataDxfId="155"/>
    <tableColumn id="35" xr3:uid="{00000000-0010-0000-0D00-000023000000}" name="Объем продаж октябрь" dataDxfId="154"/>
    <tableColumn id="36" xr3:uid="{00000000-0010-0000-0D00-000024000000}" name="Объем продаж ноябрь" dataDxfId="153"/>
    <tableColumn id="37" xr3:uid="{00000000-0010-0000-0D00-000025000000}" name="Объем продаж декабрь" dataDxfId="152"/>
    <tableColumn id="38" xr3:uid="{00000000-0010-0000-0D00-000026000000}" name="GS январь" dataDxfId="151"/>
    <tableColumn id="39" xr3:uid="{00000000-0010-0000-0D00-000027000000}" name="GS февраль" dataDxfId="150"/>
    <tableColumn id="40" xr3:uid="{00000000-0010-0000-0D00-000028000000}" name="GS март" dataDxfId="149"/>
    <tableColumn id="41" xr3:uid="{00000000-0010-0000-0D00-000029000000}" name="GS апрель" dataDxfId="148"/>
    <tableColumn id="42" xr3:uid="{00000000-0010-0000-0D00-00002A000000}" name="GS май" dataDxfId="147"/>
    <tableColumn id="43" xr3:uid="{00000000-0010-0000-0D00-00002B000000}" name="GS июнь" dataDxfId="146"/>
    <tableColumn id="44" xr3:uid="{00000000-0010-0000-0D00-00002C000000}" name="GS июль" dataDxfId="145"/>
    <tableColumn id="45" xr3:uid="{00000000-0010-0000-0D00-00002D000000}" name="GS август" dataDxfId="144"/>
    <tableColumn id="46" xr3:uid="{00000000-0010-0000-0D00-00002E000000}" name="GS сентябрь" dataDxfId="143"/>
    <tableColumn id="47" xr3:uid="{00000000-0010-0000-0D00-00002F000000}" name="GS октябрь" dataDxfId="142"/>
    <tableColumn id="48" xr3:uid="{00000000-0010-0000-0D00-000030000000}" name="GS ноябрь" dataDxfId="141"/>
    <tableColumn id="49" xr3:uid="{00000000-0010-0000-0D00-000031000000}" name="GS декабрь" dataDxfId="140"/>
    <tableColumn id="50" xr3:uid="{00000000-0010-0000-0D00-000032000000}" name="NS Январь" dataDxfId="139"/>
    <tableColumn id="51" xr3:uid="{00000000-0010-0000-0D00-000033000000}" name="NS февраль" dataDxfId="138"/>
    <tableColumn id="52" xr3:uid="{00000000-0010-0000-0D00-000034000000}" name="NS март" dataDxfId="137"/>
    <tableColumn id="53" xr3:uid="{00000000-0010-0000-0D00-000035000000}" name="NS апрель" dataDxfId="136"/>
    <tableColumn id="54" xr3:uid="{00000000-0010-0000-0D00-000036000000}" name="NS май" dataDxfId="135"/>
    <tableColumn id="55" xr3:uid="{00000000-0010-0000-0D00-000037000000}" name="NS июнь" dataDxfId="134"/>
    <tableColumn id="56" xr3:uid="{00000000-0010-0000-0D00-000038000000}" name="NS июль" dataDxfId="133"/>
    <tableColumn id="57" xr3:uid="{00000000-0010-0000-0D00-000039000000}" name="NS август" dataDxfId="132"/>
    <tableColumn id="58" xr3:uid="{00000000-0010-0000-0D00-00003A000000}" name="NS сентябрь" dataDxfId="131"/>
    <tableColumn id="59" xr3:uid="{00000000-0010-0000-0D00-00003B000000}" name="NS октябрь" dataDxfId="130"/>
    <tableColumn id="60" xr3:uid="{00000000-0010-0000-0D00-00003C000000}" name="NS ноябрь" dataDxfId="129"/>
    <tableColumn id="61" xr3:uid="{00000000-0010-0000-0D00-00003D000000}" name="NS декабрь" dataDxfId="128"/>
    <tableColumn id="62" xr3:uid="{00000000-0010-0000-0D00-00003E000000}" name="Promo Price-list январь" dataDxfId="127"/>
    <tableColumn id="63" xr3:uid="{00000000-0010-0000-0D00-00003F000000}" name="Promo Price-list февраль" dataDxfId="126"/>
    <tableColumn id="64" xr3:uid="{00000000-0010-0000-0D00-000040000000}" name="Promo Price-list март" dataDxfId="125"/>
    <tableColumn id="65" xr3:uid="{00000000-0010-0000-0D00-000041000000}" name="Promo Price-list апрель" dataDxfId="124"/>
    <tableColumn id="66" xr3:uid="{00000000-0010-0000-0D00-000042000000}" name="Promo Price-list май" dataDxfId="123"/>
    <tableColumn id="67" xr3:uid="{00000000-0010-0000-0D00-000043000000}" name="Promo Price-list июнь" dataDxfId="122"/>
    <tableColumn id="68" xr3:uid="{00000000-0010-0000-0D00-000044000000}" name="Promo Price-list июль" dataDxfId="121"/>
    <tableColumn id="69" xr3:uid="{00000000-0010-0000-0D00-000045000000}" name="Promo Price-list август" dataDxfId="120"/>
    <tableColumn id="70" xr3:uid="{00000000-0010-0000-0D00-000046000000}" name="Promo Price-list сентябрь" dataDxfId="119"/>
    <tableColumn id="71" xr3:uid="{00000000-0010-0000-0D00-000047000000}" name="Promo Price-list октябрь" dataDxfId="118"/>
    <tableColumn id="72" xr3:uid="{00000000-0010-0000-0D00-000048000000}" name="Promo Price-list ноябрь" dataDxfId="117"/>
    <tableColumn id="73" xr3:uid="{00000000-0010-0000-0D00-000049000000}" name="Promo Price-list декабрь" dataDxfId="116"/>
    <tableColumn id="74" xr3:uid="{00000000-0010-0000-0D00-00004A000000}" name="Promo Объем продаж январь" dataDxfId="115"/>
    <tableColumn id="75" xr3:uid="{00000000-0010-0000-0D00-00004B000000}" name="Promo Объем февраль" dataDxfId="114"/>
    <tableColumn id="76" xr3:uid="{00000000-0010-0000-0D00-00004C000000}" name="Promo Объем март" dataDxfId="113"/>
    <tableColumn id="77" xr3:uid="{00000000-0010-0000-0D00-00004D000000}" name="Promo Объем апрель" dataDxfId="112"/>
    <tableColumn id="78" xr3:uid="{00000000-0010-0000-0D00-00004E000000}" name="Promo Объем май" dataDxfId="111"/>
    <tableColumn id="79" xr3:uid="{00000000-0010-0000-0D00-00004F000000}" name="Promo Объем июнь" dataDxfId="110"/>
    <tableColumn id="80" xr3:uid="{00000000-0010-0000-0D00-000050000000}" name="Promo Объем июль" dataDxfId="109"/>
    <tableColumn id="81" xr3:uid="{00000000-0010-0000-0D00-000051000000}" name="Promo Объем август" dataDxfId="108"/>
    <tableColumn id="82" xr3:uid="{00000000-0010-0000-0D00-000052000000}" name="Promo Объем сентябрь" dataDxfId="107"/>
    <tableColumn id="83" xr3:uid="{00000000-0010-0000-0D00-000053000000}" name="Promo Объем октябрь" dataDxfId="106"/>
    <tableColumn id="84" xr3:uid="{00000000-0010-0000-0D00-000054000000}" name="Promo Объем ноябрь" dataDxfId="105"/>
    <tableColumn id="85" xr3:uid="{00000000-0010-0000-0D00-000055000000}" name="Promo Объем декабрь" dataDxfId="104"/>
    <tableColumn id="86" xr3:uid="{00000000-0010-0000-0D00-000056000000}" name="Promo GS январь" dataDxfId="103"/>
    <tableColumn id="87" xr3:uid="{00000000-0010-0000-0D00-000057000000}" name="Promo GS февраль" dataDxfId="102"/>
    <tableColumn id="88" xr3:uid="{00000000-0010-0000-0D00-000058000000}" name="Promo GS март" dataDxfId="101"/>
    <tableColumn id="89" xr3:uid="{00000000-0010-0000-0D00-000059000000}" name="Promo GS апрель" dataDxfId="100"/>
    <tableColumn id="90" xr3:uid="{00000000-0010-0000-0D00-00005A000000}" name="Promo GS май" dataDxfId="99"/>
    <tableColumn id="91" xr3:uid="{00000000-0010-0000-0D00-00005B000000}" name="Promo GS июнь" dataDxfId="98"/>
    <tableColumn id="92" xr3:uid="{00000000-0010-0000-0D00-00005C000000}" name="Promo GS июль" dataDxfId="97"/>
    <tableColumn id="93" xr3:uid="{00000000-0010-0000-0D00-00005D000000}" name="Promo GS август" dataDxfId="96"/>
    <tableColumn id="94" xr3:uid="{00000000-0010-0000-0D00-00005E000000}" name="Promo GS сентябрь" dataDxfId="95"/>
    <tableColumn id="95" xr3:uid="{00000000-0010-0000-0D00-00005F000000}" name="Promo GS октябрь" dataDxfId="94"/>
    <tableColumn id="96" xr3:uid="{00000000-0010-0000-0D00-000060000000}" name="Promo GS ноябрь" dataDxfId="93"/>
    <tableColumn id="97" xr3:uid="{00000000-0010-0000-0D00-000061000000}" name="Promo GS декабрь" dataDxfId="92"/>
    <tableColumn id="98" xr3:uid="{00000000-0010-0000-0D00-000062000000}" name="Promo NS январь" dataDxfId="91"/>
    <tableColumn id="99" xr3:uid="{00000000-0010-0000-0D00-000063000000}" name="Promo NS февраль" dataDxfId="90"/>
    <tableColumn id="100" xr3:uid="{00000000-0010-0000-0D00-000064000000}" name="Promo NS март" dataDxfId="89"/>
    <tableColumn id="101" xr3:uid="{00000000-0010-0000-0D00-000065000000}" name="Promo NS апрель" dataDxfId="88"/>
    <tableColumn id="102" xr3:uid="{00000000-0010-0000-0D00-000066000000}" name="Promo NS май" dataDxfId="87"/>
    <tableColumn id="103" xr3:uid="{00000000-0010-0000-0D00-000067000000}" name="Promo NS июнь" dataDxfId="86"/>
    <tableColumn id="104" xr3:uid="{00000000-0010-0000-0D00-000068000000}" name="Promo NS июль" dataDxfId="85"/>
    <tableColumn id="105" xr3:uid="{00000000-0010-0000-0D00-000069000000}" name="Promo NS август" dataDxfId="84"/>
    <tableColumn id="106" xr3:uid="{00000000-0010-0000-0D00-00006A000000}" name="Promo NS сентябрь" dataDxfId="83"/>
    <tableColumn id="107" xr3:uid="{00000000-0010-0000-0D00-00006B000000}" name="Promo NS октябрь" dataDxfId="82"/>
    <tableColumn id="108" xr3:uid="{00000000-0010-0000-0D00-00006C000000}" name="Promo NS ноябрь" dataDxfId="81"/>
    <tableColumn id="109" xr3:uid="{00000000-0010-0000-0D00-00006D000000}" name="Promo NS декабрь" dataDxfId="80"/>
    <tableColumn id="110" xr3:uid="{00000000-0010-0000-0D00-00006E000000}" name="GP Value январь" dataDxfId="79"/>
    <tableColumn id="111" xr3:uid="{00000000-0010-0000-0D00-00006F000000}" name="GP Value февраль" dataDxfId="78"/>
    <tableColumn id="112" xr3:uid="{00000000-0010-0000-0D00-000070000000}" name="GP Value март" dataDxfId="77"/>
    <tableColumn id="113" xr3:uid="{00000000-0010-0000-0D00-000071000000}" name="GP Value апрель" dataDxfId="76"/>
    <tableColumn id="114" xr3:uid="{00000000-0010-0000-0D00-000072000000}" name="GP Value май" dataDxfId="75"/>
    <tableColumn id="115" xr3:uid="{00000000-0010-0000-0D00-000073000000}" name="GP Value июнь" dataDxfId="74"/>
    <tableColumn id="116" xr3:uid="{00000000-0010-0000-0D00-000074000000}" name="GP Value июль" dataDxfId="73"/>
    <tableColumn id="117" xr3:uid="{00000000-0010-0000-0D00-000075000000}" name="GP Value август" dataDxfId="72"/>
    <tableColumn id="118" xr3:uid="{00000000-0010-0000-0D00-000076000000}" name="GP Value сентябрь" dataDxfId="71"/>
    <tableColumn id="119" xr3:uid="{00000000-0010-0000-0D00-000077000000}" name="GP Value октябрь" dataDxfId="70"/>
    <tableColumn id="120" xr3:uid="{00000000-0010-0000-0D00-000078000000}" name="GP Value ноябрь" dataDxfId="69"/>
    <tableColumn id="121" xr3:uid="{00000000-0010-0000-0D00-000079000000}" name="GP Value декабрь" dataDxfId="6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67" dataDxfId="66" headerRowCellStyle="Обычный 2" dataCellStyle="Обычный 2">
  <autoFilter ref="A13:V14" xr:uid="{ADF718DD-67AC-4401-B168-AFEE638B048C}"/>
  <tableColumns count="22">
    <tableColumn id="22" xr3:uid="{361E8588-935C-493B-A7CF-935B5D4480B5}" name="Id" dataDxfId="65" dataCellStyle="Обычный 2"/>
    <tableColumn id="1" xr3:uid="{AC1F4D41-C0A8-443D-9E3C-D9C4FF50F830}" name="КАТЕГОРИЯ" dataDxfId="64" dataCellStyle="Обычный 2"/>
    <tableColumn id="2" xr3:uid="{20B689EB-7652-4723-BFAB-8C7C64C8FD7A}" name="Фото продукта" dataDxfId="63" dataCellStyle="Обычный 2"/>
    <tableColumn id="3" xr3:uid="{8821E9F1-B085-4717-B559-CDD126769DA7}" name="Продукт группа - название" dataDxfId="62" dataCellStyle="Обычный 2"/>
    <tableColumn id="4" xr3:uid="{A99D0144-C997-463C-9A1D-9B08CF9140E1}" name="Артикул GARDENA" dataDxfId="61" dataCellStyle="Обычный 2"/>
    <tableColumn id="5" xr3:uid="{ED79FFB3-1BA8-4E97-9A5F-C09EAECD5CB1}" name="Артикул предшествующего продукта (если есть)" dataDxfId="60" dataCellStyle="Обычный 2"/>
    <tableColumn id="6" xr3:uid="{71EF79FE-B1E9-4844-9BB4-A63692EDA3AE}" name="Название" dataDxfId="59" dataCellStyle="Обычный 2"/>
    <tableColumn id="7" xr3:uid="{5A0F710D-9900-48D2-A5A0-EE9A1926CA9F}" name="Описание" dataDxfId="58" dataCellStyle="Обычный 2"/>
    <tableColumn id="8" xr3:uid="{0709C17B-24E7-4283-B7CD-103780E925FD}" name="РРЦ 2020, руб. с НДС" dataDxfId="57" dataCellStyle="Обычный 2"/>
    <tableColumn id="9" xr3:uid="{7346265F-E87E-4F08-A3D6-0027CF43A157}" name="EAN штуки" dataDxfId="56" dataCellStyle="Обычный 2"/>
    <tableColumn id="10" xr3:uid="{2C8CCB7E-EDD1-482F-A1E4-EC04C692D1EA}" name="страна производства" dataDxfId="55" dataCellStyle="Обычный 2"/>
    <tableColumn id="11" xr3:uid="{6995D219-9DF9-4115-8CDC-849E890401E6}" name="единица измерения" dataDxfId="54" dataCellStyle="Обычный 2"/>
    <tableColumn id="12" xr3:uid="{1A1113D4-0FC3-4FC9-8993-94D48C5B7E0B}" name="кол-во в мастер-паке" dataDxfId="53" dataCellStyle="Финансовый 2"/>
    <tableColumn id="13" xr3:uid="{085F48D9-0BB4-48CA-BB0A-E910E6B6C9E8}" name="Вес гросс штуки, финальный" dataDxfId="52" dataCellStyle="Обычный 2"/>
    <tableColumn id="14" xr3:uid="{2834A4E1-0E95-43BB-97C8-392563130CF3}" name="Вес нетто штуки, финальный" dataDxfId="51" dataCellStyle="Обычный 2"/>
    <tableColumn id="15" xr3:uid="{5BEC7C38-B443-4DCB-BE49-1848A79C42F9}" name="Длина упаковки" dataDxfId="50" dataCellStyle="Обычный 2"/>
    <tableColumn id="16" xr3:uid="{7C9AB8E1-B1C6-47E3-9BE8-5A1D1C646B25}" name="Ширина упаковки" dataDxfId="49" dataCellStyle="Обычный 2"/>
    <tableColumn id="17" xr3:uid="{10918133-09A5-4117-B3B1-E785EFE65B4A}" name="Высота упаковки" dataDxfId="48" dataCellStyle="Обычный 2"/>
    <tableColumn id="18" xr3:uid="{DE26A25B-99E8-4A9D-8AFE-A2E1D13A4931}" name="Объем упаковки" dataDxfId="47" dataCellStyle="Обычный 2"/>
    <tableColumn id="19" xr3:uid="{9AF542A1-08A7-49E6-9900-1EB99D7350D1}" name="Кол-во штук на паллете" dataDxfId="46" dataCellStyle="Финансовый 2"/>
    <tableColumn id="20" xr3:uid="{9B215DDF-BCA2-477C-8AFA-BC848C8FF031}" name="Сертификация" dataDxfId="45" dataCellStyle="Обычный 2"/>
    <tableColumn id="21" xr3:uid="{76E684EA-EAE5-44EF-8156-B78DA5E17975}" name="Гарантия" dataDxfId="44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43">
  <autoFilter ref="A1:C2" xr:uid="{00000000-0009-0000-0100-000005000000}"/>
  <tableColumns count="3">
    <tableColumn id="1" xr3:uid="{00000000-0010-0000-0400-000001000000}" name="№" dataDxfId="42"/>
    <tableColumn id="2" xr3:uid="{00000000-0010-0000-0400-000002000000}" name="Название" dataDxfId="41"/>
    <tableColumn id="3" xr3:uid="{00000000-0010-0000-0400-000003000000}" name="Путь к файлу" dataDxfId="4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39" dataCellStyle="Финансовый"/>
    <tableColumn id="2" xr3:uid="{00000000-0010-0000-0000-000002000000}" name="Суперкатегория (ENG)" dataDxfId="38"/>
    <tableColumn id="3" xr3:uid="{00000000-0010-0000-0000-000003000000}" name="Суперкатегория (RUS)" dataDxfId="37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36" dataDxfId="35">
  <autoFilter ref="A1:D33" xr:uid="{00000000-0009-0000-0100-000002000000}"/>
  <tableColumns count="4">
    <tableColumn id="1" xr3:uid="{00000000-0010-0000-0100-000001000000}" name="№" dataDxfId="34"/>
    <tableColumn id="2" xr3:uid="{00000000-0010-0000-0100-000002000000}" name="Продукт группа" dataDxfId="33"/>
    <tableColumn id="3" xr3:uid="{00000000-0010-0000-0100-000003000000}" name="Название продукт группы (ENG)" dataDxfId="32"/>
    <tableColumn id="4" xr3:uid="{00000000-0010-0000-0100-000004000000}" name="Название продукт группы (RUS)" dataDxfId="31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30"/>
    <tableColumn id="2" xr3:uid="{00000000-0010-0000-0200-000002000000}" name="Статус" dataDxfId="29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28" dataDxfId="27">
  <autoFilter ref="A1:E2" xr:uid="{00000000-0009-0000-0100-000008000000}"/>
  <tableColumns count="5">
    <tableColumn id="5" xr3:uid="{D948CA53-CDCE-46C5-BE95-D1E2925C758E}" name="№" dataDxfId="26"/>
    <tableColumn id="1" xr3:uid="{00000000-0010-0000-0500-000001000000}" name="Артикул" dataDxfId="25"/>
    <tableColumn id="2" xr3:uid="{00000000-0010-0000-0500-000002000000}" name="STK 2.5, Eur" dataDxfId="24"/>
    <tableColumn id="3" xr3:uid="{00000000-0010-0000-0500-000003000000}" name="STK 2.5, руб." dataDxfId="23"/>
    <tableColumn id="4" xr3:uid="{00000000-0010-0000-0500-000004000000}" name="Дата принятия" dataDxfId="2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21" tableBorderDxfId="20">
  <autoFilter ref="A1:C3" xr:uid="{00000000-0009-0000-0100-00000B000000}"/>
  <tableColumns count="3">
    <tableColumn id="1" xr3:uid="{00000000-0010-0000-0800-000001000000}" name="№" dataDxfId="19"/>
    <tableColumn id="2" xr3:uid="{00000000-0010-0000-0800-000002000000}" name="Дата принятия" dataDxfId="18"/>
    <tableColumn id="3" xr3:uid="{00000000-0010-0000-0800-000003000000}" name="Процент от РРЦ, без НДС" dataDxfId="1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16"/>
    <tableColumn id="2" xr3:uid="{00000000-0010-0000-0900-000002000000}" name="Эксклюзивность" dataDxfId="1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14">
  <autoFilter ref="A1:C23" xr:uid="{00000000-0009-0000-0100-00000E000000}"/>
  <tableColumns count="3">
    <tableColumn id="1" xr3:uid="{00000000-0010-0000-0B00-000001000000}" name="Код" dataDxfId="13"/>
    <tableColumn id="2" xr3:uid="{00000000-0010-0000-0B00-000002000000}" name="GardenChannel" dataDxfId="12"/>
    <tableColumn id="3" xr3:uid="{00000000-0010-0000-0B00-000003000000}" name="Sales manager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opLeftCell="I1" zoomScaleNormal="100" workbookViewId="0">
      <pane ySplit="2" topLeftCell="A3" activePane="bottomLeft" state="frozen"/>
      <selection pane="bottomLeft" activeCell="AW10" sqref="AW10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10" priority="6">
      <formula>$AL3="Новинка следующего года"</formula>
    </cfRule>
    <cfRule type="expression" dxfId="9" priority="7">
      <formula>$AL3="Новинка текущего года"</formula>
    </cfRule>
    <cfRule type="expression" dxfId="8" priority="8">
      <formula>$AL3="Выведено из ассортимента текущего года"</formula>
    </cfRule>
  </conditionalFormatting>
  <conditionalFormatting sqref="AM3:AM10">
    <cfRule type="expression" dxfId="7" priority="2">
      <formula>OR(AM3="Dealer",AM3="Regional",AM3="Online")</formula>
    </cfRule>
    <cfRule type="cellIs" dxfId="6" priority="3" operator="equal">
      <formula>"DIY канал"</formula>
    </cfRule>
    <cfRule type="cellIs" dxfId="5" priority="4" operator="equal">
      <formula>"ОБИ"</formula>
    </cfRule>
    <cfRule type="cellIs" dxfId="4" priority="5" operator="equal">
      <formula>"ЛЕРУА МЕРЛЕН"</formula>
    </cfRule>
  </conditionalFormatting>
  <conditionalFormatting sqref="AV3:AV10">
    <cfRule type="cellIs" dxfId="3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E1" sqref="E1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2" priority="1">
      <formula>$AL2="Новинка следующего года"</formula>
    </cfRule>
    <cfRule type="expression" dxfId="1" priority="2">
      <formula>$AL2="Новинка текущего года"</formula>
    </cfRule>
    <cfRule type="expression" dxfId="0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74"/>
      <c r="C2" s="74"/>
    </row>
    <row r="3" spans="1:22" x14ac:dyDescent="0.25">
      <c r="C3" s="63"/>
      <c r="F3" s="63"/>
    </row>
    <row r="4" spans="1:22" x14ac:dyDescent="0.25">
      <c r="B4" s="75" t="s">
        <v>1200</v>
      </c>
      <c r="C4" s="75"/>
      <c r="D4" s="64"/>
      <c r="E4" s="64"/>
      <c r="F4" s="65"/>
      <c r="G4" s="66"/>
      <c r="I4" s="64"/>
    </row>
    <row r="5" spans="1:22" x14ac:dyDescent="0.25">
      <c r="B5" s="75" t="s">
        <v>1201</v>
      </c>
      <c r="C5" s="75"/>
      <c r="D5" s="67">
        <v>43831</v>
      </c>
      <c r="F5" s="63"/>
    </row>
    <row r="6" spans="1:22" x14ac:dyDescent="0.25">
      <c r="B6" s="75" t="s">
        <v>1202</v>
      </c>
      <c r="C6" s="75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76" t="s">
        <v>1206</v>
      </c>
      <c r="C12" s="76"/>
      <c r="D12" s="76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dimension ref="A1:HI29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19" style="94" customWidth="1"/>
    <col min="2" max="3" width="15.7109375" style="94" customWidth="1"/>
    <col min="4" max="9" width="7.85546875" style="94" customWidth="1"/>
    <col min="10" max="19" width="7.85546875" style="94" hidden="1" customWidth="1"/>
    <col min="20" max="20" width="7.5703125" style="94" hidden="1" customWidth="1"/>
    <col min="21" max="21" width="15.7109375" style="94" customWidth="1"/>
    <col min="22" max="24" width="15.7109375" style="94" hidden="1" customWidth="1"/>
    <col min="25" max="25" width="9.5703125" style="95" hidden="1" customWidth="1"/>
    <col min="26" max="26" width="9.140625" style="94" hidden="1" customWidth="1"/>
    <col min="27" max="27" width="45.42578125" style="94" hidden="1" customWidth="1"/>
    <col min="28" max="36" width="9.140625" style="94" hidden="1" customWidth="1"/>
    <col min="37" max="37" width="9.140625" style="96" hidden="1" customWidth="1"/>
    <col min="38" max="49" width="9.140625" style="94" hidden="1" customWidth="1"/>
    <col min="50" max="50" width="9.140625" style="95" hidden="1" customWidth="1"/>
    <col min="51" max="60" width="9.140625" style="94" hidden="1" customWidth="1"/>
    <col min="61" max="61" width="9.140625" style="96" hidden="1" customWidth="1"/>
    <col min="62" max="62" width="9.140625" style="95" hidden="1" customWidth="1"/>
    <col min="63" max="72" width="9.140625" style="94" hidden="1" customWidth="1"/>
    <col min="73" max="73" width="9.140625" style="96" hidden="1" customWidth="1"/>
    <col min="74" max="74" width="0" style="94" hidden="1" customWidth="1"/>
    <col min="75" max="75" width="9.140625" style="95" hidden="1" customWidth="1"/>
    <col min="76" max="85" width="9.140625" style="94" hidden="1" customWidth="1"/>
    <col min="86" max="86" width="9.140625" style="96" hidden="1" customWidth="1"/>
    <col min="87" max="87" width="9.140625" style="95" hidden="1" customWidth="1"/>
    <col min="88" max="97" width="9.140625" style="94" hidden="1" customWidth="1"/>
    <col min="98" max="98" width="9.140625" style="96" hidden="1" customWidth="1"/>
    <col min="99" max="99" width="9.140625" style="95" hidden="1" customWidth="1"/>
    <col min="100" max="109" width="9.140625" style="94" hidden="1" customWidth="1"/>
    <col min="110" max="110" width="9.140625" style="96" hidden="1" customWidth="1"/>
    <col min="111" max="111" width="9.140625" style="95" hidden="1" customWidth="1"/>
    <col min="112" max="121" width="9.140625" style="94" hidden="1" customWidth="1"/>
    <col min="122" max="122" width="9.140625" style="96" hidden="1" customWidth="1"/>
    <col min="123" max="123" width="10.7109375" style="94" bestFit="1" customWidth="1"/>
    <col min="124" max="137" width="9.140625" style="94"/>
    <col min="138" max="138" width="9.140625" style="95"/>
    <col min="139" max="139" width="9.140625" style="94" customWidth="1"/>
    <col min="140" max="140" width="9.140625" style="94"/>
    <col min="141" max="141" width="29.28515625" style="94" bestFit="1" customWidth="1"/>
    <col min="142" max="142" width="40.42578125" style="94" customWidth="1"/>
    <col min="143" max="144" width="16.140625" style="94" customWidth="1"/>
    <col min="145" max="152" width="9.140625" style="94"/>
    <col min="153" max="153" width="9.140625" style="96"/>
    <col min="154" max="165" width="9.140625" style="94"/>
    <col min="166" max="166" width="9.140625" style="95"/>
    <col min="167" max="178" width="9.140625" style="94"/>
    <col min="179" max="179" width="12.7109375" style="95" customWidth="1"/>
    <col min="180" max="180" width="9.140625" style="96"/>
    <col min="181" max="192" width="9.140625" style="94"/>
    <col min="193" max="193" width="9.140625" style="96"/>
    <col min="194" max="205" width="0" style="94" hidden="1" customWidth="1"/>
    <col min="206" max="206" width="0" style="95" hidden="1" customWidth="1"/>
    <col min="207" max="216" width="0" style="94" hidden="1" customWidth="1"/>
    <col min="217" max="217" width="0" style="96" hidden="1" customWidth="1"/>
    <col min="218" max="16384" width="9.140625" style="94"/>
  </cols>
  <sheetData>
    <row r="1" spans="1:217" s="79" customFormat="1" ht="37.5" customHeight="1" x14ac:dyDescent="0.25">
      <c r="A1" s="77" t="s">
        <v>43</v>
      </c>
      <c r="B1" s="78" t="s">
        <v>1232</v>
      </c>
      <c r="C1" s="77" t="s">
        <v>44</v>
      </c>
      <c r="Y1" s="78" t="s">
        <v>1232</v>
      </c>
      <c r="AA1" s="80" t="s">
        <v>1233</v>
      </c>
      <c r="AK1" s="81"/>
      <c r="AX1" s="82"/>
      <c r="BI1" s="81"/>
      <c r="BJ1" s="82"/>
      <c r="BU1" s="81"/>
      <c r="BW1" s="82"/>
      <c r="CH1" s="81"/>
      <c r="CI1" s="82"/>
      <c r="CT1" s="81"/>
      <c r="CU1" s="82"/>
      <c r="DF1" s="81"/>
      <c r="DG1" s="82"/>
      <c r="DR1" s="81"/>
      <c r="DS1" s="82"/>
      <c r="DU1" s="80" t="s">
        <v>1234</v>
      </c>
      <c r="DV1" s="79" t="s">
        <v>1235</v>
      </c>
      <c r="EG1" s="81"/>
      <c r="EH1" s="83" t="s">
        <v>1236</v>
      </c>
      <c r="EI1" s="84"/>
      <c r="EJ1" s="84"/>
      <c r="EK1" s="84"/>
      <c r="EL1" s="84"/>
      <c r="EM1" s="84"/>
      <c r="EN1" s="84"/>
      <c r="EO1" s="84"/>
      <c r="EP1" s="84"/>
      <c r="EQ1" s="84"/>
      <c r="ER1" s="84"/>
      <c r="ES1" s="84"/>
      <c r="ET1" s="84"/>
      <c r="EU1" s="84"/>
      <c r="EV1" s="84"/>
      <c r="EW1" s="84"/>
      <c r="EY1" s="79" t="s">
        <v>1235</v>
      </c>
      <c r="FJ1" s="82"/>
      <c r="FK1" s="79" t="s">
        <v>1235</v>
      </c>
      <c r="FW1" s="82"/>
      <c r="FX1" s="81"/>
      <c r="FZ1" s="79" t="s">
        <v>1237</v>
      </c>
      <c r="GK1" s="81"/>
      <c r="GM1" s="79" t="s">
        <v>1237</v>
      </c>
      <c r="GX1" s="82"/>
      <c r="GY1" s="79" t="s">
        <v>1237</v>
      </c>
      <c r="HI1" s="81"/>
    </row>
    <row r="2" spans="1:217" s="79" customFormat="1" ht="165" x14ac:dyDescent="0.25">
      <c r="A2" s="79" t="s">
        <v>52</v>
      </c>
      <c r="B2" s="78">
        <v>2021</v>
      </c>
      <c r="D2" s="79" t="s">
        <v>1238</v>
      </c>
      <c r="Y2" s="78"/>
      <c r="AA2" s="77" t="s">
        <v>1239</v>
      </c>
      <c r="AX2" s="82"/>
      <c r="BJ2" s="82"/>
      <c r="BW2" s="82"/>
      <c r="CI2" s="82"/>
      <c r="CU2" s="82"/>
      <c r="DG2" s="82"/>
      <c r="DS2" s="85">
        <v>43831</v>
      </c>
      <c r="DV2" s="79" t="s">
        <v>1240</v>
      </c>
      <c r="DW2" s="79" t="s">
        <v>1241</v>
      </c>
      <c r="DX2" s="79" t="s">
        <v>1242</v>
      </c>
      <c r="EG2" s="81"/>
      <c r="EH2" s="83"/>
      <c r="EI2" s="84" t="s">
        <v>1243</v>
      </c>
      <c r="EJ2" s="84" t="s">
        <v>1244</v>
      </c>
      <c r="EK2" s="84" t="s">
        <v>1245</v>
      </c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Y2" s="79" t="s">
        <v>1241</v>
      </c>
      <c r="EZ2" s="79" t="s">
        <v>1242</v>
      </c>
      <c r="FJ2" s="82"/>
      <c r="FK2" s="79" t="s">
        <v>1241</v>
      </c>
      <c r="FL2" s="79" t="s">
        <v>1242</v>
      </c>
      <c r="FW2" s="82"/>
      <c r="FX2" s="81"/>
      <c r="FZ2" s="79" t="s">
        <v>1246</v>
      </c>
      <c r="GA2" s="79" t="s">
        <v>1241</v>
      </c>
      <c r="GB2" s="79" t="s">
        <v>1242</v>
      </c>
      <c r="GK2" s="81"/>
      <c r="GM2" s="79" t="s">
        <v>1241</v>
      </c>
      <c r="GN2" s="79" t="s">
        <v>1242</v>
      </c>
      <c r="GX2" s="82"/>
      <c r="GY2" s="79" t="s">
        <v>1241</v>
      </c>
      <c r="GZ2" s="79" t="s">
        <v>1242</v>
      </c>
      <c r="HI2" s="81"/>
    </row>
    <row r="3" spans="1:217" s="79" customFormat="1" ht="135" x14ac:dyDescent="0.25">
      <c r="A3" s="79" t="s">
        <v>1247</v>
      </c>
      <c r="B3" s="79" t="s">
        <v>1247</v>
      </c>
      <c r="Y3" s="82" t="s">
        <v>1248</v>
      </c>
      <c r="Z3" s="82" t="s">
        <v>1248</v>
      </c>
      <c r="AA3" s="82" t="s">
        <v>1248</v>
      </c>
      <c r="AB3" s="82" t="s">
        <v>1248</v>
      </c>
      <c r="AC3" s="82" t="s">
        <v>1248</v>
      </c>
      <c r="AD3" s="82" t="s">
        <v>1248</v>
      </c>
      <c r="AE3" s="82" t="s">
        <v>1248</v>
      </c>
      <c r="AF3" s="82" t="s">
        <v>1248</v>
      </c>
      <c r="AG3" s="82" t="s">
        <v>1248</v>
      </c>
      <c r="AH3" s="82" t="s">
        <v>1248</v>
      </c>
      <c r="AI3" s="82" t="s">
        <v>1248</v>
      </c>
      <c r="AJ3" s="82" t="s">
        <v>1248</v>
      </c>
      <c r="AK3" s="82" t="s">
        <v>1248</v>
      </c>
      <c r="AL3" s="82" t="s">
        <v>1248</v>
      </c>
      <c r="AM3" s="82" t="s">
        <v>1248</v>
      </c>
      <c r="AN3" s="82" t="s">
        <v>1248</v>
      </c>
      <c r="AO3" s="82" t="s">
        <v>1248</v>
      </c>
      <c r="AP3" s="82" t="s">
        <v>1248</v>
      </c>
      <c r="AQ3" s="82" t="s">
        <v>1248</v>
      </c>
      <c r="AR3" s="82" t="s">
        <v>1248</v>
      </c>
      <c r="AS3" s="82" t="s">
        <v>1248</v>
      </c>
      <c r="AT3" s="82" t="s">
        <v>1248</v>
      </c>
      <c r="AU3" s="82" t="s">
        <v>1248</v>
      </c>
      <c r="AV3" s="82" t="s">
        <v>1248</v>
      </c>
      <c r="AW3" s="82" t="s">
        <v>1248</v>
      </c>
      <c r="AX3" s="82" t="s">
        <v>1248</v>
      </c>
      <c r="AY3" s="82" t="s">
        <v>1248</v>
      </c>
      <c r="AZ3" s="82" t="s">
        <v>1248</v>
      </c>
      <c r="BA3" s="82" t="s">
        <v>1248</v>
      </c>
      <c r="BB3" s="82" t="s">
        <v>1248</v>
      </c>
      <c r="BC3" s="82" t="s">
        <v>1248</v>
      </c>
      <c r="BD3" s="82" t="s">
        <v>1248</v>
      </c>
      <c r="BE3" s="82" t="s">
        <v>1248</v>
      </c>
      <c r="BF3" s="82" t="s">
        <v>1248</v>
      </c>
      <c r="BG3" s="82" t="s">
        <v>1248</v>
      </c>
      <c r="BH3" s="82" t="s">
        <v>1248</v>
      </c>
      <c r="BI3" s="82" t="s">
        <v>1248</v>
      </c>
      <c r="BJ3" s="82" t="s">
        <v>1249</v>
      </c>
      <c r="BK3" s="82" t="s">
        <v>1248</v>
      </c>
      <c r="BL3" s="82" t="s">
        <v>1248</v>
      </c>
      <c r="BM3" s="82" t="s">
        <v>1248</v>
      </c>
      <c r="BN3" s="82" t="s">
        <v>1248</v>
      </c>
      <c r="BO3" s="82" t="s">
        <v>1248</v>
      </c>
      <c r="BP3" s="82" t="s">
        <v>1248</v>
      </c>
      <c r="BQ3" s="82" t="s">
        <v>1248</v>
      </c>
      <c r="BR3" s="82" t="s">
        <v>1248</v>
      </c>
      <c r="BS3" s="82" t="s">
        <v>1248</v>
      </c>
      <c r="BT3" s="82" t="s">
        <v>1248</v>
      </c>
      <c r="BU3" s="82" t="s">
        <v>1248</v>
      </c>
      <c r="BV3" s="82"/>
      <c r="BW3" s="82" t="s">
        <v>1250</v>
      </c>
      <c r="BX3" s="82" t="s">
        <v>1248</v>
      </c>
      <c r="BY3" s="82" t="s">
        <v>1248</v>
      </c>
      <c r="BZ3" s="82" t="s">
        <v>1248</v>
      </c>
      <c r="CA3" s="82" t="s">
        <v>1248</v>
      </c>
      <c r="CB3" s="82" t="s">
        <v>1248</v>
      </c>
      <c r="CC3" s="82" t="s">
        <v>1248</v>
      </c>
      <c r="CD3" s="82" t="s">
        <v>1248</v>
      </c>
      <c r="CE3" s="82" t="s">
        <v>1248</v>
      </c>
      <c r="CF3" s="82" t="s">
        <v>1248</v>
      </c>
      <c r="CG3" s="82" t="s">
        <v>1248</v>
      </c>
      <c r="CH3" s="82" t="s">
        <v>1248</v>
      </c>
      <c r="CI3" s="82" t="s">
        <v>1251</v>
      </c>
      <c r="CJ3" s="82" t="s">
        <v>1248</v>
      </c>
      <c r="CK3" s="82" t="s">
        <v>1248</v>
      </c>
      <c r="CL3" s="82" t="s">
        <v>1248</v>
      </c>
      <c r="CM3" s="82" t="s">
        <v>1248</v>
      </c>
      <c r="CN3" s="82" t="s">
        <v>1248</v>
      </c>
      <c r="CO3" s="82" t="s">
        <v>1248</v>
      </c>
      <c r="CP3" s="82" t="s">
        <v>1248</v>
      </c>
      <c r="CQ3" s="82" t="s">
        <v>1248</v>
      </c>
      <c r="CR3" s="82" t="s">
        <v>1248</v>
      </c>
      <c r="CS3" s="82" t="s">
        <v>1248</v>
      </c>
      <c r="CT3" s="82" t="s">
        <v>1248</v>
      </c>
      <c r="CU3" s="82" t="s">
        <v>1252</v>
      </c>
      <c r="CV3" s="82" t="s">
        <v>1248</v>
      </c>
      <c r="CW3" s="82" t="s">
        <v>1248</v>
      </c>
      <c r="CX3" s="82" t="s">
        <v>1248</v>
      </c>
      <c r="CY3" s="82" t="s">
        <v>1248</v>
      </c>
      <c r="CZ3" s="82" t="s">
        <v>1248</v>
      </c>
      <c r="DA3" s="82" t="s">
        <v>1248</v>
      </c>
      <c r="DB3" s="82" t="s">
        <v>1248</v>
      </c>
      <c r="DC3" s="82" t="s">
        <v>1248</v>
      </c>
      <c r="DD3" s="82" t="s">
        <v>1248</v>
      </c>
      <c r="DE3" s="82" t="s">
        <v>1248</v>
      </c>
      <c r="DF3" s="82" t="s">
        <v>1248</v>
      </c>
      <c r="DG3" s="82" t="s">
        <v>1253</v>
      </c>
      <c r="DH3" s="82" t="s">
        <v>1248</v>
      </c>
      <c r="DI3" s="82" t="s">
        <v>1248</v>
      </c>
      <c r="DJ3" s="82" t="s">
        <v>1248</v>
      </c>
      <c r="DK3" s="82" t="s">
        <v>1248</v>
      </c>
      <c r="DL3" s="82" t="s">
        <v>1248</v>
      </c>
      <c r="DM3" s="82" t="s">
        <v>1248</v>
      </c>
      <c r="DN3" s="82" t="s">
        <v>1248</v>
      </c>
      <c r="DO3" s="82" t="s">
        <v>1248</v>
      </c>
      <c r="DP3" s="82" t="s">
        <v>1248</v>
      </c>
      <c r="DQ3" s="82" t="s">
        <v>1248</v>
      </c>
      <c r="DR3" s="82" t="s">
        <v>1248</v>
      </c>
      <c r="DS3" s="82" t="s">
        <v>1254</v>
      </c>
      <c r="DT3" s="82" t="s">
        <v>1248</v>
      </c>
      <c r="DU3" s="79" t="s">
        <v>1255</v>
      </c>
      <c r="DV3" s="79" t="s">
        <v>1256</v>
      </c>
      <c r="DW3" s="79" t="s">
        <v>1256</v>
      </c>
      <c r="DX3" s="79" t="s">
        <v>1257</v>
      </c>
      <c r="DY3" s="79" t="s">
        <v>1256</v>
      </c>
      <c r="DZ3" s="79" t="s">
        <v>1256</v>
      </c>
      <c r="EA3" s="79" t="s">
        <v>1256</v>
      </c>
      <c r="EB3" s="79" t="s">
        <v>1256</v>
      </c>
      <c r="EC3" s="79" t="s">
        <v>1256</v>
      </c>
      <c r="ED3" s="79" t="s">
        <v>1256</v>
      </c>
      <c r="EE3" s="79" t="s">
        <v>1256</v>
      </c>
      <c r="EF3" s="79" t="s">
        <v>1256</v>
      </c>
      <c r="EG3" s="79" t="s">
        <v>1256</v>
      </c>
      <c r="EH3" s="83"/>
      <c r="EI3" s="84"/>
      <c r="EJ3" s="84"/>
      <c r="EK3" s="84"/>
      <c r="EL3" s="84"/>
      <c r="EM3" s="84"/>
      <c r="EN3" s="84"/>
      <c r="EO3" s="84"/>
      <c r="EP3" s="84"/>
      <c r="EQ3" s="84"/>
      <c r="ER3" s="84"/>
      <c r="ES3" s="84"/>
      <c r="ET3" s="84"/>
      <c r="EU3" s="84"/>
      <c r="EV3" s="84"/>
      <c r="EW3" s="84"/>
      <c r="EX3" s="79" t="s">
        <v>1255</v>
      </c>
      <c r="EY3" s="79" t="s">
        <v>1258</v>
      </c>
      <c r="EZ3" s="79" t="s">
        <v>1259</v>
      </c>
      <c r="FJ3" s="79" t="s">
        <v>1255</v>
      </c>
      <c r="FK3" s="79" t="s">
        <v>1260</v>
      </c>
      <c r="FL3" s="79" t="s">
        <v>1261</v>
      </c>
      <c r="FW3" s="82" t="s">
        <v>1255</v>
      </c>
      <c r="FX3" s="81" t="s">
        <v>1262</v>
      </c>
      <c r="FY3" s="79" t="s">
        <v>1255</v>
      </c>
      <c r="FZ3" s="79" t="s">
        <v>1256</v>
      </c>
      <c r="GA3" s="79" t="s">
        <v>1256</v>
      </c>
      <c r="GB3" s="79" t="s">
        <v>1257</v>
      </c>
      <c r="GK3" s="81"/>
      <c r="GM3" s="79" t="s">
        <v>1258</v>
      </c>
      <c r="GN3" s="79" t="s">
        <v>1263</v>
      </c>
      <c r="GX3" s="82"/>
      <c r="GY3" s="79" t="s">
        <v>1260</v>
      </c>
      <c r="GZ3" s="79" t="s">
        <v>1261</v>
      </c>
      <c r="HI3" s="81"/>
    </row>
    <row r="4" spans="1:217" s="79" customFormat="1" x14ac:dyDescent="0.25">
      <c r="Y4" s="82"/>
      <c r="AX4" s="82"/>
      <c r="BJ4" s="82"/>
      <c r="BW4" s="82"/>
      <c r="CI4" s="82"/>
      <c r="CU4" s="82"/>
      <c r="DG4" s="82"/>
      <c r="DS4" s="82"/>
      <c r="EH4" s="86">
        <v>0.1</v>
      </c>
      <c r="EI4" s="87"/>
      <c r="EJ4" s="88"/>
      <c r="EK4" s="88"/>
      <c r="EL4" s="87">
        <v>0.1</v>
      </c>
      <c r="EM4" s="87">
        <v>0.1</v>
      </c>
      <c r="EN4" s="87">
        <v>0.1</v>
      </c>
      <c r="EO4" s="87">
        <v>0.1</v>
      </c>
      <c r="EP4" s="87">
        <v>0.1</v>
      </c>
      <c r="EQ4" s="87">
        <v>0.1</v>
      </c>
      <c r="ER4" s="88"/>
      <c r="ES4" s="88"/>
      <c r="ET4" s="88"/>
      <c r="EU4" s="88"/>
      <c r="EV4" s="88"/>
      <c r="EW4" s="88"/>
      <c r="FW4" s="82"/>
      <c r="FX4" s="81"/>
      <c r="GK4" s="81"/>
      <c r="GN4" s="89"/>
      <c r="GX4" s="82"/>
      <c r="HI4" s="81"/>
    </row>
    <row r="5" spans="1:217" s="79" customFormat="1" ht="90" x14ac:dyDescent="0.25">
      <c r="A5" s="90" t="s">
        <v>18</v>
      </c>
      <c r="B5" s="77" t="s">
        <v>67</v>
      </c>
      <c r="C5" s="79" t="s">
        <v>1264</v>
      </c>
      <c r="D5" s="91" t="s">
        <v>1265</v>
      </c>
      <c r="E5" s="91" t="s">
        <v>30</v>
      </c>
      <c r="F5" s="91" t="s">
        <v>32</v>
      </c>
      <c r="G5" s="91" t="s">
        <v>67</v>
      </c>
      <c r="H5" s="91" t="s">
        <v>68</v>
      </c>
      <c r="I5" s="91" t="s">
        <v>34</v>
      </c>
      <c r="J5" s="91" t="s">
        <v>1266</v>
      </c>
      <c r="K5" s="91" t="s">
        <v>69</v>
      </c>
      <c r="L5" s="91" t="s">
        <v>1266</v>
      </c>
      <c r="M5" s="91" t="s">
        <v>70</v>
      </c>
      <c r="N5" s="91" t="s">
        <v>1267</v>
      </c>
      <c r="O5" s="91" t="s">
        <v>1268</v>
      </c>
      <c r="P5" s="91" t="s">
        <v>1269</v>
      </c>
      <c r="Q5" s="91" t="s">
        <v>1270</v>
      </c>
      <c r="R5" s="91" t="s">
        <v>1271</v>
      </c>
      <c r="S5" s="91" t="s">
        <v>1272</v>
      </c>
      <c r="T5" s="91" t="s">
        <v>71</v>
      </c>
      <c r="Y5" s="90" t="s">
        <v>1273</v>
      </c>
      <c r="Z5" s="77" t="s">
        <v>1274</v>
      </c>
      <c r="AA5" s="77" t="s">
        <v>1275</v>
      </c>
      <c r="AB5" s="77" t="s">
        <v>1276</v>
      </c>
      <c r="AC5" s="77" t="s">
        <v>1277</v>
      </c>
      <c r="AD5" s="77" t="s">
        <v>1278</v>
      </c>
      <c r="AE5" s="77" t="s">
        <v>1279</v>
      </c>
      <c r="AF5" s="77" t="s">
        <v>1280</v>
      </c>
      <c r="AG5" s="77" t="s">
        <v>1281</v>
      </c>
      <c r="AH5" s="77" t="s">
        <v>1282</v>
      </c>
      <c r="AI5" s="77" t="s">
        <v>1283</v>
      </c>
      <c r="AJ5" s="77" t="s">
        <v>1284</v>
      </c>
      <c r="AK5" s="92" t="s">
        <v>1285</v>
      </c>
      <c r="AL5" s="77" t="s">
        <v>1286</v>
      </c>
      <c r="AM5" s="77" t="s">
        <v>1287</v>
      </c>
      <c r="AN5" s="77" t="s">
        <v>1288</v>
      </c>
      <c r="AO5" s="77" t="s">
        <v>1289</v>
      </c>
      <c r="AP5" s="77" t="s">
        <v>1290</v>
      </c>
      <c r="AQ5" s="77" t="s">
        <v>1291</v>
      </c>
      <c r="AR5" s="77" t="s">
        <v>1292</v>
      </c>
      <c r="AS5" s="77" t="s">
        <v>1293</v>
      </c>
      <c r="AT5" s="77" t="s">
        <v>1294</v>
      </c>
      <c r="AU5" s="77" t="s">
        <v>1295</v>
      </c>
      <c r="AV5" s="77" t="s">
        <v>1296</v>
      </c>
      <c r="AW5" s="77" t="s">
        <v>1297</v>
      </c>
      <c r="AX5" s="90" t="s">
        <v>1298</v>
      </c>
      <c r="AY5" s="77" t="s">
        <v>1299</v>
      </c>
      <c r="AZ5" s="77" t="s">
        <v>1300</v>
      </c>
      <c r="BA5" s="77" t="s">
        <v>1301</v>
      </c>
      <c r="BB5" s="77" t="s">
        <v>1302</v>
      </c>
      <c r="BC5" s="77" t="s">
        <v>1303</v>
      </c>
      <c r="BD5" s="77" t="s">
        <v>1304</v>
      </c>
      <c r="BE5" s="77" t="s">
        <v>1305</v>
      </c>
      <c r="BF5" s="77" t="s">
        <v>1306</v>
      </c>
      <c r="BG5" s="77" t="s">
        <v>1307</v>
      </c>
      <c r="BH5" s="77" t="s">
        <v>1308</v>
      </c>
      <c r="BI5" s="92" t="s">
        <v>1309</v>
      </c>
      <c r="BJ5" s="90" t="s">
        <v>1310</v>
      </c>
      <c r="BK5" s="77" t="s">
        <v>1311</v>
      </c>
      <c r="BL5" s="77" t="s">
        <v>1312</v>
      </c>
      <c r="BM5" s="77" t="s">
        <v>1313</v>
      </c>
      <c r="BN5" s="77" t="s">
        <v>1314</v>
      </c>
      <c r="BO5" s="77" t="s">
        <v>1315</v>
      </c>
      <c r="BP5" s="77" t="s">
        <v>1316</v>
      </c>
      <c r="BQ5" s="77" t="s">
        <v>1317</v>
      </c>
      <c r="BR5" s="77" t="s">
        <v>1318</v>
      </c>
      <c r="BS5" s="77" t="s">
        <v>1319</v>
      </c>
      <c r="BT5" s="77" t="s">
        <v>1320</v>
      </c>
      <c r="BU5" s="92" t="s">
        <v>1321</v>
      </c>
      <c r="BV5" s="77"/>
      <c r="BW5" s="90" t="s">
        <v>1322</v>
      </c>
      <c r="BX5" s="77" t="s">
        <v>1323</v>
      </c>
      <c r="BY5" s="77" t="s">
        <v>1324</v>
      </c>
      <c r="BZ5" s="77" t="s">
        <v>1325</v>
      </c>
      <c r="CA5" s="77" t="s">
        <v>1326</v>
      </c>
      <c r="CB5" s="77" t="s">
        <v>1327</v>
      </c>
      <c r="CC5" s="77" t="s">
        <v>1328</v>
      </c>
      <c r="CD5" s="77" t="s">
        <v>1329</v>
      </c>
      <c r="CE5" s="77" t="s">
        <v>1330</v>
      </c>
      <c r="CF5" s="77" t="s">
        <v>1331</v>
      </c>
      <c r="CG5" s="77" t="s">
        <v>1332</v>
      </c>
      <c r="CH5" s="92" t="s">
        <v>1333</v>
      </c>
      <c r="CI5" s="90" t="s">
        <v>1334</v>
      </c>
      <c r="CJ5" s="77" t="s">
        <v>1335</v>
      </c>
      <c r="CK5" s="77" t="s">
        <v>1336</v>
      </c>
      <c r="CL5" s="77" t="s">
        <v>1337</v>
      </c>
      <c r="CM5" s="77" t="s">
        <v>1338</v>
      </c>
      <c r="CN5" s="77" t="s">
        <v>1339</v>
      </c>
      <c r="CO5" s="77" t="s">
        <v>1340</v>
      </c>
      <c r="CP5" s="77" t="s">
        <v>1341</v>
      </c>
      <c r="CQ5" s="77" t="s">
        <v>1342</v>
      </c>
      <c r="CR5" s="77" t="s">
        <v>1343</v>
      </c>
      <c r="CS5" s="77" t="s">
        <v>1344</v>
      </c>
      <c r="CT5" s="92" t="s">
        <v>1345</v>
      </c>
      <c r="CU5" s="90" t="s">
        <v>1346</v>
      </c>
      <c r="CV5" s="77" t="s">
        <v>1347</v>
      </c>
      <c r="CW5" s="77" t="s">
        <v>1348</v>
      </c>
      <c r="CX5" s="77" t="s">
        <v>1349</v>
      </c>
      <c r="CY5" s="77" t="s">
        <v>1350</v>
      </c>
      <c r="CZ5" s="77" t="s">
        <v>1351</v>
      </c>
      <c r="DA5" s="77" t="s">
        <v>1352</v>
      </c>
      <c r="DB5" s="77" t="s">
        <v>1353</v>
      </c>
      <c r="DC5" s="77" t="s">
        <v>1354</v>
      </c>
      <c r="DD5" s="77" t="s">
        <v>1355</v>
      </c>
      <c r="DE5" s="77" t="s">
        <v>1356</v>
      </c>
      <c r="DF5" s="92" t="s">
        <v>1357</v>
      </c>
      <c r="DG5" s="90" t="s">
        <v>1358</v>
      </c>
      <c r="DH5" s="77" t="s">
        <v>1359</v>
      </c>
      <c r="DI5" s="77" t="s">
        <v>1360</v>
      </c>
      <c r="DJ5" s="77" t="s">
        <v>1361</v>
      </c>
      <c r="DK5" s="77" t="s">
        <v>1362</v>
      </c>
      <c r="DL5" s="77" t="s">
        <v>1363</v>
      </c>
      <c r="DM5" s="77" t="s">
        <v>1364</v>
      </c>
      <c r="DN5" s="77" t="s">
        <v>1365</v>
      </c>
      <c r="DO5" s="77" t="s">
        <v>1366</v>
      </c>
      <c r="DP5" s="77" t="s">
        <v>1367</v>
      </c>
      <c r="DQ5" s="77" t="s">
        <v>1368</v>
      </c>
      <c r="DR5" s="92" t="s">
        <v>1369</v>
      </c>
      <c r="DS5" s="90" t="s">
        <v>1370</v>
      </c>
      <c r="DT5" s="77" t="s">
        <v>1371</v>
      </c>
      <c r="DU5" s="93" t="s">
        <v>1372</v>
      </c>
      <c r="DV5" s="93" t="s">
        <v>1373</v>
      </c>
      <c r="DW5" s="93" t="s">
        <v>1374</v>
      </c>
      <c r="DX5" s="93" t="s">
        <v>1375</v>
      </c>
      <c r="DY5" s="93" t="s">
        <v>1376</v>
      </c>
      <c r="DZ5" s="93" t="s">
        <v>1377</v>
      </c>
      <c r="EA5" s="93" t="s">
        <v>1378</v>
      </c>
      <c r="EB5" s="93" t="s">
        <v>1379</v>
      </c>
      <c r="EC5" s="93" t="s">
        <v>1380</v>
      </c>
      <c r="ED5" s="93" t="s">
        <v>1381</v>
      </c>
      <c r="EE5" s="93" t="s">
        <v>1382</v>
      </c>
      <c r="EF5" s="77" t="s">
        <v>1383</v>
      </c>
      <c r="EG5" s="92" t="s">
        <v>1384</v>
      </c>
      <c r="EH5" s="90" t="s">
        <v>1370</v>
      </c>
      <c r="EI5" s="77" t="s">
        <v>1385</v>
      </c>
      <c r="EJ5" s="77" t="s">
        <v>1371</v>
      </c>
      <c r="EK5" s="77" t="s">
        <v>1372</v>
      </c>
      <c r="EL5" s="77" t="s">
        <v>1373</v>
      </c>
      <c r="EM5" s="77" t="s">
        <v>1374</v>
      </c>
      <c r="EN5" s="77" t="s">
        <v>1375</v>
      </c>
      <c r="EO5" s="77" t="s">
        <v>1376</v>
      </c>
      <c r="EP5" s="77" t="s">
        <v>1377</v>
      </c>
      <c r="EQ5" s="77" t="s">
        <v>1378</v>
      </c>
      <c r="ER5" s="77" t="s">
        <v>1379</v>
      </c>
      <c r="ES5" s="77" t="s">
        <v>1380</v>
      </c>
      <c r="ET5" s="77" t="s">
        <v>1381</v>
      </c>
      <c r="EU5" s="77" t="s">
        <v>1382</v>
      </c>
      <c r="EV5" s="77" t="s">
        <v>1383</v>
      </c>
      <c r="EW5" s="92" t="s">
        <v>1384</v>
      </c>
      <c r="EX5" s="77" t="s">
        <v>1386</v>
      </c>
      <c r="EY5" s="77" t="s">
        <v>1387</v>
      </c>
      <c r="EZ5" s="77" t="s">
        <v>1388</v>
      </c>
      <c r="FA5" s="77" t="s">
        <v>1389</v>
      </c>
      <c r="FB5" s="77" t="s">
        <v>1390</v>
      </c>
      <c r="FC5" s="77" t="s">
        <v>1391</v>
      </c>
      <c r="FD5" s="77" t="s">
        <v>1392</v>
      </c>
      <c r="FE5" s="77" t="s">
        <v>1393</v>
      </c>
      <c r="FF5" s="77" t="s">
        <v>1394</v>
      </c>
      <c r="FG5" s="77" t="s">
        <v>1395</v>
      </c>
      <c r="FH5" s="77" t="s">
        <v>1396</v>
      </c>
      <c r="FI5" s="77" t="s">
        <v>1397</v>
      </c>
      <c r="FJ5" s="90" t="s">
        <v>1398</v>
      </c>
      <c r="FK5" s="77" t="s">
        <v>1399</v>
      </c>
      <c r="FL5" s="77" t="s">
        <v>1400</v>
      </c>
      <c r="FM5" s="77" t="s">
        <v>1401</v>
      </c>
      <c r="FN5" s="77" t="s">
        <v>1402</v>
      </c>
      <c r="FO5" s="77" t="s">
        <v>1403</v>
      </c>
      <c r="FP5" s="77" t="s">
        <v>1404</v>
      </c>
      <c r="FQ5" s="77" t="s">
        <v>1405</v>
      </c>
      <c r="FR5" s="77" t="s">
        <v>1406</v>
      </c>
      <c r="FS5" s="77" t="s">
        <v>1407</v>
      </c>
      <c r="FT5" s="77" t="s">
        <v>1408</v>
      </c>
      <c r="FU5" s="77" t="s">
        <v>1409</v>
      </c>
      <c r="FV5" s="77" t="s">
        <v>1410</v>
      </c>
      <c r="FW5" s="90" t="s">
        <v>1411</v>
      </c>
      <c r="FX5" s="92" t="s">
        <v>1412</v>
      </c>
      <c r="FY5" s="77" t="s">
        <v>1413</v>
      </c>
      <c r="FZ5" s="77" t="s">
        <v>1414</v>
      </c>
      <c r="GA5" s="77" t="s">
        <v>1415</v>
      </c>
      <c r="GB5" s="77" t="s">
        <v>1416</v>
      </c>
      <c r="GC5" s="77" t="s">
        <v>1417</v>
      </c>
      <c r="GD5" s="77" t="s">
        <v>1418</v>
      </c>
      <c r="GE5" s="77" t="s">
        <v>1419</v>
      </c>
      <c r="GF5" s="77" t="s">
        <v>1420</v>
      </c>
      <c r="GG5" s="77" t="s">
        <v>1421</v>
      </c>
      <c r="GH5" s="77" t="s">
        <v>1422</v>
      </c>
      <c r="GI5" s="77" t="s">
        <v>1423</v>
      </c>
      <c r="GJ5" s="77" t="s">
        <v>1424</v>
      </c>
      <c r="GK5" s="92" t="s">
        <v>1425</v>
      </c>
      <c r="GL5" s="77" t="s">
        <v>1426</v>
      </c>
      <c r="GM5" s="77" t="s">
        <v>1427</v>
      </c>
      <c r="GN5" s="77" t="s">
        <v>1428</v>
      </c>
      <c r="GO5" s="77" t="s">
        <v>1429</v>
      </c>
      <c r="GP5" s="77" t="s">
        <v>1430</v>
      </c>
      <c r="GQ5" s="77" t="s">
        <v>1431</v>
      </c>
      <c r="GR5" s="77" t="s">
        <v>1432</v>
      </c>
      <c r="GS5" s="77" t="s">
        <v>1433</v>
      </c>
      <c r="GT5" s="77" t="s">
        <v>1434</v>
      </c>
      <c r="GU5" s="77" t="s">
        <v>1435</v>
      </c>
      <c r="GV5" s="77" t="s">
        <v>1436</v>
      </c>
      <c r="GW5" s="77" t="s">
        <v>1437</v>
      </c>
      <c r="GX5" s="90" t="s">
        <v>1438</v>
      </c>
      <c r="GY5" s="77" t="s">
        <v>1439</v>
      </c>
      <c r="GZ5" s="77" t="s">
        <v>1440</v>
      </c>
      <c r="HA5" s="77" t="s">
        <v>1441</v>
      </c>
      <c r="HB5" s="77" t="s">
        <v>1442</v>
      </c>
      <c r="HC5" s="77" t="s">
        <v>1443</v>
      </c>
      <c r="HD5" s="77" t="s">
        <v>1444</v>
      </c>
      <c r="HE5" s="77" t="s">
        <v>1445</v>
      </c>
      <c r="HF5" s="77" t="s">
        <v>1446</v>
      </c>
      <c r="HG5" s="77" t="s">
        <v>1447</v>
      </c>
      <c r="HH5" s="77" t="s">
        <v>1448</v>
      </c>
      <c r="HI5" s="92" t="s">
        <v>1449</v>
      </c>
    </row>
    <row r="6" spans="1:217" x14ac:dyDescent="0.25">
      <c r="DS6" s="94">
        <v>100</v>
      </c>
      <c r="EH6" s="94">
        <v>100</v>
      </c>
      <c r="GM6" s="94">
        <v>200</v>
      </c>
      <c r="GN6" s="94">
        <f>(200)*0.1</f>
        <v>20</v>
      </c>
      <c r="GO6" s="94">
        <v>200</v>
      </c>
      <c r="GP6" s="94">
        <v>200</v>
      </c>
      <c r="GQ6" s="94">
        <v>200</v>
      </c>
      <c r="GR6" s="94">
        <v>200</v>
      </c>
      <c r="GS6" s="94">
        <v>200</v>
      </c>
      <c r="GT6" s="94">
        <v>200</v>
      </c>
      <c r="GU6" s="94">
        <v>200</v>
      </c>
      <c r="GV6" s="94">
        <v>200</v>
      </c>
      <c r="GW6" s="94">
        <v>200</v>
      </c>
    </row>
    <row r="7" spans="1:217" x14ac:dyDescent="0.25">
      <c r="DS7" s="94">
        <v>120</v>
      </c>
      <c r="EH7" s="94">
        <v>120</v>
      </c>
      <c r="GM7" s="94">
        <v>200</v>
      </c>
      <c r="GN7" s="94">
        <v>0</v>
      </c>
      <c r="GO7" s="94">
        <v>200</v>
      </c>
      <c r="GP7" s="94">
        <v>200</v>
      </c>
      <c r="GQ7" s="94">
        <v>200</v>
      </c>
      <c r="GR7" s="94">
        <v>200</v>
      </c>
      <c r="GS7" s="94">
        <v>200</v>
      </c>
      <c r="GT7" s="94">
        <v>200</v>
      </c>
      <c r="GU7" s="94">
        <v>200</v>
      </c>
      <c r="GV7" s="94">
        <v>200</v>
      </c>
      <c r="GW7" s="94">
        <v>200</v>
      </c>
    </row>
    <row r="8" spans="1:217" x14ac:dyDescent="0.25">
      <c r="DS8" s="94">
        <v>140</v>
      </c>
      <c r="EH8" s="94">
        <v>140</v>
      </c>
      <c r="GM8" s="94">
        <v>200</v>
      </c>
      <c r="GN8" s="94">
        <v>0</v>
      </c>
      <c r="GO8" s="94">
        <v>200</v>
      </c>
      <c r="GP8" s="94">
        <v>200</v>
      </c>
      <c r="GQ8" s="94">
        <v>200</v>
      </c>
      <c r="GR8" s="94">
        <v>200</v>
      </c>
      <c r="GS8" s="94">
        <v>200</v>
      </c>
      <c r="GT8" s="94">
        <v>200</v>
      </c>
      <c r="GU8" s="94">
        <v>200</v>
      </c>
      <c r="GV8" s="94">
        <v>200</v>
      </c>
      <c r="GW8" s="94">
        <v>200</v>
      </c>
    </row>
    <row r="9" spans="1:217" x14ac:dyDescent="0.25">
      <c r="DS9" s="94">
        <v>160</v>
      </c>
      <c r="EH9" s="94">
        <v>160</v>
      </c>
      <c r="EL9" s="97"/>
      <c r="GM9" s="94">
        <v>200</v>
      </c>
      <c r="GN9" s="94">
        <v>0</v>
      </c>
      <c r="GO9" s="94">
        <v>200</v>
      </c>
      <c r="GP9" s="94">
        <v>200</v>
      </c>
      <c r="GQ9" s="94">
        <v>200</v>
      </c>
      <c r="GR9" s="94">
        <v>200</v>
      </c>
      <c r="GS9" s="94">
        <v>200</v>
      </c>
      <c r="GT9" s="94">
        <v>200</v>
      </c>
      <c r="GU9" s="94">
        <v>200</v>
      </c>
      <c r="GV9" s="94">
        <v>200</v>
      </c>
      <c r="GW9" s="94">
        <v>200</v>
      </c>
    </row>
    <row r="10" spans="1:217" x14ac:dyDescent="0.25">
      <c r="DS10" s="94">
        <v>180</v>
      </c>
      <c r="EH10" s="94">
        <v>200</v>
      </c>
      <c r="EL10" s="97"/>
      <c r="GM10" s="94">
        <v>200</v>
      </c>
      <c r="GN10" s="94">
        <v>0</v>
      </c>
      <c r="GO10" s="94">
        <v>200</v>
      </c>
      <c r="GP10" s="94">
        <v>200</v>
      </c>
      <c r="GQ10" s="94">
        <v>200</v>
      </c>
      <c r="GR10" s="94">
        <v>200</v>
      </c>
      <c r="GS10" s="94">
        <v>200</v>
      </c>
      <c r="GT10" s="94">
        <v>200</v>
      </c>
      <c r="GU10" s="94">
        <v>200</v>
      </c>
      <c r="GV10" s="94">
        <v>200</v>
      </c>
      <c r="GW10" s="94">
        <v>200</v>
      </c>
    </row>
    <row r="11" spans="1:217" x14ac:dyDescent="0.25">
      <c r="DS11" s="94">
        <v>200</v>
      </c>
      <c r="EH11" s="94">
        <v>200</v>
      </c>
      <c r="EL11" s="97"/>
      <c r="GM11" s="94">
        <v>200</v>
      </c>
      <c r="GN11" s="94">
        <f t="shared" ref="GN11:GN23" si="0">(200)*0.1</f>
        <v>20</v>
      </c>
      <c r="GO11" s="94">
        <v>200</v>
      </c>
      <c r="GP11" s="94">
        <v>200</v>
      </c>
      <c r="GQ11" s="94">
        <v>200</v>
      </c>
      <c r="GR11" s="94">
        <v>200</v>
      </c>
      <c r="GS11" s="94">
        <v>200</v>
      </c>
      <c r="GT11" s="94">
        <v>200</v>
      </c>
      <c r="GU11" s="94">
        <v>200</v>
      </c>
      <c r="GV11" s="94">
        <v>200</v>
      </c>
      <c r="GW11" s="94">
        <v>200</v>
      </c>
    </row>
    <row r="12" spans="1:217" x14ac:dyDescent="0.25">
      <c r="DS12" s="94">
        <v>220</v>
      </c>
      <c r="EH12" s="94">
        <v>220</v>
      </c>
      <c r="EL12" s="97"/>
      <c r="GM12" s="94">
        <v>200</v>
      </c>
      <c r="GN12" s="94">
        <f t="shared" si="0"/>
        <v>20</v>
      </c>
      <c r="GO12" s="94">
        <v>200</v>
      </c>
      <c r="GP12" s="94">
        <v>200</v>
      </c>
      <c r="GQ12" s="94">
        <v>200</v>
      </c>
      <c r="GR12" s="94">
        <v>200</v>
      </c>
      <c r="GS12" s="94">
        <v>200</v>
      </c>
      <c r="GT12" s="94">
        <v>200</v>
      </c>
      <c r="GU12" s="94">
        <v>200</v>
      </c>
      <c r="GV12" s="94">
        <v>200</v>
      </c>
      <c r="GW12" s="94">
        <v>200</v>
      </c>
    </row>
    <row r="13" spans="1:217" x14ac:dyDescent="0.25">
      <c r="DS13" s="94">
        <v>240</v>
      </c>
      <c r="EH13" s="94">
        <v>240</v>
      </c>
      <c r="EL13" s="97"/>
      <c r="GM13" s="94">
        <v>200</v>
      </c>
      <c r="GN13" s="94">
        <f t="shared" si="0"/>
        <v>20</v>
      </c>
      <c r="GO13" s="94">
        <v>200</v>
      </c>
      <c r="GP13" s="94">
        <v>200</v>
      </c>
      <c r="GQ13" s="94">
        <v>200</v>
      </c>
      <c r="GR13" s="94">
        <v>200</v>
      </c>
      <c r="GS13" s="94">
        <v>200</v>
      </c>
      <c r="GT13" s="94">
        <v>200</v>
      </c>
      <c r="GU13" s="94">
        <v>200</v>
      </c>
      <c r="GV13" s="94">
        <v>200</v>
      </c>
      <c r="GW13" s="94">
        <v>200</v>
      </c>
    </row>
    <row r="14" spans="1:217" x14ac:dyDescent="0.25">
      <c r="DS14" s="94">
        <v>260</v>
      </c>
      <c r="EH14" s="94">
        <v>260</v>
      </c>
      <c r="EL14" s="97"/>
      <c r="GM14" s="94">
        <v>200</v>
      </c>
      <c r="GN14" s="94">
        <f t="shared" si="0"/>
        <v>20</v>
      </c>
      <c r="GO14" s="94">
        <v>200</v>
      </c>
      <c r="GP14" s="94">
        <v>200</v>
      </c>
      <c r="GQ14" s="94">
        <v>200</v>
      </c>
      <c r="GR14" s="94">
        <v>200</v>
      </c>
      <c r="GS14" s="94">
        <v>200</v>
      </c>
      <c r="GT14" s="94">
        <v>200</v>
      </c>
      <c r="GU14" s="94">
        <v>200</v>
      </c>
      <c r="GV14" s="94">
        <v>200</v>
      </c>
      <c r="GW14" s="94">
        <v>200</v>
      </c>
    </row>
    <row r="15" spans="1:217" x14ac:dyDescent="0.25">
      <c r="DS15" s="94">
        <v>280</v>
      </c>
      <c r="EH15" s="94">
        <v>280</v>
      </c>
      <c r="EL15" s="97"/>
      <c r="GM15" s="94">
        <v>200</v>
      </c>
      <c r="GN15" s="94">
        <f t="shared" si="0"/>
        <v>20</v>
      </c>
      <c r="GO15" s="94">
        <v>200</v>
      </c>
      <c r="GP15" s="94">
        <v>200</v>
      </c>
      <c r="GQ15" s="94">
        <v>200</v>
      </c>
      <c r="GR15" s="94">
        <v>200</v>
      </c>
      <c r="GS15" s="94">
        <v>200</v>
      </c>
      <c r="GT15" s="94">
        <v>200</v>
      </c>
      <c r="GU15" s="94">
        <v>200</v>
      </c>
      <c r="GV15" s="94">
        <v>200</v>
      </c>
      <c r="GW15" s="94">
        <v>200</v>
      </c>
    </row>
    <row r="16" spans="1:217" x14ac:dyDescent="0.25">
      <c r="DS16" s="94">
        <v>300</v>
      </c>
      <c r="EH16" s="94">
        <v>300</v>
      </c>
      <c r="EL16" s="97"/>
      <c r="GM16" s="94">
        <v>200</v>
      </c>
      <c r="GN16" s="94">
        <f t="shared" si="0"/>
        <v>20</v>
      </c>
      <c r="GO16" s="94">
        <v>200</v>
      </c>
      <c r="GP16" s="94">
        <v>200</v>
      </c>
      <c r="GQ16" s="94">
        <v>200</v>
      </c>
      <c r="GR16" s="94">
        <v>200</v>
      </c>
      <c r="GS16" s="94">
        <v>200</v>
      </c>
      <c r="GT16" s="94">
        <v>200</v>
      </c>
      <c r="GU16" s="94">
        <v>200</v>
      </c>
      <c r="GV16" s="94">
        <v>200</v>
      </c>
      <c r="GW16" s="94">
        <v>200</v>
      </c>
    </row>
    <row r="17" spans="123:205" x14ac:dyDescent="0.25">
      <c r="DS17" s="94">
        <v>320</v>
      </c>
      <c r="EH17" s="94">
        <v>320</v>
      </c>
      <c r="EL17" s="97"/>
      <c r="GM17" s="94">
        <v>200</v>
      </c>
      <c r="GN17" s="94">
        <f t="shared" si="0"/>
        <v>20</v>
      </c>
      <c r="GO17" s="94">
        <v>200</v>
      </c>
      <c r="GP17" s="94">
        <v>200</v>
      </c>
      <c r="GQ17" s="94">
        <v>200</v>
      </c>
      <c r="GR17" s="94">
        <v>200</v>
      </c>
      <c r="GS17" s="94">
        <v>200</v>
      </c>
      <c r="GT17" s="94">
        <v>200</v>
      </c>
      <c r="GU17" s="94">
        <v>200</v>
      </c>
      <c r="GV17" s="94">
        <v>200</v>
      </c>
      <c r="GW17" s="94">
        <v>200</v>
      </c>
    </row>
    <row r="18" spans="123:205" x14ac:dyDescent="0.25">
      <c r="DS18" s="94">
        <v>340</v>
      </c>
      <c r="EH18" s="94">
        <v>340</v>
      </c>
      <c r="EL18" s="97"/>
      <c r="GM18" s="94">
        <v>200</v>
      </c>
      <c r="GN18" s="94">
        <f t="shared" si="0"/>
        <v>20</v>
      </c>
      <c r="GO18" s="94">
        <v>200</v>
      </c>
      <c r="GP18" s="94">
        <v>200</v>
      </c>
      <c r="GQ18" s="94">
        <v>200</v>
      </c>
      <c r="GR18" s="94">
        <v>200</v>
      </c>
      <c r="GS18" s="94">
        <v>200</v>
      </c>
      <c r="GT18" s="94">
        <v>200</v>
      </c>
      <c r="GU18" s="94">
        <v>200</v>
      </c>
      <c r="GV18" s="94">
        <v>200</v>
      </c>
      <c r="GW18" s="94">
        <v>200</v>
      </c>
    </row>
    <row r="19" spans="123:205" x14ac:dyDescent="0.25">
      <c r="DS19" s="94">
        <v>360</v>
      </c>
      <c r="EH19" s="94">
        <v>360</v>
      </c>
      <c r="EL19" s="97"/>
      <c r="GM19" s="94">
        <v>200</v>
      </c>
      <c r="GN19" s="94">
        <f t="shared" si="0"/>
        <v>20</v>
      </c>
      <c r="GO19" s="94">
        <v>200</v>
      </c>
      <c r="GP19" s="94">
        <v>200</v>
      </c>
      <c r="GQ19" s="94">
        <v>200</v>
      </c>
      <c r="GR19" s="94">
        <v>200</v>
      </c>
      <c r="GS19" s="94">
        <v>200</v>
      </c>
      <c r="GT19" s="94">
        <v>200</v>
      </c>
      <c r="GU19" s="94">
        <v>200</v>
      </c>
      <c r="GV19" s="94">
        <v>200</v>
      </c>
      <c r="GW19" s="94">
        <v>200</v>
      </c>
    </row>
    <row r="20" spans="123:205" x14ac:dyDescent="0.25">
      <c r="DS20" s="94">
        <v>380</v>
      </c>
      <c r="EH20" s="94">
        <v>380</v>
      </c>
      <c r="EL20" s="97"/>
      <c r="GM20" s="94">
        <v>200</v>
      </c>
      <c r="GN20" s="94">
        <f t="shared" si="0"/>
        <v>20</v>
      </c>
      <c r="GO20" s="94">
        <v>200</v>
      </c>
      <c r="GP20" s="94">
        <v>200</v>
      </c>
      <c r="GQ20" s="94">
        <v>200</v>
      </c>
      <c r="GR20" s="94">
        <v>200</v>
      </c>
      <c r="GS20" s="94">
        <v>200</v>
      </c>
      <c r="GT20" s="94">
        <v>200</v>
      </c>
      <c r="GU20" s="94">
        <v>200</v>
      </c>
      <c r="GV20" s="94">
        <v>200</v>
      </c>
      <c r="GW20" s="94">
        <v>200</v>
      </c>
    </row>
    <row r="21" spans="123:205" x14ac:dyDescent="0.25">
      <c r="DS21" s="94">
        <v>400</v>
      </c>
      <c r="EH21" s="94">
        <v>400</v>
      </c>
      <c r="EL21" s="97"/>
      <c r="GM21" s="94">
        <v>200</v>
      </c>
      <c r="GN21" s="94">
        <f t="shared" si="0"/>
        <v>20</v>
      </c>
      <c r="GO21" s="94">
        <v>200</v>
      </c>
      <c r="GP21" s="94">
        <v>200</v>
      </c>
      <c r="GQ21" s="94">
        <v>200</v>
      </c>
      <c r="GR21" s="94">
        <v>200</v>
      </c>
      <c r="GS21" s="94">
        <v>200</v>
      </c>
      <c r="GT21" s="94">
        <v>200</v>
      </c>
      <c r="GU21" s="94">
        <v>200</v>
      </c>
      <c r="GV21" s="94">
        <v>200</v>
      </c>
      <c r="GW21" s="94">
        <v>200</v>
      </c>
    </row>
    <row r="22" spans="123:205" x14ac:dyDescent="0.25">
      <c r="DS22" s="94">
        <v>420</v>
      </c>
      <c r="EH22" s="94">
        <v>420</v>
      </c>
      <c r="EL22" s="97"/>
      <c r="GM22" s="94">
        <v>200</v>
      </c>
      <c r="GN22" s="94">
        <f t="shared" si="0"/>
        <v>20</v>
      </c>
      <c r="GO22" s="94">
        <v>200</v>
      </c>
      <c r="GP22" s="94">
        <v>200</v>
      </c>
      <c r="GQ22" s="94">
        <v>200</v>
      </c>
      <c r="GR22" s="94">
        <v>200</v>
      </c>
      <c r="GS22" s="94">
        <v>200</v>
      </c>
      <c r="GT22" s="94">
        <v>200</v>
      </c>
      <c r="GU22" s="94">
        <v>200</v>
      </c>
      <c r="GV22" s="94">
        <v>200</v>
      </c>
      <c r="GW22" s="94">
        <v>200</v>
      </c>
    </row>
    <row r="23" spans="123:205" x14ac:dyDescent="0.25">
      <c r="DS23" s="94">
        <v>440</v>
      </c>
      <c r="EH23" s="94">
        <v>440</v>
      </c>
      <c r="EL23" s="97"/>
      <c r="GM23" s="94">
        <v>200</v>
      </c>
      <c r="GN23" s="94">
        <f t="shared" si="0"/>
        <v>20</v>
      </c>
      <c r="GO23" s="94">
        <v>200</v>
      </c>
      <c r="GP23" s="94">
        <v>200</v>
      </c>
      <c r="GQ23" s="94">
        <v>200</v>
      </c>
      <c r="GR23" s="94">
        <v>200</v>
      </c>
      <c r="GS23" s="94">
        <v>200</v>
      </c>
      <c r="GT23" s="94">
        <v>200</v>
      </c>
      <c r="GU23" s="94">
        <v>200</v>
      </c>
      <c r="GV23" s="94">
        <v>200</v>
      </c>
      <c r="GW23" s="94">
        <v>200</v>
      </c>
    </row>
    <row r="24" spans="123:205" x14ac:dyDescent="0.25">
      <c r="DS24" s="94">
        <v>460</v>
      </c>
      <c r="EH24" s="94">
        <v>460</v>
      </c>
      <c r="EL24" s="97"/>
    </row>
    <row r="25" spans="123:205" x14ac:dyDescent="0.25">
      <c r="DS25" s="94">
        <v>480</v>
      </c>
      <c r="EH25" s="94">
        <v>480</v>
      </c>
      <c r="EL25" s="97"/>
    </row>
    <row r="26" spans="123:205" x14ac:dyDescent="0.25">
      <c r="DS26" s="94">
        <v>500</v>
      </c>
      <c r="EH26" s="94">
        <v>500</v>
      </c>
      <c r="EL26" s="97"/>
    </row>
    <row r="27" spans="123:205" x14ac:dyDescent="0.25">
      <c r="DS27" s="94">
        <v>520</v>
      </c>
      <c r="EH27" s="94">
        <v>520</v>
      </c>
      <c r="EL27" s="97"/>
    </row>
    <row r="28" spans="123:205" x14ac:dyDescent="0.25">
      <c r="DS28" s="94">
        <v>540</v>
      </c>
      <c r="EH28" s="94">
        <v>540</v>
      </c>
      <c r="EL28" s="97"/>
    </row>
    <row r="29" spans="123:205" x14ac:dyDescent="0.25">
      <c r="DS29" s="94">
        <v>560</v>
      </c>
      <c r="EH29" s="94">
        <v>560</v>
      </c>
      <c r="EL29" s="9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dimension ref="A1:A3"/>
  <sheetViews>
    <sheetView workbookViewId="0">
      <selection sqref="A1:A3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D8" sqref="D8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F24" sqref="F24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Олег Моисеев</cp:lastModifiedBy>
  <dcterms:created xsi:type="dcterms:W3CDTF">2020-05-26T07:49:30Z</dcterms:created>
  <dcterms:modified xsi:type="dcterms:W3CDTF">2020-06-22T12:49:38Z</dcterms:modified>
</cp:coreProperties>
</file>