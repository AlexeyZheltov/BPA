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72A48BC7-FFD9-42FE-BB33-45C072D01220}" xr6:coauthVersionLast="45" xr6:coauthVersionMax="45" xr10:uidLastSave="{00000000-0000-0000-0000-000000000000}"/>
  <bookViews>
    <workbookView xWindow="-120" yWindow="-120" windowWidth="23310" windowHeight="13740" activeTab="2" xr2:uid="{00000000-000D-0000-FFFF-FFFF00000000}"/>
  </bookViews>
  <sheets>
    <sheet name="Суперкатегории" sheetId="1" r:id="rId1"/>
    <sheet name="Продукт группы" sheetId="3" r:id="rId2"/>
    <sheet name="Статусы товаров" sheetId="4" r:id="rId3"/>
    <sheet name="Товары" sheetId="5" r:id="rId4"/>
    <sheet name="Продуктовые календари" sheetId="6" r:id="rId5"/>
    <sheet name="STK" sheetId="7" r:id="rId6"/>
    <sheet name="РРЦ" sheetId="8" r:id="rId7"/>
    <sheet name="DIY" sheetId="9" r:id="rId8"/>
    <sheet name="Бюджетные курсы" sheetId="10" r:id="rId9"/>
    <sheet name="Эксклюзивность" sheetId="11" r:id="rId10"/>
    <sheet name="Клиенты" sheetId="12" r:id="rId11"/>
    <sheet name="GardenChannel" sheetId="13" r:id="rId12"/>
    <sheet name="Скидки" sheetId="14" r:id="rId13"/>
    <sheet name="Планирование" sheetId="15" r:id="rId1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5" l="1"/>
  <c r="F3" i="5"/>
  <c r="G3" i="5"/>
  <c r="G2" i="5" l="1"/>
  <c r="F2" i="5"/>
  <c r="D2" i="5" l="1"/>
</calcChain>
</file>

<file path=xl/sharedStrings.xml><?xml version="1.0" encoding="utf-8"?>
<sst xmlns="http://schemas.openxmlformats.org/spreadsheetml/2006/main" count="292" uniqueCount="244">
  <si>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</si>
  <si>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</si>
  <si>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</si>
  <si>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</si>
  <si>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</si>
  <si>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</si>
  <si>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</si>
  <si>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</si>
  <si>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</si>
  <si>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</si>
  <si>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</si>
  <si>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Выведено изассортимента текущего года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</si>
  <si>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</si>
  <si>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</si>
  <si>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</si>
  <si>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</si>
  <si>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</si>
  <si>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</si>
  <si>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</si>
  <si>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</si>
  <si>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</si>
  <si>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</si>
  <si>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</si>
  <si>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</si>
  <si>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</si>
  <si>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</si>
  <si>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– Поле для выбора календаря из которого импортируются данные</t>
  </si>
  <si>
    <t>Нет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</si>
  <si>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</si>
  <si>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</si>
  <si>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</si>
  <si>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</si>
  <si>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</si>
  <si>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</si>
  <si>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</si>
  <si>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</si>
  <si>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</si>
  <si>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</si>
  <si>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</si>
  <si>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</si>
  <si>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</si>
  <si>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</si>
  <si>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</si>
  <si>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Dealer&amp;Regional&amp;Online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</si>
  <si>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</si>
  <si>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</si>
  <si>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</si>
  <si>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</si>
  <si>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</si>
  <si>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</si>
  <si>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</si>
  <si>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</si>
  <si>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</si>
  <si>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</si>
  <si>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</si>
  <si>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Иван Иванов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</si>
  <si>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</si>
  <si>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</si>
  <si>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</si>
  <si>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</si>
  <si>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</si>
  <si>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</si>
  <si>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</si>
  <si>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</si>
  <si>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</si>
  <si>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</si>
  <si>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</si>
  <si>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</si>
  <si>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=20%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</si>
  <si>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</si>
  <si>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</si>
  <si>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</si>
  <si>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</si>
  <si>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</si>
  <si>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</si>
  <si>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</si>
  <si>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</si>
  <si>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</si>
  <si>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</si>
  <si>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</si>
  <si>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</si>
  <si>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</si>
  <si>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</si>
  <si>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</si>
  <si>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</si>
  <si>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</si>
  <si>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</si>
  <si>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</si>
  <si>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</si>
  <si>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</si>
  <si>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</si>
  <si>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</si>
  <si>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</si>
  <si>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</si>
  <si>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</si>
  <si>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</si>
  <si>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</si>
  <si>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</si>
  <si>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</si>
  <si>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</si>
  <si>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</si>
  <si>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</si>
  <si>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</si>
  <si>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</si>
  <si>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</si>
  <si>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</si>
  <si>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</si>
  <si>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</si>
  <si>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</si>
  <si>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</si>
  <si>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</si>
  <si>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</si>
  <si>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</si>
  <si>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</si>
  <si>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</si>
  <si>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</si>
  <si>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</si>
  <si>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</si>
  <si>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</si>
  <si>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</si>
  <si>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</si>
  <si>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</si>
  <si>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</si>
  <si>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</si>
  <si>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</si>
  <si>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</si>
  <si>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</si>
  <si>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</si>
  <si>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</si>
  <si>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</si>
  <si>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</si>
  <si>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</si>
  <si>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</si>
  <si>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</si>
  <si>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</si>
  <si>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</si>
  <si>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</si>
  <si>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</si>
  <si>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</si>
  <si>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</si>
  <si>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</si>
  <si>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</si>
  <si>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</si>
  <si>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</si>
  <si>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</si>
  <si>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</si>
  <si>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</si>
  <si>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</si>
  <si>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</si>
  <si>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</si>
  <si>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</si>
  <si>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</si>
  <si>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</si>
  <si>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</si>
  <si>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</si>
  <si>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</si>
  <si>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</si>
  <si>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</si>
  <si>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</si>
  <si>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</si>
  <si>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</si>
  <si>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</si>
  <si>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</si>
  <si>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</si>
  <si>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</si>
  <si>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</si>
  <si>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</si>
  <si>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</si>
  <si>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</si>
  <si>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</si>
  <si>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</si>
  <si>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</si>
  <si>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</si>
  <si>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</si>
  <si>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</si>
  <si>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</si>
  <si>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</si>
  <si>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</si>
  <si>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</si>
  <si>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</si>
  <si>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</si>
  <si>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</si>
  <si>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</si>
  <si>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</si>
  <si>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</si>
  <si>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</si>
  <si>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</si>
  <si>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</si>
  <si>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</si>
  <si>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</si>
  <si>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</si>
  <si>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</si>
  <si>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</si>
  <si>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</si>
  <si>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</si>
  <si>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</si>
  <si>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</si>
  <si>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</si>
  <si>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</si>
  <si>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</si>
  <si>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</si>
  <si>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</si>
  <si>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</si>
  <si>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</si>
  <si>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</si>
  <si>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</si>
  <si>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</si>
  <si>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?</t>
  </si>
  <si>
    <t>Subgroup ClassRef ID (only integration)</t>
  </si>
  <si>
    <t>Model (only integration)</t>
  </si>
  <si>
    <t>&lt;ID&gt;</t>
  </si>
  <si>
    <t>Local ID Gardena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</si>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</sst>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р_._-;\-* #,##0.00\ _р_._-;_-* &quot;-&quot;??\ _р_._-;_-@_-"/>
    <numFmt numFmtId="165" formatCode="_-* #,##0\ _р_._-;\-* #,##0\ _р_._-;_-* &quot;-&quot;??\ _р_._-;_-@_-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3" borderId="0" xfId="0" applyFill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225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24" dataCellStyle="Финансовый"/>
    <tableColumn id="2" xr3:uid="{00000000-0010-0000-0000-000002000000}" name="Суперкатегория (ENG)" dataDxfId="223"/>
    <tableColumn id="3" xr3:uid="{00000000-0010-0000-0000-000003000000}" name="Суперкатегория (RUS)" dataDxfId="222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21" dataDxfId="220">
  <autoFilter ref="A1:D33" xr:uid="{00000000-0009-0000-0100-000002000000}"/>
  <tableColumns count="4">
    <tableColumn id="1" xr3:uid="{00000000-0010-0000-0100-000001000000}" name="№" dataDxfId="219"/>
    <tableColumn id="2" xr3:uid="{00000000-0010-0000-0100-000002000000}" name="Продукт группа" dataDxfId="218"/>
    <tableColumn id="3" xr3:uid="{00000000-0010-0000-0100-000003000000}" name="Название продукт группы (ENG)" dataDxfId="217"/>
    <tableColumn id="4" xr3:uid="{00000000-0010-0000-0100-000004000000}" name="Название продукт группы (RUS)" dataDxfId="21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15"/>
    <tableColumn id="2" xr3:uid="{00000000-0010-0000-0200-000002000000}" name="Статус" dataDxfId="214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1:AN3" totalsRowShown="0" headerRowDxfId="213" dataDxfId="212">
  <tableColumns count="40">
    <tableColumn id="20" xr3:uid="{F0834113-79EB-4DC4-BB50-96E4D3BC9E62}" name="№" dataDxfId="211"/>
    <tableColumn id="1" xr3:uid="{00000000-0010-0000-0300-000001000000}" name="Категория для прайс-листа диллеров" dataDxfId="210"/>
    <tableColumn id="2" xr3:uid="{00000000-0010-0000-0300-000002000000}" name="Суперкатегория (ENG)" dataDxfId="209"/>
    <tableColumn id="3" xr3:uid="{00000000-0010-0000-0300-000003000000}" name="Суперкатегория (RUS)" dataDxfId="208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207"/>
    <tableColumn id="5" xr3:uid="{00000000-0010-0000-0300-000005000000}" name="Название продукт группы (ENG)" dataDxfId="206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205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204"/>
    <tableColumn id="8" xr3:uid="{00000000-0010-0000-0300-000008000000}" name="Generic Name (long)" dataDxfId="203"/>
    <tableColumn id="9" xr3:uid="{00000000-0010-0000-0300-000009000000}" name="Model" dataDxfId="202"/>
    <tableColumn id="10" xr3:uid="{00000000-0010-0000-0300-00000A000000}" name="PNS" dataDxfId="201"/>
    <tableColumn id="11" xr3:uid="{00000000-0010-0000-0300-00000B000000}" name="Артикул" dataDxfId="200"/>
    <tableColumn id="12" xr3:uid="{00000000-0010-0000-0300-00000C000000}" name="Артикул предшественника (если есть)" dataDxfId="199"/>
    <tableColumn id="13" xr3:uid="{00000000-0010-0000-0300-00000D000000}" name="Название артикула (ENG)" dataDxfId="198"/>
    <tableColumn id="14" xr3:uid="{00000000-0010-0000-0300-00000E000000}" name="Название артикула (RUS)" dataDxfId="197"/>
    <tableColumn id="15" xr3:uid="{00000000-0010-0000-0300-00000F000000}" name="Используемый календарь" dataDxfId="196"/>
    <tableColumn id="21" xr3:uid="{22E1A367-1EE8-43BC-814E-457CB0799CE2}" name="to be sold in" dataDxfId="195"/>
    <tableColumn id="22" xr3:uid="{96D0E354-E4F0-4C0D-A215-B5053EDC93D3}" name="Sales Start Date" dataDxfId="194"/>
    <tableColumn id="23" xr3:uid="{8E8FA46F-C4EA-4B11-9002-6C2FB1732F50}" name="Preliminary Elimination Date" dataDxfId="193"/>
    <tableColumn id="24" xr3:uid="{1CD4DFA3-524A-4B3F-B75B-153436EC8505}" name="Elimination Date" dataDxfId="192"/>
    <tableColumn id="25" xr3:uid="{9E91402A-0829-46E3-BCAD-2B3FBD67E8B4}" name="GTIN-13/EAN" dataDxfId="191"/>
    <tableColumn id="26" xr3:uid="{6D670FEE-0EE3-4984-AE03-EE53C5B4F796}" name="Current Producing Factory Entity Reference" dataDxfId="190"/>
    <tableColumn id="27" xr3:uid="{5EE7ABD6-FDA4-4488-802E-A3E44391980C}" name="Country of Origin" dataDxfId="189"/>
    <tableColumn id="28" xr3:uid="{9B515A88-1ED3-4508-B5E0-8006888F9EC2}" name="Unit of measure" dataDxfId="188"/>
    <tableColumn id="29" xr3:uid="{87BE889F-2ABE-4DA6-8E30-3420049514D6}" name="Quantity in Master pack" dataDxfId="187"/>
    <tableColumn id="30" xr3:uid="{47EEE49F-81B7-4FCC-B374-69DEC03ECE66}" name="Article gross weight, preliminary" dataDxfId="186"/>
    <tableColumn id="31" xr3:uid="{EFEF2C58-568B-4F24-9FA2-6034A66D278C}" name="Article gross weight" dataDxfId="185"/>
    <tableColumn id="32" xr3:uid="{D9BFC098-81CC-44FD-9FDE-FE6F58BB8BD6}" name="Article net weight, preliminary" dataDxfId="184"/>
    <tableColumn id="33" xr3:uid="{C47E9D47-775F-4F97-AD61-45CFFC8D6D30}" name="Article net weight" dataDxfId="183"/>
    <tableColumn id="34" xr3:uid="{8FDF5358-549B-4DBC-B8D0-CFC371276F4D}" name="Packaging length" dataDxfId="182"/>
    <tableColumn id="35" xr3:uid="{6E69E3B5-4350-4ABB-89BF-8A6BD2DC4947}" name="Packaging width" dataDxfId="181"/>
    <tableColumn id="36" xr3:uid="{96879B4C-6D27-4389-8B5A-11E1CBC022EA}" name="Packaging height" dataDxfId="180"/>
    <tableColumn id="37" xr3:uid="{170F61C0-2069-494A-A33C-F39311F5A9C7}" name="Packaging volume" dataDxfId="179"/>
    <tableColumn id="38" xr3:uid="{5E3DED34-6BEE-4E8A-AFB4-2CACE6CD1835}" name="Product size length" dataDxfId="178"/>
    <tableColumn id="39" xr3:uid="{FF80A301-50E2-4D81-BB7D-1EE251460E5A}" name="Product size height" dataDxfId="177"/>
    <tableColumn id="40" xr3:uid="{37BA004B-7442-4871-93EF-B13A77E1A917}" name="Product size width" dataDxfId="176"/>
    <tableColumn id="41" xr3:uid="{9C4077D9-3E18-4C57-A4FE-24EC817418FB}" name="Units Per Pallet" dataDxfId="175"/>
    <tableColumn id="16" xr3:uid="{00000000-0010-0000-0300-000010000000}" name="Статус" dataDxfId="174"/>
    <tableColumn id="17" xr3:uid="{00000000-0010-0000-0300-000011000000}" name="Эксклюзив клиента или канала продажи" dataDxfId="173"/>
    <tableColumn id="18" xr3:uid="{00000000-0010-0000-0300-000012000000}" name="Локальный сертификат" dataDxfId="172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171">
  <autoFilter ref="A1:C2" xr:uid="{00000000-0009-0000-0100-000005000000}"/>
  <tableColumns count="3">
    <tableColumn id="1" xr3:uid="{00000000-0010-0000-0400-000001000000}" name="№" dataDxfId="170"/>
    <tableColumn id="2" xr3:uid="{00000000-0010-0000-0400-000002000000}" name="Название" dataDxfId="169"/>
    <tableColumn id="3" xr3:uid="{00000000-0010-0000-0400-000003000000}" name="Путь к файлу" dataDxfId="16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67" dataDxfId="166">
  <autoFilter ref="A1:E2" xr:uid="{00000000-0009-0000-0100-000008000000}"/>
  <tableColumns count="5">
    <tableColumn id="5" xr3:uid="{D948CA53-CDCE-46C5-BE95-D1E2925C758E}" name="№" dataDxfId="165"/>
    <tableColumn id="1" xr3:uid="{00000000-0010-0000-0500-000001000000}" name="Артикул" dataDxfId="164"/>
    <tableColumn id="2" xr3:uid="{00000000-0010-0000-0500-000002000000}" name="STK 2.5, Eur" dataDxfId="163"/>
    <tableColumn id="3" xr3:uid="{00000000-0010-0000-0500-000003000000}" name="STK 2.5, руб." dataDxfId="162"/>
    <tableColumn id="4" xr3:uid="{00000000-0010-0000-0500-000004000000}" name="Дата принятия" dataDxfId="16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2" totalsRowShown="0" headerRowDxfId="160" headerRowBorderDxfId="159" tableBorderDxfId="158">
  <autoFilter ref="A1:F2" xr:uid="{00000000-0009-0000-0100-000009000000}"/>
  <tableColumns count="6">
    <tableColumn id="6" xr3:uid="{2D081CBD-B861-4BD3-904F-4492D5DB2851}" name="№"/>
    <tableColumn id="1" xr3:uid="{00000000-0010-0000-0600-000001000000}" name="Артикул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15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156"/>
    <tableColumn id="2" xr3:uid="{00000000-0010-0000-0700-000002000000}" name="SubGroup" dataDxfId="155"/>
    <tableColumn id="3" xr3:uid="{00000000-0010-0000-0700-000003000000}" name="Процент от РРЦ, без НДС" dataDxfId="154" dataCellStyle="Процентный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2" totalsRowShown="0" headerRowBorderDxfId="153" tableBorderDxfId="152">
  <autoFilter ref="A1:C2" xr:uid="{00000000-0009-0000-0100-00000B000000}"/>
  <tableColumns count="3">
    <tableColumn id="1" xr3:uid="{00000000-0010-0000-0800-000001000000}" name="№" dataDxfId="151"/>
    <tableColumn id="2" xr3:uid="{00000000-0010-0000-0800-000002000000}" name="Дата принятия" dataDxfId="150"/>
    <tableColumn id="3" xr3:uid="{00000000-0010-0000-0800-000003000000}" name="Процент от РРЦ, без НДС" dataDxfId="14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6" totalsRowShown="0">
  <autoFilter ref="A1:B6" xr:uid="{00000000-0009-0000-0100-00000C000000}"/>
  <tableColumns count="2">
    <tableColumn id="1" xr3:uid="{00000000-0010-0000-0900-000001000000}" name="№" dataDxfId="148"/>
    <tableColumn id="2" xr3:uid="{00000000-0010-0000-0900-000002000000}" name="Эксклюзивность" dataDxfId="1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2" insertRow="1" totalsRowShown="0" headerRowDxfId="146" dataDxfId="145">
  <autoFilter ref="A1:H2" xr:uid="{00000000-0009-0000-0100-00000D000000}"/>
  <tableColumns count="8">
    <tableColumn id="8" xr3:uid="{E2D1A163-1F1A-4C5F-BF19-12C204A54D1C}" name="№" dataDxfId="144"/>
    <tableColumn id="1" xr3:uid="{00000000-0010-0000-0A00-000001000000}" name="GardenaChannel" dataDxfId="143"/>
    <tableColumn id="2" xr3:uid="{00000000-0010-0000-0A00-000002000000}" name="Customer" dataDxfId="142"/>
    <tableColumn id="3" xr3:uid="{00000000-0010-0000-0A00-000003000000}" name="Channel type" dataDxfId="141"/>
    <tableColumn id="4" xr3:uid="{00000000-0010-0000-0A00-000004000000}" name="Customer status" dataDxfId="140"/>
    <tableColumn id="5" xr3:uid="{00000000-0010-0000-0A00-000005000000}" name="Sales manager" dataDxfId="139"/>
    <tableColumn id="6" xr3:uid="{00000000-0010-0000-0A00-000006000000}" name="Маг" dataDxfId="138"/>
    <tableColumn id="7" xr3:uid="{00000000-0010-0000-0A00-000007000000}" name="CustomerBudget" dataDxfId="13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" totalsRowShown="0" dataDxfId="136">
  <autoFilter ref="A1:C2" xr:uid="{00000000-0009-0000-0100-00000E000000}"/>
  <tableColumns count="3">
    <tableColumn id="1" xr3:uid="{00000000-0010-0000-0B00-000001000000}" name="Код" dataDxfId="135"/>
    <tableColumn id="2" xr3:uid="{00000000-0010-0000-0B00-000002000000}" name="GardenChannel" dataDxfId="134"/>
    <tableColumn id="3" xr3:uid="{00000000-0010-0000-0B00-000003000000}" name="Sales manager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132">
  <autoFilter ref="A1:K2" xr:uid="{00000000-0009-0000-0100-00000F000000}"/>
  <tableColumns count="11">
    <tableColumn id="11" xr3:uid="{F724774D-6E5F-421B-8A8A-7AD1541FFA21}" name="№" dataDxfId="131"/>
    <tableColumn id="1" xr3:uid="{00000000-0010-0000-0C00-000001000000}" name="Channel type" dataDxfId="130"/>
    <tableColumn id="2" xr3:uid="{00000000-0010-0000-0C00-000002000000}" name="Customer status" dataDxfId="129"/>
    <tableColumn id="3" xr3:uid="{00000000-0010-0000-0C00-000003000000}" name="Период" dataDxfId="128"/>
    <tableColumn id="4" xr3:uid="{00000000-0010-0000-0C00-000004000000}" name="Оборудование для полива" dataDxfId="127"/>
    <tableColumn id="5" xr3:uid="{00000000-0010-0000-0C00-000005000000}" name="Электрика (Готовая продукция)" dataDxfId="126"/>
    <tableColumn id="6" xr3:uid="{00000000-0010-0000-0C00-000006000000}" name="Газонокосилки-роботы" dataDxfId="125"/>
    <tableColumn id="7" xr3:uid="{00000000-0010-0000-0C00-000007000000}" name="Насосное оборудование" dataDxfId="124"/>
    <tableColumn id="8" xr3:uid="{00000000-0010-0000-0C00-000008000000}" name="Ручные и режущие инструменты" dataDxfId="123"/>
    <tableColumn id="9" xr3:uid="{00000000-0010-0000-0C00-000009000000}" name="Зимние инструменты ClassicLine" dataDxfId="122"/>
    <tableColumn id="10" xr3:uid="{00000000-0010-0000-0C00-00000A000000}" name="Максимальный годовой бонус" dataDxfId="1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120">
  <tableColumns count="121">
    <tableColumn id="1" xr3:uid="{00000000-0010-0000-0D00-000001000000}" name="ID" dataDxfId="119"/>
    <tableColumn id="2" xr3:uid="{00000000-0010-0000-0D00-000002000000}" name="Channel type" dataDxfId="118"/>
    <tableColumn id="3" xr3:uid="{00000000-0010-0000-0D00-000003000000}" name="Customer status" dataDxfId="117"/>
    <tableColumn id="4" xr3:uid="{00000000-0010-0000-0D00-000004000000}" name="Дата прогноза" dataDxfId="116"/>
    <tableColumn id="5" xr3:uid="{00000000-0010-0000-0D00-000005000000}" name="Данные справочника товаров"/>
    <tableColumn id="6" xr3:uid="{00000000-0010-0000-0D00-000006000000}" name="STK 2.5, руб." dataDxfId="115"/>
    <tableColumn id="7" xr3:uid="{00000000-0010-0000-0D00-000007000000}" name="IRP, Eur" dataDxfId="114"/>
    <tableColumn id="8" xr3:uid="{00000000-0010-0000-0D00-000008000000}" name="РРЦ, руб.с НДС" dataDxfId="113"/>
    <tableColumn id="9" xr3:uid="{00000000-0010-0000-0D00-000009000000}" name="Индекс IRP" dataDxfId="112"/>
    <tableColumn id="10" xr3:uid="{00000000-0010-0000-0D00-00000A000000}" name="DIY price list, руб. без НДС" dataDxfId="111"/>
    <tableColumn id="11" xr3:uid="{00000000-0010-0000-0D00-00000B000000}" name="2 net цена, руб." dataDxfId="110"/>
    <tableColumn id="12" xr3:uid="{00000000-0010-0000-0D00-00000C000000}" name="3 net цена, руб." dataDxfId="109"/>
    <tableColumn id="13" xr3:uid="{00000000-0010-0000-0D00-00000D000000}" name="Transfer цена, руб." dataDxfId="108"/>
    <tableColumn id="14" xr3:uid="{00000000-0010-0000-0D00-00000E000000}" name="Price-list январь" dataDxfId="107"/>
    <tableColumn id="15" xr3:uid="{00000000-0010-0000-0D00-00000F000000}" name="Price-list февраль" dataDxfId="106"/>
    <tableColumn id="16" xr3:uid="{00000000-0010-0000-0D00-000010000000}" name="Price-list март" dataDxfId="105"/>
    <tableColumn id="17" xr3:uid="{00000000-0010-0000-0D00-000011000000}" name="Price-list апрель" dataDxfId="104"/>
    <tableColumn id="18" xr3:uid="{00000000-0010-0000-0D00-000012000000}" name="Price-list май" dataDxfId="103"/>
    <tableColumn id="19" xr3:uid="{00000000-0010-0000-0D00-000013000000}" name="Price-list июнь" dataDxfId="102"/>
    <tableColumn id="20" xr3:uid="{00000000-0010-0000-0D00-000014000000}" name="Price-list июль" dataDxfId="101"/>
    <tableColumn id="21" xr3:uid="{00000000-0010-0000-0D00-000015000000}" name="Price-list август" dataDxfId="100"/>
    <tableColumn id="22" xr3:uid="{00000000-0010-0000-0D00-000016000000}" name="Price-list сентябрь" dataDxfId="99"/>
    <tableColumn id="23" xr3:uid="{00000000-0010-0000-0D00-000017000000}" name="Price-list октябрь" dataDxfId="98"/>
    <tableColumn id="24" xr3:uid="{00000000-0010-0000-0D00-000018000000}" name="Price-list ноябрь" dataDxfId="97"/>
    <tableColumn id="25" xr3:uid="{00000000-0010-0000-0D00-000019000000}" name="Price-list декабрь" dataDxfId="96"/>
    <tableColumn id="26" xr3:uid="{00000000-0010-0000-0D00-00001A000000}" name="Объем продаж январь" dataDxfId="95"/>
    <tableColumn id="27" xr3:uid="{00000000-0010-0000-0D00-00001B000000}" name="Объем продаж февраль" dataDxfId="94"/>
    <tableColumn id="28" xr3:uid="{00000000-0010-0000-0D00-00001C000000}" name="Объем продаж март" dataDxfId="93"/>
    <tableColumn id="29" xr3:uid="{00000000-0010-0000-0D00-00001D000000}" name="Объем продаж апрель" dataDxfId="92"/>
    <tableColumn id="30" xr3:uid="{00000000-0010-0000-0D00-00001E000000}" name="Объем продаж май" dataDxfId="91"/>
    <tableColumn id="31" xr3:uid="{00000000-0010-0000-0D00-00001F000000}" name="Объем продаж июнь" dataDxfId="90"/>
    <tableColumn id="32" xr3:uid="{00000000-0010-0000-0D00-000020000000}" name="Объем продаж июль" dataDxfId="89"/>
    <tableColumn id="33" xr3:uid="{00000000-0010-0000-0D00-000021000000}" name="Объем продаж август" dataDxfId="88"/>
    <tableColumn id="34" xr3:uid="{00000000-0010-0000-0D00-000022000000}" name="Объем продаж сентябрь" dataDxfId="87"/>
    <tableColumn id="35" xr3:uid="{00000000-0010-0000-0D00-000023000000}" name="Объем продаж октябрь" dataDxfId="86"/>
    <tableColumn id="36" xr3:uid="{00000000-0010-0000-0D00-000024000000}" name="Объем продаж ноябрь" dataDxfId="85"/>
    <tableColumn id="37" xr3:uid="{00000000-0010-0000-0D00-000025000000}" name="Объем продаж декабрь" dataDxfId="84"/>
    <tableColumn id="38" xr3:uid="{00000000-0010-0000-0D00-000026000000}" name="GS январь" dataDxfId="83"/>
    <tableColumn id="39" xr3:uid="{00000000-0010-0000-0D00-000027000000}" name="GS февраль" dataDxfId="82"/>
    <tableColumn id="40" xr3:uid="{00000000-0010-0000-0D00-000028000000}" name="GS март" dataDxfId="81"/>
    <tableColumn id="41" xr3:uid="{00000000-0010-0000-0D00-000029000000}" name="GS апрель" dataDxfId="80"/>
    <tableColumn id="42" xr3:uid="{00000000-0010-0000-0D00-00002A000000}" name="GS май" dataDxfId="79"/>
    <tableColumn id="43" xr3:uid="{00000000-0010-0000-0D00-00002B000000}" name="GS июнь" dataDxfId="78"/>
    <tableColumn id="44" xr3:uid="{00000000-0010-0000-0D00-00002C000000}" name="GS июль" dataDxfId="77"/>
    <tableColumn id="45" xr3:uid="{00000000-0010-0000-0D00-00002D000000}" name="GS август" dataDxfId="76"/>
    <tableColumn id="46" xr3:uid="{00000000-0010-0000-0D00-00002E000000}" name="GS сентябрь" dataDxfId="75"/>
    <tableColumn id="47" xr3:uid="{00000000-0010-0000-0D00-00002F000000}" name="GS октябрь" dataDxfId="74"/>
    <tableColumn id="48" xr3:uid="{00000000-0010-0000-0D00-000030000000}" name="GS ноябрь" dataDxfId="73"/>
    <tableColumn id="49" xr3:uid="{00000000-0010-0000-0D00-000031000000}" name="GS декабрь" dataDxfId="72"/>
    <tableColumn id="50" xr3:uid="{00000000-0010-0000-0D00-000032000000}" name="NS Январь" dataDxfId="71"/>
    <tableColumn id="51" xr3:uid="{00000000-0010-0000-0D00-000033000000}" name="NS февраль" dataDxfId="70"/>
    <tableColumn id="52" xr3:uid="{00000000-0010-0000-0D00-000034000000}" name="NS март" dataDxfId="69"/>
    <tableColumn id="53" xr3:uid="{00000000-0010-0000-0D00-000035000000}" name="NS апрель" dataDxfId="68"/>
    <tableColumn id="54" xr3:uid="{00000000-0010-0000-0D00-000036000000}" name="NS май" dataDxfId="67"/>
    <tableColumn id="55" xr3:uid="{00000000-0010-0000-0D00-000037000000}" name="NS июнь" dataDxfId="66"/>
    <tableColumn id="56" xr3:uid="{00000000-0010-0000-0D00-000038000000}" name="NS июль" dataDxfId="65"/>
    <tableColumn id="57" xr3:uid="{00000000-0010-0000-0D00-000039000000}" name="NS август" dataDxfId="64"/>
    <tableColumn id="58" xr3:uid="{00000000-0010-0000-0D00-00003A000000}" name="NS сентябрь" dataDxfId="63"/>
    <tableColumn id="59" xr3:uid="{00000000-0010-0000-0D00-00003B000000}" name="NS октябрь" dataDxfId="62"/>
    <tableColumn id="60" xr3:uid="{00000000-0010-0000-0D00-00003C000000}" name="NS ноябрь" dataDxfId="61"/>
    <tableColumn id="61" xr3:uid="{00000000-0010-0000-0D00-00003D000000}" name="NS декабрь" dataDxfId="60"/>
    <tableColumn id="62" xr3:uid="{00000000-0010-0000-0D00-00003E000000}" name="Promo Price-list январь" dataDxfId="59"/>
    <tableColumn id="63" xr3:uid="{00000000-0010-0000-0D00-00003F000000}" name="Promo Price-list февраль" dataDxfId="58"/>
    <tableColumn id="64" xr3:uid="{00000000-0010-0000-0D00-000040000000}" name="Promo Price-list март" dataDxfId="57"/>
    <tableColumn id="65" xr3:uid="{00000000-0010-0000-0D00-000041000000}" name="Promo Price-list апрель" dataDxfId="56"/>
    <tableColumn id="66" xr3:uid="{00000000-0010-0000-0D00-000042000000}" name="Promo Price-list май" dataDxfId="55"/>
    <tableColumn id="67" xr3:uid="{00000000-0010-0000-0D00-000043000000}" name="Promo Price-list июнь" dataDxfId="54"/>
    <tableColumn id="68" xr3:uid="{00000000-0010-0000-0D00-000044000000}" name="Promo Price-list июль" dataDxfId="53"/>
    <tableColumn id="69" xr3:uid="{00000000-0010-0000-0D00-000045000000}" name="Promo Price-list август" dataDxfId="52"/>
    <tableColumn id="70" xr3:uid="{00000000-0010-0000-0D00-000046000000}" name="Promo Price-list сентябрь" dataDxfId="51"/>
    <tableColumn id="71" xr3:uid="{00000000-0010-0000-0D00-000047000000}" name="Promo Price-list октябрь" dataDxfId="50"/>
    <tableColumn id="72" xr3:uid="{00000000-0010-0000-0D00-000048000000}" name="Promo Price-list ноябрь" dataDxfId="49"/>
    <tableColumn id="73" xr3:uid="{00000000-0010-0000-0D00-000049000000}" name="Promo Price-list декабрь" dataDxfId="48"/>
    <tableColumn id="74" xr3:uid="{00000000-0010-0000-0D00-00004A000000}" name="Promo Объем продаж январь" dataDxfId="47"/>
    <tableColumn id="75" xr3:uid="{00000000-0010-0000-0D00-00004B000000}" name="Promo Объем февраль" dataDxfId="46"/>
    <tableColumn id="76" xr3:uid="{00000000-0010-0000-0D00-00004C000000}" name="Promo Объем март" dataDxfId="45"/>
    <tableColumn id="77" xr3:uid="{00000000-0010-0000-0D00-00004D000000}" name="Promo Объем апрель" dataDxfId="44"/>
    <tableColumn id="78" xr3:uid="{00000000-0010-0000-0D00-00004E000000}" name="Promo Объем май" dataDxfId="43"/>
    <tableColumn id="79" xr3:uid="{00000000-0010-0000-0D00-00004F000000}" name="Promo Объем июнь" dataDxfId="42"/>
    <tableColumn id="80" xr3:uid="{00000000-0010-0000-0D00-000050000000}" name="Promo Объем июль" dataDxfId="41"/>
    <tableColumn id="81" xr3:uid="{00000000-0010-0000-0D00-000051000000}" name="Promo Объем август" dataDxfId="40"/>
    <tableColumn id="82" xr3:uid="{00000000-0010-0000-0D00-000052000000}" name="Promo Объем сентябрь" dataDxfId="39"/>
    <tableColumn id="83" xr3:uid="{00000000-0010-0000-0D00-000053000000}" name="Promo Объем октябрь" dataDxfId="38"/>
    <tableColumn id="84" xr3:uid="{00000000-0010-0000-0D00-000054000000}" name="Promo Объем ноябрь" dataDxfId="37"/>
    <tableColumn id="85" xr3:uid="{00000000-0010-0000-0D00-000055000000}" name="Promo Объем декабрь" dataDxfId="36"/>
    <tableColumn id="86" xr3:uid="{00000000-0010-0000-0D00-000056000000}" name="Promo GS январь" dataDxfId="35"/>
    <tableColumn id="87" xr3:uid="{00000000-0010-0000-0D00-000057000000}" name="Promo GS февраль" dataDxfId="34"/>
    <tableColumn id="88" xr3:uid="{00000000-0010-0000-0D00-000058000000}" name="Promo GS март" dataDxfId="33"/>
    <tableColumn id="89" xr3:uid="{00000000-0010-0000-0D00-000059000000}" name="Promo GS апрель" dataDxfId="32"/>
    <tableColumn id="90" xr3:uid="{00000000-0010-0000-0D00-00005A000000}" name="Promo GS май" dataDxfId="31"/>
    <tableColumn id="91" xr3:uid="{00000000-0010-0000-0D00-00005B000000}" name="Promo GS июнь" dataDxfId="30"/>
    <tableColumn id="92" xr3:uid="{00000000-0010-0000-0D00-00005C000000}" name="Promo GS июль" dataDxfId="29"/>
    <tableColumn id="93" xr3:uid="{00000000-0010-0000-0D00-00005D000000}" name="Promo GS август" dataDxfId="28"/>
    <tableColumn id="94" xr3:uid="{00000000-0010-0000-0D00-00005E000000}" name="Promo GS сентябрь" dataDxfId="27"/>
    <tableColumn id="95" xr3:uid="{00000000-0010-0000-0D00-00005F000000}" name="Promo GS октябрь" dataDxfId="26"/>
    <tableColumn id="96" xr3:uid="{00000000-0010-0000-0D00-000060000000}" name="Promo GS ноябрь" dataDxfId="25"/>
    <tableColumn id="97" xr3:uid="{00000000-0010-0000-0D00-000061000000}" name="Promo GS декабрь" dataDxfId="24"/>
    <tableColumn id="98" xr3:uid="{00000000-0010-0000-0D00-000062000000}" name="Promo NS январь" dataDxfId="23"/>
    <tableColumn id="99" xr3:uid="{00000000-0010-0000-0D00-000063000000}" name="Promo NS февраль" dataDxfId="22"/>
    <tableColumn id="100" xr3:uid="{00000000-0010-0000-0D00-000064000000}" name="Promo NS март" dataDxfId="21"/>
    <tableColumn id="101" xr3:uid="{00000000-0010-0000-0D00-000065000000}" name="Promo NS апрель" dataDxfId="20"/>
    <tableColumn id="102" xr3:uid="{00000000-0010-0000-0D00-000066000000}" name="Promo NS май" dataDxfId="19"/>
    <tableColumn id="103" xr3:uid="{00000000-0010-0000-0D00-000067000000}" name="Promo NS июнь" dataDxfId="18"/>
    <tableColumn id="104" xr3:uid="{00000000-0010-0000-0D00-000068000000}" name="Promo NS июль" dataDxfId="17"/>
    <tableColumn id="105" xr3:uid="{00000000-0010-0000-0D00-000069000000}" name="Promo NS август" dataDxfId="16"/>
    <tableColumn id="106" xr3:uid="{00000000-0010-0000-0D00-00006A000000}" name="Promo NS сентябрь" dataDxfId="15"/>
    <tableColumn id="107" xr3:uid="{00000000-0010-0000-0D00-00006B000000}" name="Promo NS октябрь" dataDxfId="14"/>
    <tableColumn id="108" xr3:uid="{00000000-0010-0000-0D00-00006C000000}" name="Promo NS ноябрь" dataDxfId="13"/>
    <tableColumn id="109" xr3:uid="{00000000-0010-0000-0D00-00006D000000}" name="Promo NS декабрь" dataDxfId="12"/>
    <tableColumn id="110" xr3:uid="{00000000-0010-0000-0D00-00006E000000}" name="GP Value январь" dataDxfId="11"/>
    <tableColumn id="111" xr3:uid="{00000000-0010-0000-0D00-00006F000000}" name="GP Value февраль" dataDxfId="10"/>
    <tableColumn id="112" xr3:uid="{00000000-0010-0000-0D00-000070000000}" name="GP Value март" dataDxfId="9"/>
    <tableColumn id="113" xr3:uid="{00000000-0010-0000-0D00-000071000000}" name="GP Value апрель" dataDxfId="8"/>
    <tableColumn id="114" xr3:uid="{00000000-0010-0000-0D00-000072000000}" name="GP Value май" dataDxfId="7"/>
    <tableColumn id="115" xr3:uid="{00000000-0010-0000-0D00-000073000000}" name="GP Value июнь" dataDxfId="6"/>
    <tableColumn id="116" xr3:uid="{00000000-0010-0000-0D00-000074000000}" name="GP Value июль" dataDxfId="5"/>
    <tableColumn id="117" xr3:uid="{00000000-0010-0000-0D00-000075000000}" name="GP Value август" dataDxfId="4"/>
    <tableColumn id="118" xr3:uid="{00000000-0010-0000-0D00-000076000000}" name="GP Value сентябрь" dataDxfId="3"/>
    <tableColumn id="119" xr3:uid="{00000000-0010-0000-0D00-000077000000}" name="GP Value октябрь" dataDxfId="2"/>
    <tableColumn id="120" xr3:uid="{00000000-0010-0000-0D00-000078000000}" name="GP Value ноябрь" dataDxfId="1"/>
    <tableColumn id="121" xr3:uid="{00000000-0010-0000-0D00-000079000000}" name="GP Value декабрь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215</v>
      </c>
    </row>
    <row r="4" spans="1:4" x14ac:dyDescent="0.25">
      <c r="A4" s="5">
        <v>3</v>
      </c>
      <c r="B4" s="3" t="s">
        <v>212</v>
      </c>
    </row>
    <row r="5" spans="1:4" x14ac:dyDescent="0.25">
      <c r="A5" s="5">
        <v>4</v>
      </c>
      <c r="B5" s="3" t="s">
        <v>216</v>
      </c>
    </row>
    <row r="6" spans="1:4" x14ac:dyDescent="0.25">
      <c r="A6" s="5">
        <v>5</v>
      </c>
      <c r="B6" s="3" t="s">
        <v>217</v>
      </c>
    </row>
    <row r="7" spans="1:4" x14ac:dyDescent="0.25">
      <c r="A7" s="5">
        <v>6</v>
      </c>
      <c r="B7" s="3" t="s">
        <v>218</v>
      </c>
    </row>
    <row r="8" spans="1:4" x14ac:dyDescent="0.25">
      <c r="A8" s="5">
        <v>7</v>
      </c>
      <c r="B8" s="3" t="s">
        <v>219</v>
      </c>
    </row>
    <row r="9" spans="1:4" x14ac:dyDescent="0.25">
      <c r="A9" s="5">
        <v>8</v>
      </c>
      <c r="B9" s="3" t="s">
        <v>220</v>
      </c>
    </row>
    <row r="10" spans="1:4" x14ac:dyDescent="0.25">
      <c r="A10" s="5">
        <v>9</v>
      </c>
      <c r="B10" s="3" t="s">
        <v>221</v>
      </c>
    </row>
    <row r="11" spans="1:4" x14ac:dyDescent="0.25">
      <c r="A11" s="5">
        <v>10</v>
      </c>
      <c r="B11" s="3" t="s">
        <v>222</v>
      </c>
    </row>
    <row r="12" spans="1:4" x14ac:dyDescent="0.25">
      <c r="A12" s="5">
        <v>11</v>
      </c>
      <c r="B12" s="3" t="s">
        <v>223</v>
      </c>
    </row>
    <row r="13" spans="1:4" x14ac:dyDescent="0.25">
      <c r="A13" s="5">
        <v>12</v>
      </c>
      <c r="B13" s="3" t="s">
        <v>224</v>
      </c>
    </row>
    <row r="14" spans="1:4" x14ac:dyDescent="0.25">
      <c r="A14" s="5">
        <v>13</v>
      </c>
      <c r="B14" s="3" t="s">
        <v>225</v>
      </c>
    </row>
    <row r="15" spans="1:4" x14ac:dyDescent="0.25">
      <c r="A15" s="5">
        <v>14</v>
      </c>
      <c r="B15" s="3" t="s">
        <v>226</v>
      </c>
    </row>
    <row r="16" spans="1:4" x14ac:dyDescent="0.25">
      <c r="A16" s="5">
        <v>15</v>
      </c>
      <c r="B16" s="3" t="s">
        <v>227</v>
      </c>
    </row>
    <row r="17" spans="1:2" x14ac:dyDescent="0.25">
      <c r="A17" s="5">
        <v>16</v>
      </c>
      <c r="B17" s="3" t="s">
        <v>228</v>
      </c>
    </row>
    <row r="18" spans="1:2" x14ac:dyDescent="0.25">
      <c r="A18" s="5">
        <v>17</v>
      </c>
      <c r="B18" s="3" t="s">
        <v>229</v>
      </c>
    </row>
    <row r="19" spans="1:2" x14ac:dyDescent="0.25">
      <c r="A19" s="5">
        <v>18</v>
      </c>
      <c r="B19" s="3" t="s">
        <v>230</v>
      </c>
    </row>
    <row r="20" spans="1:2" x14ac:dyDescent="0.25">
      <c r="A20" s="5">
        <v>19</v>
      </c>
      <c r="B20" s="3" t="s">
        <v>231</v>
      </c>
    </row>
    <row r="21" spans="1:2" x14ac:dyDescent="0.25">
      <c r="A21" s="5">
        <v>20</v>
      </c>
      <c r="B21" s="3" t="s">
        <v>232</v>
      </c>
    </row>
    <row r="22" spans="1:2" x14ac:dyDescent="0.25">
      <c r="A22" s="5">
        <v>21</v>
      </c>
      <c r="B22" s="3" t="s">
        <v>233</v>
      </c>
    </row>
    <row r="23" spans="1:2" x14ac:dyDescent="0.25">
      <c r="A23" s="5">
        <v>22</v>
      </c>
      <c r="B23" s="3" t="s">
        <v>234</v>
      </c>
    </row>
    <row r="24" spans="1:2" x14ac:dyDescent="0.25">
      <c r="A24" s="5">
        <v>23</v>
      </c>
      <c r="B24" s="3" t="s">
        <v>235</v>
      </c>
    </row>
    <row r="25" spans="1:2" x14ac:dyDescent="0.25">
      <c r="A25" s="5">
        <v>24</v>
      </c>
      <c r="B25" s="3" t="s">
        <v>236</v>
      </c>
    </row>
    <row r="26" spans="1:2" x14ac:dyDescent="0.25">
      <c r="A26" s="5">
        <v>25</v>
      </c>
      <c r="B26" s="3" t="s">
        <v>237</v>
      </c>
    </row>
    <row r="27" spans="1:2" x14ac:dyDescent="0.25">
      <c r="A27" s="5">
        <v>26</v>
      </c>
      <c r="B27" s="3" t="s">
        <v>238</v>
      </c>
    </row>
    <row r="28" spans="1:2" x14ac:dyDescent="0.25">
      <c r="A28" s="5">
        <v>27</v>
      </c>
      <c r="B28" s="3" t="s">
        <v>213</v>
      </c>
    </row>
    <row r="29" spans="1:2" x14ac:dyDescent="0.25">
      <c r="A29" s="5">
        <v>28</v>
      </c>
      <c r="B29" s="3" t="s">
        <v>239</v>
      </c>
    </row>
    <row r="30" spans="1:2" x14ac:dyDescent="0.25">
      <c r="A30" s="5">
        <v>29</v>
      </c>
      <c r="B30" s="3" t="s">
        <v>240</v>
      </c>
    </row>
    <row r="31" spans="1:2" x14ac:dyDescent="0.25">
      <c r="A31" s="5">
        <v>30</v>
      </c>
      <c r="B31" s="3" t="s">
        <v>241</v>
      </c>
    </row>
    <row r="32" spans="1:2" x14ac:dyDescent="0.25">
      <c r="A32" s="5">
        <v>31</v>
      </c>
      <c r="B32" s="3" t="s">
        <v>242</v>
      </c>
    </row>
    <row r="33" spans="1:2" x14ac:dyDescent="0.25">
      <c r="A33" s="5">
        <v>32</v>
      </c>
      <c r="B33" s="3" t="s">
        <v>243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tabSelected="1" workbookViewId="0">
      <selection activeCell="B3" sqref="B3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11</v>
      </c>
    </row>
    <row r="4" spans="1:2" x14ac:dyDescent="0.25">
      <c r="A4" s="9">
        <v>3</v>
      </c>
      <c r="B4" s="6" t="s">
        <v>12</v>
      </c>
    </row>
    <row r="5" spans="1:2" x14ac:dyDescent="0.25">
      <c r="A5" s="9">
        <v>4</v>
      </c>
      <c r="B5" s="6" t="s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N3"/>
  <sheetViews>
    <sheetView topLeftCell="U1" workbookViewId="0">
      <selection activeCell="W6" sqref="W6"/>
    </sheetView>
  </sheetViews>
  <sheetFormatPr defaultColWidth="24.7109375" defaultRowHeight="15" x14ac:dyDescent="0.25"/>
  <cols>
    <col min="1" max="1" width="6.7109375" style="13" customWidth="1"/>
    <col min="2" max="2" width="37.28515625" style="12" customWidth="1"/>
    <col min="3" max="5" width="24.7109375" style="13"/>
    <col min="6" max="6" width="32.5703125" style="13" customWidth="1"/>
    <col min="7" max="7" width="32.28515625" style="13" customWidth="1"/>
    <col min="8" max="8" width="24.7109375" style="9"/>
    <col min="9" max="10" width="24.7109375" style="12"/>
    <col min="11" max="11" width="24.7109375" style="9"/>
    <col min="12" max="12" width="24.7109375" style="12"/>
    <col min="13" max="13" width="38.28515625" style="12" customWidth="1"/>
    <col min="14" max="14" width="26.140625" style="12" customWidth="1"/>
    <col min="15" max="15" width="25.85546875" style="12" customWidth="1"/>
    <col min="16" max="37" width="27.42578125" style="13" customWidth="1"/>
    <col min="38" max="38" width="24.7109375" style="13"/>
    <col min="39" max="39" width="40.140625" style="12" customWidth="1"/>
    <col min="40" max="16384" width="24.7109375" style="13"/>
  </cols>
  <sheetData>
    <row r="1" spans="1:40" s="11" customFormat="1" ht="40.5" customHeight="1" x14ac:dyDescent="0.25">
      <c r="A1" s="11" t="s">
        <v>0</v>
      </c>
      <c r="B1" s="10" t="s">
        <v>14</v>
      </c>
      <c r="C1" s="11" t="s">
        <v>1</v>
      </c>
      <c r="D1" s="11" t="s">
        <v>2</v>
      </c>
      <c r="E1" s="11" t="s">
        <v>4</v>
      </c>
      <c r="F1" s="11" t="s">
        <v>5</v>
      </c>
      <c r="G1" s="11" t="s">
        <v>6</v>
      </c>
      <c r="H1" s="36" t="s">
        <v>15</v>
      </c>
      <c r="I1" s="10" t="s">
        <v>16</v>
      </c>
      <c r="J1" s="10" t="s">
        <v>17</v>
      </c>
      <c r="K1" s="36" t="s">
        <v>18</v>
      </c>
      <c r="L1" s="10" t="s">
        <v>19</v>
      </c>
      <c r="M1" s="10" t="s">
        <v>20</v>
      </c>
      <c r="N1" s="10" t="s">
        <v>21</v>
      </c>
      <c r="O1" s="10" t="s">
        <v>22</v>
      </c>
      <c r="P1" s="11" t="s">
        <v>23</v>
      </c>
      <c r="Q1" s="33" t="s">
        <v>187</v>
      </c>
      <c r="R1" s="33" t="s">
        <v>188</v>
      </c>
      <c r="S1" s="33" t="s">
        <v>189</v>
      </c>
      <c r="T1" s="33" t="s">
        <v>206</v>
      </c>
      <c r="U1" s="33" t="s">
        <v>205</v>
      </c>
      <c r="V1" s="33" t="s">
        <v>190</v>
      </c>
      <c r="W1" s="33" t="s">
        <v>214</v>
      </c>
      <c r="X1" s="33" t="s">
        <v>191</v>
      </c>
      <c r="Y1" s="33" t="s">
        <v>204</v>
      </c>
      <c r="Z1" s="33" t="s">
        <v>192</v>
      </c>
      <c r="AA1" s="33" t="s">
        <v>203</v>
      </c>
      <c r="AB1" s="33" t="s">
        <v>202</v>
      </c>
      <c r="AC1" s="33" t="s">
        <v>193</v>
      </c>
      <c r="AD1" s="33" t="s">
        <v>194</v>
      </c>
      <c r="AE1" s="33" t="s">
        <v>201</v>
      </c>
      <c r="AF1" s="33" t="s">
        <v>195</v>
      </c>
      <c r="AG1" s="33" t="s">
        <v>196</v>
      </c>
      <c r="AH1" s="33" t="s">
        <v>200</v>
      </c>
      <c r="AI1" s="33" t="s">
        <v>199</v>
      </c>
      <c r="AJ1" s="33" t="s">
        <v>197</v>
      </c>
      <c r="AK1" s="33" t="s">
        <v>198</v>
      </c>
      <c r="AL1" s="11" t="s">
        <v>9</v>
      </c>
      <c r="AM1" s="10" t="s">
        <v>24</v>
      </c>
      <c r="AN1" s="11" t="s">
        <v>25</v>
      </c>
    </row>
    <row r="2" spans="1:40" x14ac:dyDescent="0.25">
      <c r="C2" s="13" t="s">
        <v>3</v>
      </c>
      <c r="D2" s="13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2" s="13" t="s">
        <v>7</v>
      </c>
      <c r="F2" s="13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2" s="13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P2" s="13" t="s">
        <v>26</v>
      </c>
      <c r="AL2" s="13" t="s">
        <v>10</v>
      </c>
      <c r="AN2" s="13" t="s">
        <v>27</v>
      </c>
    </row>
    <row r="3" spans="1:40" x14ac:dyDescent="0.25">
      <c r="B3" s="12" t="s">
        <v>207</v>
      </c>
      <c r="D3" s="13" t="str">
        <f>IFERROR(INDEX(Суперкатегории[Суперкатегория (RUS)],MATCH(Товары[[#This Row],[Суперкатегория (ENG)]],Суперкатегории[Суперкатегория (ENG)],0)),"")</f>
        <v/>
      </c>
      <c r="F3" s="13" t="str">
        <f>IFERROR(INDEX(Продукт_Группы[Название продукт группы (ENG)],MATCH(Товары[[#This Row],[Продукт группа]],Продукт_Группы[Продукт группа],0)),"")</f>
        <v/>
      </c>
      <c r="G3" s="13" t="str">
        <f>IFERROR(INDEX(Продукт_Группы[Название продукт группы (RUS)],MATCH(Товары[[#This Row],[Продукт группа]],Продукт_Группы[Продукт группа],0)),"")</f>
        <v/>
      </c>
      <c r="H3" s="9" t="s">
        <v>208</v>
      </c>
      <c r="I3" s="12" t="s">
        <v>16</v>
      </c>
      <c r="J3" s="12" t="s">
        <v>209</v>
      </c>
      <c r="K3" s="9" t="s">
        <v>210</v>
      </c>
      <c r="L3" s="12" t="s">
        <v>211</v>
      </c>
    </row>
  </sheetData>
  <phoneticPr fontId="3" type="noConversion"/>
  <dataValidations count="4">
    <dataValidation type="list" allowBlank="1" showInputMessage="1" showErrorMessage="1" sqref="C2:C3" xr:uid="{00000000-0002-0000-0300-000000000000}">
      <formula1>INDIRECT("Суперкатегории[Суперкатегория (ENG)]")</formula1>
    </dataValidation>
    <dataValidation type="list" allowBlank="1" showInputMessage="1" showErrorMessage="1" sqref="E2:E3" xr:uid="{00000000-0002-0000-0300-000001000000}">
      <formula1>INDIRECT("Продукт_Группы[Продукт группа]")</formula1>
    </dataValidation>
    <dataValidation type="list" allowBlank="1" showInputMessage="1" showErrorMessage="1" sqref="AL2:AL3" xr:uid="{00000000-0002-0000-0300-000002000000}">
      <formula1>INDIRECT("Статусы_товаров[Статус]")</formula1>
    </dataValidation>
    <dataValidation type="list" allowBlank="1" showInputMessage="1" showErrorMessage="1" sqref="AN2:AN3" xr:uid="{00000000-0002-0000-0300-000003000000}">
      <formula1>"Да, Нет"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2"/>
  <sheetViews>
    <sheetView workbookViewId="0">
      <selection activeCell="D10" sqref="D10"/>
    </sheetView>
  </sheetViews>
  <sheetFormatPr defaultRowHeight="15" x14ac:dyDescent="0.25"/>
  <cols>
    <col min="1" max="1" width="6.7109375" style="9" customWidth="1"/>
    <col min="2" max="2" width="14.140625" style="12" bestFit="1" customWidth="1"/>
    <col min="3" max="3" width="17.28515625" style="12" bestFit="1" customWidth="1"/>
    <col min="4" max="16384" width="9.140625" style="13"/>
  </cols>
  <sheetData>
    <row r="1" spans="1:3" x14ac:dyDescent="0.25">
      <c r="A1" s="9" t="s">
        <v>0</v>
      </c>
      <c r="B1" s="12" t="s">
        <v>28</v>
      </c>
      <c r="C1" s="12" t="s">
        <v>29</v>
      </c>
    </row>
    <row r="2" spans="1:3" x14ac:dyDescent="0.25">
      <c r="A2" s="9">
        <v>1</v>
      </c>
      <c r="B2" s="12" t="s">
        <v>30</v>
      </c>
      <c r="C2" s="1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3" customWidth="1"/>
    <col min="2" max="2" width="12" style="13" customWidth="1"/>
    <col min="3" max="3" width="15.7109375" style="8" customWidth="1"/>
    <col min="4" max="4" width="15.5703125" style="8" customWidth="1"/>
    <col min="5" max="5" width="19.42578125" style="17" customWidth="1"/>
  </cols>
  <sheetData>
    <row r="1" spans="1:5" ht="36" customHeight="1" x14ac:dyDescent="0.25">
      <c r="A1" s="13" t="s">
        <v>0</v>
      </c>
      <c r="B1" s="13" t="s">
        <v>19</v>
      </c>
      <c r="C1" s="14" t="s">
        <v>32</v>
      </c>
      <c r="D1" s="14" t="s">
        <v>33</v>
      </c>
      <c r="E1" s="18" t="s">
        <v>34</v>
      </c>
    </row>
    <row r="2" spans="1:5" x14ac:dyDescent="0.25">
      <c r="B2" s="13"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"/>
  <sheetViews>
    <sheetView workbookViewId="0">
      <selection activeCell="F1" sqref="F1:F1048576"/>
    </sheetView>
  </sheetViews>
  <sheetFormatPr defaultRowHeight="15" x14ac:dyDescent="0.25"/>
  <cols>
    <col min="1" max="1" width="5.7109375" customWidth="1"/>
    <col min="2" max="2" width="10.7109375" customWidth="1"/>
    <col min="3" max="3" width="15" customWidth="1"/>
    <col min="4" max="4" width="17.28515625" customWidth="1"/>
    <col min="5" max="5" width="16.85546875" customWidth="1"/>
    <col min="6" max="6" width="20.42578125" style="15" customWidth="1"/>
  </cols>
  <sheetData>
    <row r="1" spans="1:6" ht="30" x14ac:dyDescent="0.25">
      <c r="A1" s="20" t="s">
        <v>0</v>
      </c>
      <c r="B1" s="19" t="s">
        <v>19</v>
      </c>
      <c r="C1" s="20" t="s">
        <v>35</v>
      </c>
      <c r="D1" s="20" t="s">
        <v>36</v>
      </c>
      <c r="E1" s="20" t="s">
        <v>37</v>
      </c>
      <c r="F1" s="21" t="s">
        <v>34</v>
      </c>
    </row>
    <row r="2" spans="1:6" x14ac:dyDescent="0.25"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2"/>
  <sheetViews>
    <sheetView workbookViewId="0">
      <selection activeCell="B2" sqref="B2"/>
    </sheetView>
  </sheetViews>
  <sheetFormatPr defaultRowHeight="15" x14ac:dyDescent="0.25"/>
  <cols>
    <col min="1" max="1" width="6.7109375" style="8" customWidth="1"/>
    <col min="2" max="2" width="17.5703125" style="13" customWidth="1"/>
    <col min="3" max="3" width="18.7109375" style="22" customWidth="1"/>
  </cols>
  <sheetData>
    <row r="1" spans="1:3" ht="30" x14ac:dyDescent="0.25">
      <c r="A1" s="8" t="s">
        <v>0</v>
      </c>
      <c r="B1" s="13" t="s">
        <v>15</v>
      </c>
      <c r="C1" s="23" t="s">
        <v>38</v>
      </c>
    </row>
    <row r="2" spans="1:3" x14ac:dyDescent="0.25">
      <c r="A2" s="9">
        <v>1</v>
      </c>
      <c r="B2" s="13">
        <v>9011</v>
      </c>
      <c r="C2" s="22">
        <v>-0.05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2"/>
  <sheetViews>
    <sheetView workbookViewId="0">
      <selection activeCell="C2" sqref="C2"/>
    </sheetView>
  </sheetViews>
  <sheetFormatPr defaultColWidth="19.85546875" defaultRowHeight="15" x14ac:dyDescent="0.25"/>
  <cols>
    <col min="1" max="1" width="6.42578125" style="1" customWidth="1"/>
    <col min="2" max="2" width="19.85546875" style="16"/>
    <col min="3" max="3" width="26" style="2" customWidth="1"/>
  </cols>
  <sheetData>
    <row r="1" spans="1:3" x14ac:dyDescent="0.25">
      <c r="A1" s="24" t="s">
        <v>0</v>
      </c>
      <c r="B1" s="25" t="s">
        <v>34</v>
      </c>
      <c r="C1" s="26" t="s">
        <v>38</v>
      </c>
    </row>
    <row r="2" spans="1:3" x14ac:dyDescent="0.25">
      <c r="A2" s="1">
        <v>1</v>
      </c>
      <c r="C2" s="2">
        <v>55.65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6"/>
  <sheetViews>
    <sheetView workbookViewId="0">
      <selection activeCell="B5" sqref="B5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39</v>
      </c>
    </row>
    <row r="2" spans="1:2" x14ac:dyDescent="0.25">
      <c r="A2" s="9">
        <v>1</v>
      </c>
      <c r="B2" s="1" t="s">
        <v>40</v>
      </c>
    </row>
    <row r="3" spans="1:2" x14ac:dyDescent="0.25">
      <c r="A3" s="9">
        <v>2</v>
      </c>
      <c r="B3" s="1" t="s">
        <v>41</v>
      </c>
    </row>
    <row r="4" spans="1:2" x14ac:dyDescent="0.25">
      <c r="A4" s="9">
        <v>3</v>
      </c>
      <c r="B4" s="1" t="s">
        <v>42</v>
      </c>
    </row>
    <row r="5" spans="1:2" x14ac:dyDescent="0.25">
      <c r="A5" s="9">
        <v>4</v>
      </c>
      <c r="B5" s="1" t="s">
        <v>43</v>
      </c>
    </row>
    <row r="6" spans="1:2" x14ac:dyDescent="0.25">
      <c r="A6" s="9">
        <v>5</v>
      </c>
      <c r="B6" s="1" t="s">
        <v>44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8"/>
  <sheetViews>
    <sheetView workbookViewId="0">
      <selection activeCell="C7" sqref="C7"/>
    </sheetView>
  </sheetViews>
  <sheetFormatPr defaultColWidth="15.28515625" defaultRowHeight="15" x14ac:dyDescent="0.25"/>
  <cols>
    <col min="1" max="1" width="7.7109375" style="34" customWidth="1"/>
    <col min="2" max="2" width="21.140625" style="29" customWidth="1"/>
    <col min="3" max="3" width="15.28515625" style="29"/>
    <col min="4" max="4" width="17.140625" style="29" customWidth="1"/>
    <col min="5" max="5" width="18.7109375" style="29" customWidth="1"/>
    <col min="6" max="6" width="15.85546875" style="29" customWidth="1"/>
    <col min="7" max="7" width="15.28515625" style="29"/>
    <col min="8" max="8" width="18.5703125" style="29" customWidth="1"/>
    <col min="9" max="16384" width="15.28515625" style="27"/>
  </cols>
  <sheetData>
    <row r="1" spans="1:8" x14ac:dyDescent="0.25">
      <c r="A1" s="28" t="s">
        <v>0</v>
      </c>
      <c r="B1" s="28" t="s">
        <v>45</v>
      </c>
      <c r="C1" s="28" t="s">
        <v>46</v>
      </c>
      <c r="D1" s="28" t="s">
        <v>47</v>
      </c>
      <c r="E1" s="28" t="s">
        <v>48</v>
      </c>
      <c r="F1" s="28" t="s">
        <v>49</v>
      </c>
      <c r="G1" s="28" t="s">
        <v>50</v>
      </c>
      <c r="H1" s="28" t="s">
        <v>51</v>
      </c>
    </row>
    <row r="2" spans="1:8" x14ac:dyDescent="0.25">
      <c r="A2" s="35"/>
    </row>
    <row r="8" spans="1:8" x14ac:dyDescent="0.25">
      <c r="B8" s="2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"/>
  <sheetViews>
    <sheetView workbookViewId="0">
      <selection activeCell="C2" sqref="C2"/>
    </sheetView>
  </sheetViews>
  <sheetFormatPr defaultRowHeight="15" x14ac:dyDescent="0.25"/>
  <cols>
    <col min="1" max="1" width="6.7109375" style="9" customWidth="1"/>
    <col min="2" max="2" width="17" style="12" customWidth="1"/>
    <col min="3" max="3" width="19" style="12" customWidth="1"/>
  </cols>
  <sheetData>
    <row r="1" spans="1:3" x14ac:dyDescent="0.25">
      <c r="A1" s="9" t="s">
        <v>52</v>
      </c>
      <c r="B1" s="12" t="s">
        <v>53</v>
      </c>
      <c r="C1" s="12" t="s">
        <v>49</v>
      </c>
    </row>
    <row r="2" spans="1:3" x14ac:dyDescent="0.25">
      <c r="A2" s="9">
        <v>1</v>
      </c>
      <c r="B2" s="12" t="s">
        <v>54</v>
      </c>
      <c r="C2" s="12" t="s">
        <v>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"/>
  <sheetViews>
    <sheetView workbookViewId="0">
      <selection activeCell="A2" sqref="A2"/>
    </sheetView>
  </sheetViews>
  <sheetFormatPr defaultRowHeight="15" x14ac:dyDescent="0.25"/>
  <cols>
    <col min="1" max="1" width="6.5703125" style="13" customWidth="1"/>
    <col min="2" max="3" width="24.7109375" style="6" bestFit="1" customWidth="1"/>
    <col min="4" max="4" width="13.85546875" style="15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31" customWidth="1"/>
  </cols>
  <sheetData>
    <row r="1" spans="1:11" x14ac:dyDescent="0.25">
      <c r="A1" s="12" t="s">
        <v>0</v>
      </c>
      <c r="B1" s="6" t="s">
        <v>47</v>
      </c>
      <c r="C1" s="6" t="s">
        <v>48</v>
      </c>
      <c r="D1" s="15" t="s">
        <v>57</v>
      </c>
      <c r="E1" s="6" t="s">
        <v>58</v>
      </c>
      <c r="F1" s="6" t="s">
        <v>59</v>
      </c>
      <c r="G1" s="6" t="s">
        <v>61</v>
      </c>
      <c r="H1" s="6" t="s">
        <v>63</v>
      </c>
      <c r="I1" s="6" t="s">
        <v>65</v>
      </c>
      <c r="J1" s="6" t="s">
        <v>66</v>
      </c>
      <c r="K1" s="31" t="s">
        <v>67</v>
      </c>
    </row>
    <row r="2" spans="1:11" x14ac:dyDescent="0.25">
      <c r="A2" s="12"/>
      <c r="B2" s="6" t="s">
        <v>56</v>
      </c>
      <c r="C2" s="6" t="s">
        <v>56</v>
      </c>
      <c r="D2" s="15">
        <v>43831</v>
      </c>
      <c r="E2" s="32" t="s">
        <v>68</v>
      </c>
      <c r="F2" s="6" t="s">
        <v>60</v>
      </c>
      <c r="G2" s="6" t="s">
        <v>62</v>
      </c>
      <c r="H2" s="6" t="s">
        <v>64</v>
      </c>
      <c r="K2" s="31">
        <v>0.05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30" bestFit="1" customWidth="1"/>
    <col min="2" max="3" width="24.7109375" style="6" bestFit="1" customWidth="1"/>
    <col min="4" max="4" width="15.7109375" style="15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30" customWidth="1"/>
    <col min="15" max="15" width="18.140625" style="30" customWidth="1"/>
    <col min="16" max="16" width="14.85546875" style="30" customWidth="1"/>
    <col min="17" max="17" width="16.7109375" style="30" customWidth="1"/>
    <col min="18" max="18" width="14.28515625" style="30" customWidth="1"/>
    <col min="19" max="20" width="15.5703125" style="30" customWidth="1"/>
    <col min="21" max="21" width="16.140625" style="30" customWidth="1"/>
    <col min="22" max="22" width="18.42578125" style="30" customWidth="1"/>
    <col min="23" max="23" width="17.5703125" style="30" customWidth="1"/>
    <col min="24" max="24" width="16.7109375" style="30" customWidth="1"/>
    <col min="25" max="25" width="18" style="30" customWidth="1"/>
    <col min="26" max="26" width="23" style="30" customWidth="1"/>
    <col min="27" max="27" width="24.42578125" style="30" customWidth="1"/>
    <col min="28" max="28" width="21.28515625" style="30" customWidth="1"/>
    <col min="29" max="29" width="23" style="30" customWidth="1"/>
    <col min="30" max="30" width="20.5703125" style="30" customWidth="1"/>
    <col min="31" max="32" width="21.85546875" style="30" customWidth="1"/>
    <col min="33" max="33" width="22.42578125" style="30" customWidth="1"/>
    <col min="34" max="34" width="24.7109375" style="30" customWidth="1"/>
    <col min="35" max="35" width="23.85546875" style="30" customWidth="1"/>
    <col min="36" max="36" width="23" style="30" customWidth="1"/>
    <col min="37" max="37" width="24.28515625" style="30" customWidth="1"/>
    <col min="38" max="38" width="20" style="30" customWidth="1"/>
    <col min="39" max="39" width="13.42578125" style="30" customWidth="1"/>
    <col min="40" max="40" width="10.140625" style="30" customWidth="1"/>
    <col min="41" max="41" width="12" style="30" customWidth="1"/>
    <col min="42" max="42" width="9.5703125" style="30" customWidth="1"/>
    <col min="43" max="44" width="10.85546875" style="30" customWidth="1"/>
    <col min="45" max="45" width="11.42578125" style="30" customWidth="1"/>
    <col min="46" max="46" width="13.7109375" style="30" customWidth="1"/>
    <col min="47" max="47" width="12.85546875" style="30" customWidth="1"/>
    <col min="48" max="48" width="12" style="30" customWidth="1"/>
    <col min="49" max="49" width="13.28515625" style="30" customWidth="1"/>
    <col min="50" max="50" width="12.42578125" style="30" customWidth="1"/>
    <col min="51" max="51" width="13.7109375" style="30" customWidth="1"/>
    <col min="52" max="52" width="10.42578125" style="30" customWidth="1"/>
    <col min="53" max="53" width="12.28515625" style="30" customWidth="1"/>
    <col min="54" max="54" width="9.85546875" style="30" customWidth="1"/>
    <col min="55" max="56" width="11" style="30" customWidth="1"/>
    <col min="57" max="57" width="11.5703125" style="30" customWidth="1"/>
    <col min="58" max="58" width="13.85546875" style="30" customWidth="1"/>
    <col min="59" max="59" width="13" style="30" customWidth="1"/>
    <col min="60" max="60" width="12.28515625" style="30" customWidth="1"/>
    <col min="61" max="61" width="13.42578125" style="30" customWidth="1"/>
    <col min="62" max="62" width="30.85546875" style="30" bestFit="1" customWidth="1"/>
    <col min="63" max="63" width="24.140625" style="30" customWidth="1"/>
    <col min="64" max="64" width="20.85546875" style="30" customWidth="1"/>
    <col min="65" max="65" width="22.7109375" style="30" customWidth="1"/>
    <col min="66" max="66" width="20.140625" style="30" customWidth="1"/>
    <col min="67" max="68" width="21.42578125" style="30" customWidth="1"/>
    <col min="69" max="69" width="22" style="30" customWidth="1"/>
    <col min="70" max="70" width="24.28515625" style="30" bestFit="1" customWidth="1"/>
    <col min="71" max="71" width="23.42578125" style="30" customWidth="1"/>
    <col min="72" max="72" width="22.7109375" style="30" customWidth="1"/>
    <col min="73" max="73" width="23.85546875" style="30" customWidth="1"/>
    <col min="74" max="74" width="37" style="30" customWidth="1"/>
    <col min="75" max="75" width="23.28515625" style="30" customWidth="1"/>
    <col min="76" max="76" width="20" style="30" customWidth="1"/>
    <col min="77" max="77" width="21.85546875" style="30" customWidth="1"/>
    <col min="78" max="78" width="19.42578125" style="30" customWidth="1"/>
    <col min="79" max="80" width="20.5703125" style="30" customWidth="1"/>
    <col min="81" max="81" width="21.28515625" style="30" customWidth="1"/>
    <col min="82" max="82" width="23.42578125" style="30" customWidth="1"/>
    <col min="83" max="83" width="22.7109375" style="30" customWidth="1"/>
    <col min="84" max="84" width="21.85546875" style="30" customWidth="1"/>
    <col min="85" max="85" width="23" style="30" customWidth="1"/>
    <col min="86" max="86" width="25.85546875" style="30" customWidth="1"/>
    <col min="87" max="87" width="19.42578125" style="30" customWidth="1"/>
    <col min="88" max="88" width="16.140625" style="30" customWidth="1"/>
    <col min="89" max="89" width="18" style="30" customWidth="1"/>
    <col min="90" max="90" width="15.5703125" style="30" customWidth="1"/>
    <col min="91" max="92" width="16.7109375" style="30" customWidth="1"/>
    <col min="93" max="93" width="17.28515625" style="30" customWidth="1"/>
    <col min="94" max="94" width="19.5703125" style="30" customWidth="1"/>
    <col min="95" max="95" width="18.7109375" style="30" customWidth="1"/>
    <col min="96" max="96" width="18" style="30" customWidth="1"/>
    <col min="97" max="97" width="19.140625" style="30" customWidth="1"/>
    <col min="98" max="98" width="26.140625" style="30" customWidth="1"/>
    <col min="99" max="99" width="19.5703125" style="30" customWidth="1"/>
    <col min="100" max="100" width="16.28515625" style="30" customWidth="1"/>
    <col min="101" max="101" width="18.140625" style="30" customWidth="1"/>
    <col min="102" max="102" width="15.7109375" style="30" customWidth="1"/>
    <col min="103" max="104" width="17" style="30" customWidth="1"/>
    <col min="105" max="105" width="17.5703125" style="30" customWidth="1"/>
    <col min="106" max="106" width="19.85546875" style="30" customWidth="1"/>
    <col min="107" max="107" width="19" style="30" customWidth="1"/>
    <col min="108" max="108" width="18.140625" style="30" customWidth="1"/>
    <col min="109" max="109" width="19.42578125" style="30" customWidth="1"/>
    <col min="110" max="110" width="25.140625" style="30" customWidth="1"/>
    <col min="111" max="111" width="18.5703125" style="30" customWidth="1"/>
    <col min="112" max="112" width="15.28515625" style="30" customWidth="1"/>
    <col min="113" max="113" width="17.140625" style="30" customWidth="1"/>
    <col min="114" max="114" width="14.7109375" style="30" customWidth="1"/>
    <col min="115" max="116" width="15.85546875" style="30" customWidth="1"/>
    <col min="117" max="117" width="16.5703125" style="30" customWidth="1"/>
    <col min="118" max="118" width="18.7109375" style="30" customWidth="1"/>
    <col min="119" max="119" width="18" style="30" customWidth="1"/>
    <col min="120" max="120" width="17.140625" style="30" customWidth="1"/>
    <col min="121" max="121" width="18.42578125" style="30" customWidth="1"/>
  </cols>
  <sheetData>
    <row r="1" spans="1:121" x14ac:dyDescent="0.25">
      <c r="A1" s="30" t="s">
        <v>69</v>
      </c>
      <c r="B1" s="6" t="s">
        <v>47</v>
      </c>
      <c r="C1" s="6" t="s">
        <v>48</v>
      </c>
      <c r="D1" s="15" t="s">
        <v>71</v>
      </c>
      <c r="E1" t="s">
        <v>72</v>
      </c>
      <c r="F1" s="7" t="s">
        <v>33</v>
      </c>
      <c r="G1" s="7" t="s">
        <v>35</v>
      </c>
      <c r="H1" s="7" t="s">
        <v>73</v>
      </c>
      <c r="I1" s="7" t="s">
        <v>74</v>
      </c>
      <c r="J1" s="7" t="s">
        <v>37</v>
      </c>
      <c r="K1" s="7" t="s">
        <v>75</v>
      </c>
      <c r="L1" s="7" t="s">
        <v>76</v>
      </c>
      <c r="M1" s="7" t="s">
        <v>77</v>
      </c>
      <c r="N1" s="30" t="s">
        <v>79</v>
      </c>
      <c r="O1" s="30" t="s">
        <v>80</v>
      </c>
      <c r="P1" s="30" t="s">
        <v>81</v>
      </c>
      <c r="Q1" s="30" t="s">
        <v>82</v>
      </c>
      <c r="R1" s="30" t="s">
        <v>83</v>
      </c>
      <c r="S1" s="30" t="s">
        <v>84</v>
      </c>
      <c r="T1" s="30" t="s">
        <v>85</v>
      </c>
      <c r="U1" s="30" t="s">
        <v>86</v>
      </c>
      <c r="V1" s="30" t="s">
        <v>87</v>
      </c>
      <c r="W1" s="30" t="s">
        <v>88</v>
      </c>
      <c r="X1" s="30" t="s">
        <v>89</v>
      </c>
      <c r="Y1" s="30" t="s">
        <v>90</v>
      </c>
      <c r="Z1" s="30" t="s">
        <v>102</v>
      </c>
      <c r="AA1" s="30" t="s">
        <v>91</v>
      </c>
      <c r="AB1" s="30" t="s">
        <v>92</v>
      </c>
      <c r="AC1" s="30" t="s">
        <v>93</v>
      </c>
      <c r="AD1" s="30" t="s">
        <v>94</v>
      </c>
      <c r="AE1" s="30" t="s">
        <v>95</v>
      </c>
      <c r="AF1" s="30" t="s">
        <v>96</v>
      </c>
      <c r="AG1" s="30" t="s">
        <v>97</v>
      </c>
      <c r="AH1" s="30" t="s">
        <v>98</v>
      </c>
      <c r="AI1" s="30" t="s">
        <v>99</v>
      </c>
      <c r="AJ1" s="30" t="s">
        <v>100</v>
      </c>
      <c r="AK1" s="30" t="s">
        <v>101</v>
      </c>
      <c r="AL1" s="30" t="s">
        <v>181</v>
      </c>
      <c r="AM1" s="30" t="s">
        <v>170</v>
      </c>
      <c r="AN1" s="30" t="s">
        <v>171</v>
      </c>
      <c r="AO1" s="30" t="s">
        <v>172</v>
      </c>
      <c r="AP1" s="30" t="s">
        <v>173</v>
      </c>
      <c r="AQ1" s="30" t="s">
        <v>174</v>
      </c>
      <c r="AR1" s="30" t="s">
        <v>175</v>
      </c>
      <c r="AS1" s="30" t="s">
        <v>176</v>
      </c>
      <c r="AT1" s="30" t="s">
        <v>177</v>
      </c>
      <c r="AU1" s="30" t="s">
        <v>178</v>
      </c>
      <c r="AV1" s="30" t="s">
        <v>179</v>
      </c>
      <c r="AW1" s="30" t="s">
        <v>180</v>
      </c>
      <c r="AX1" s="30" t="s">
        <v>158</v>
      </c>
      <c r="AY1" s="30" t="s">
        <v>159</v>
      </c>
      <c r="AZ1" s="30" t="s">
        <v>160</v>
      </c>
      <c r="BA1" s="30" t="s">
        <v>161</v>
      </c>
      <c r="BB1" s="30" t="s">
        <v>162</v>
      </c>
      <c r="BC1" s="30" t="s">
        <v>163</v>
      </c>
      <c r="BD1" s="30" t="s">
        <v>164</v>
      </c>
      <c r="BE1" s="30" t="s">
        <v>165</v>
      </c>
      <c r="BF1" s="30" t="s">
        <v>166</v>
      </c>
      <c r="BG1" s="30" t="s">
        <v>167</v>
      </c>
      <c r="BH1" s="30" t="s">
        <v>168</v>
      </c>
      <c r="BI1" s="30" t="s">
        <v>169</v>
      </c>
      <c r="BJ1" s="30" t="s">
        <v>182</v>
      </c>
      <c r="BK1" s="30" t="s">
        <v>147</v>
      </c>
      <c r="BL1" s="30" t="s">
        <v>148</v>
      </c>
      <c r="BM1" s="30" t="s">
        <v>149</v>
      </c>
      <c r="BN1" s="30" t="s">
        <v>150</v>
      </c>
      <c r="BO1" s="30" t="s">
        <v>151</v>
      </c>
      <c r="BP1" s="30" t="s">
        <v>152</v>
      </c>
      <c r="BQ1" s="30" t="s">
        <v>153</v>
      </c>
      <c r="BR1" s="30" t="s">
        <v>154</v>
      </c>
      <c r="BS1" s="30" t="s">
        <v>155</v>
      </c>
      <c r="BT1" s="30" t="s">
        <v>156</v>
      </c>
      <c r="BU1" s="30" t="s">
        <v>157</v>
      </c>
      <c r="BV1" s="30" t="s">
        <v>183</v>
      </c>
      <c r="BW1" s="30" t="s">
        <v>136</v>
      </c>
      <c r="BX1" s="30" t="s">
        <v>137</v>
      </c>
      <c r="BY1" s="30" t="s">
        <v>138</v>
      </c>
      <c r="BZ1" s="30" t="s">
        <v>139</v>
      </c>
      <c r="CA1" s="30" t="s">
        <v>140</v>
      </c>
      <c r="CB1" s="30" t="s">
        <v>141</v>
      </c>
      <c r="CC1" s="30" t="s">
        <v>142</v>
      </c>
      <c r="CD1" s="30" t="s">
        <v>143</v>
      </c>
      <c r="CE1" s="30" t="s">
        <v>144</v>
      </c>
      <c r="CF1" s="30" t="s">
        <v>145</v>
      </c>
      <c r="CG1" s="30" t="s">
        <v>146</v>
      </c>
      <c r="CH1" s="30" t="s">
        <v>184</v>
      </c>
      <c r="CI1" s="30" t="s">
        <v>125</v>
      </c>
      <c r="CJ1" s="30" t="s">
        <v>126</v>
      </c>
      <c r="CK1" s="30" t="s">
        <v>127</v>
      </c>
      <c r="CL1" s="30" t="s">
        <v>128</v>
      </c>
      <c r="CM1" s="30" t="s">
        <v>129</v>
      </c>
      <c r="CN1" s="30" t="s">
        <v>130</v>
      </c>
      <c r="CO1" s="30" t="s">
        <v>131</v>
      </c>
      <c r="CP1" s="30" t="s">
        <v>132</v>
      </c>
      <c r="CQ1" s="30" t="s">
        <v>133</v>
      </c>
      <c r="CR1" s="30" t="s">
        <v>134</v>
      </c>
      <c r="CS1" s="30" t="s">
        <v>135</v>
      </c>
      <c r="CT1" s="30" t="s">
        <v>185</v>
      </c>
      <c r="CU1" s="30" t="s">
        <v>114</v>
      </c>
      <c r="CV1" s="30" t="s">
        <v>115</v>
      </c>
      <c r="CW1" s="30" t="s">
        <v>116</v>
      </c>
      <c r="CX1" s="30" t="s">
        <v>117</v>
      </c>
      <c r="CY1" s="30" t="s">
        <v>118</v>
      </c>
      <c r="CZ1" s="30" t="s">
        <v>119</v>
      </c>
      <c r="DA1" s="30" t="s">
        <v>120</v>
      </c>
      <c r="DB1" s="30" t="s">
        <v>121</v>
      </c>
      <c r="DC1" s="30" t="s">
        <v>122</v>
      </c>
      <c r="DD1" s="30" t="s">
        <v>123</v>
      </c>
      <c r="DE1" s="30" t="s">
        <v>124</v>
      </c>
      <c r="DF1" s="30" t="s">
        <v>186</v>
      </c>
      <c r="DG1" s="30" t="s">
        <v>103</v>
      </c>
      <c r="DH1" s="30" t="s">
        <v>104</v>
      </c>
      <c r="DI1" s="30" t="s">
        <v>105</v>
      </c>
      <c r="DJ1" s="30" t="s">
        <v>106</v>
      </c>
      <c r="DK1" s="30" t="s">
        <v>107</v>
      </c>
      <c r="DL1" s="30" t="s">
        <v>108</v>
      </c>
      <c r="DM1" s="30" t="s">
        <v>109</v>
      </c>
      <c r="DN1" s="30" t="s">
        <v>110</v>
      </c>
      <c r="DO1" s="30" t="s">
        <v>111</v>
      </c>
      <c r="DP1" s="30" t="s">
        <v>112</v>
      </c>
      <c r="DQ1" s="30" t="s">
        <v>113</v>
      </c>
    </row>
    <row r="2" spans="1:121" x14ac:dyDescent="0.25">
      <c r="A2" s="30" t="s">
        <v>70</v>
      </c>
      <c r="B2" s="6" t="s">
        <v>56</v>
      </c>
      <c r="C2" s="6" t="s">
        <v>56</v>
      </c>
      <c r="D2" s="15">
        <v>43831</v>
      </c>
      <c r="N2" s="30" t="s">
        <v>78</v>
      </c>
      <c r="Z2" s="30" t="s">
        <v>78</v>
      </c>
      <c r="AL2" s="30" t="s">
        <v>78</v>
      </c>
      <c r="AX2" s="30" t="s">
        <v>78</v>
      </c>
      <c r="BJ2" s="30" t="s">
        <v>78</v>
      </c>
      <c r="BV2" s="30" t="s">
        <v>78</v>
      </c>
      <c r="CH2" s="30" t="s">
        <v>78</v>
      </c>
      <c r="CT2" s="30" t="s">
        <v>78</v>
      </c>
      <c r="DF2" s="30" t="s">
        <v>78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Суперкатегории</vt:lpstr>
      <vt:lpstr>Продукт группы</vt:lpstr>
      <vt:lpstr>Статусы товаров</vt:lpstr>
      <vt:lpstr>Товары</vt:lpstr>
      <vt:lpstr>Продуктовые календари</vt:lpstr>
      <vt:lpstr>STK</vt:lpstr>
      <vt:lpstr>РРЦ</vt:lpstr>
      <vt:lpstr>DIY</vt:lpstr>
      <vt:lpstr>Бюджетные курсы</vt:lpstr>
      <vt:lpstr>Эксклюзивность</vt:lpstr>
      <vt:lpstr>Клиенты</vt:lpstr>
      <vt:lpstr>GardenChannel</vt:lpstr>
      <vt:lpstr>Скидки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2020-06-02T14:17:11Z</dcterms:modified>
</cp:coreProperties>
</file>