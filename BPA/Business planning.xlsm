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F7CF1DBE-EB31-4397-B28C-61E7DC35E88B}" xr6:coauthVersionLast="45" xr6:coauthVersionMax="45" xr10:uidLastSave="{00000000-0000-0000-0000-000000000000}"/>
  <bookViews>
    <workbookView xWindow="23880" yWindow="-120" windowWidth="28110" windowHeight="16440" tabRatio="725" xr2:uid="{00000000-000D-0000-FFFF-FFFF00000000}"/>
  </bookViews>
  <sheets>
    <sheet name="Товары" sheetId="5" r:id="rId1"/>
    <sheet name="Клиенты" sheetId="12" r:id="rId2"/>
    <sheet name="Product Structure" sheetId="24" r:id="rId3"/>
    <sheet name="Скидки" sheetId="14" r:id="rId4"/>
    <sheet name="РРЦ" sheetId="8" r:id="rId5"/>
    <sheet name="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Customer status" sheetId="17" r:id="rId12"/>
    <sheet name="Продуктовые календари" sheetId="6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F12" i="5"/>
  <c r="F13" i="5"/>
  <c r="F14" i="5"/>
  <c r="F15" i="5"/>
  <c r="F16" i="5"/>
  <c r="F17" i="5"/>
  <c r="F18" i="5"/>
  <c r="F19" i="5"/>
  <c r="C11" i="5"/>
  <c r="D11" i="5"/>
  <c r="E11" i="5"/>
  <c r="G11" i="5"/>
  <c r="H11" i="5"/>
  <c r="J11" i="5"/>
  <c r="C12" i="5" l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AV11" i="5"/>
  <c r="AV12" i="5"/>
  <c r="AV13" i="5"/>
  <c r="AV14" i="5"/>
  <c r="AW14" i="5" s="1"/>
  <c r="AV15" i="5"/>
  <c r="AV16" i="5"/>
  <c r="AW16" i="5" s="1"/>
  <c r="AV17" i="5"/>
  <c r="AW17" i="5" s="1"/>
  <c r="AV18" i="5"/>
  <c r="AV19" i="5"/>
  <c r="AV20" i="5"/>
  <c r="AV21" i="5"/>
  <c r="AV22" i="5"/>
  <c r="AW22" i="5" s="1"/>
  <c r="AV23" i="5"/>
  <c r="AV24" i="5"/>
  <c r="AW24" i="5" s="1"/>
  <c r="AV25" i="5"/>
  <c r="AV26" i="5"/>
  <c r="AV27" i="5"/>
  <c r="AV28" i="5"/>
  <c r="AV29" i="5"/>
  <c r="AV30" i="5"/>
  <c r="AV31" i="5"/>
  <c r="AV32" i="5"/>
  <c r="AW32" i="5" s="1"/>
  <c r="AV33" i="5"/>
  <c r="AW33" i="5" s="1"/>
  <c r="AV34" i="5"/>
  <c r="AV35" i="5"/>
  <c r="AV36" i="5"/>
  <c r="AV37" i="5"/>
  <c r="AV38" i="5"/>
  <c r="AW38" i="5" s="1"/>
  <c r="AV39" i="5"/>
  <c r="AV40" i="5"/>
  <c r="AW40" i="5" s="1"/>
  <c r="AV41" i="5"/>
  <c r="AV42" i="5"/>
  <c r="AV43" i="5"/>
  <c r="AV44" i="5"/>
  <c r="AV45" i="5"/>
  <c r="AV46" i="5"/>
  <c r="AW46" i="5" s="1"/>
  <c r="AV47" i="5"/>
  <c r="AV48" i="5"/>
  <c r="AW48" i="5" s="1"/>
  <c r="AV49" i="5"/>
  <c r="AV50" i="5"/>
  <c r="AV51" i="5"/>
  <c r="AV52" i="5"/>
  <c r="AV53" i="5"/>
  <c r="AV54" i="5"/>
  <c r="AW54" i="5" s="1"/>
  <c r="AV55" i="5"/>
  <c r="AV56" i="5"/>
  <c r="AW56" i="5" s="1"/>
  <c r="AV57" i="5"/>
  <c r="AV58" i="5"/>
  <c r="AV59" i="5"/>
  <c r="AV60" i="5"/>
  <c r="AV61" i="5"/>
  <c r="AV62" i="5"/>
  <c r="AW62" i="5" s="1"/>
  <c r="AV63" i="5"/>
  <c r="AV64" i="5"/>
  <c r="AW64" i="5" s="1"/>
  <c r="AV65" i="5"/>
  <c r="AV66" i="5"/>
  <c r="AV67" i="5"/>
  <c r="AV68" i="5"/>
  <c r="AV69" i="5"/>
  <c r="AV70" i="5"/>
  <c r="AW70" i="5" s="1"/>
  <c r="AV71" i="5"/>
  <c r="AV72" i="5"/>
  <c r="AW72" i="5" s="1"/>
  <c r="AV73" i="5"/>
  <c r="AW73" i="5" s="1"/>
  <c r="AV74" i="5"/>
  <c r="AV75" i="5"/>
  <c r="AV76" i="5"/>
  <c r="AV77" i="5"/>
  <c r="AV78" i="5"/>
  <c r="AW78" i="5" s="1"/>
  <c r="AV79" i="5"/>
  <c r="AV80" i="5"/>
  <c r="AW80" i="5" s="1"/>
  <c r="AV81" i="5"/>
  <c r="AW81" i="5" s="1"/>
  <c r="AV82" i="5"/>
  <c r="AV83" i="5"/>
  <c r="AV84" i="5"/>
  <c r="AV85" i="5"/>
  <c r="AV86" i="5"/>
  <c r="AW86" i="5" s="1"/>
  <c r="AV87" i="5"/>
  <c r="AV88" i="5"/>
  <c r="AW88" i="5" s="1"/>
  <c r="AV89" i="5"/>
  <c r="AV90" i="5"/>
  <c r="AV91" i="5"/>
  <c r="AV92" i="5"/>
  <c r="AV93" i="5"/>
  <c r="AV94" i="5"/>
  <c r="AV95" i="5"/>
  <c r="AV96" i="5"/>
  <c r="AW96" i="5" s="1"/>
  <c r="AV97" i="5"/>
  <c r="AW97" i="5" s="1"/>
  <c r="AV98" i="5"/>
  <c r="AV99" i="5"/>
  <c r="AV100" i="5"/>
  <c r="AV101" i="5"/>
  <c r="AV102" i="5"/>
  <c r="AW102" i="5" s="1"/>
  <c r="AV103" i="5"/>
  <c r="AV104" i="5"/>
  <c r="AW104" i="5" s="1"/>
  <c r="AV105" i="5"/>
  <c r="AV106" i="5"/>
  <c r="AV107" i="5"/>
  <c r="AV108" i="5"/>
  <c r="AV109" i="5"/>
  <c r="AV110" i="5"/>
  <c r="AW110" i="5" s="1"/>
  <c r="AV111" i="5"/>
  <c r="AV112" i="5"/>
  <c r="AW112" i="5" s="1"/>
  <c r="AV113" i="5"/>
  <c r="AV114" i="5"/>
  <c r="AV115" i="5"/>
  <c r="AV116" i="5"/>
  <c r="AV117" i="5"/>
  <c r="AV118" i="5"/>
  <c r="AW118" i="5" s="1"/>
  <c r="AV119" i="5"/>
  <c r="AV120" i="5"/>
  <c r="AW120" i="5" s="1"/>
  <c r="AV121" i="5"/>
  <c r="AV122" i="5"/>
  <c r="AV123" i="5"/>
  <c r="AV124" i="5"/>
  <c r="AV125" i="5"/>
  <c r="AV126" i="5"/>
  <c r="AW126" i="5" s="1"/>
  <c r="AV127" i="5"/>
  <c r="AV128" i="5"/>
  <c r="AW128" i="5" s="1"/>
  <c r="AV129" i="5"/>
  <c r="AV130" i="5"/>
  <c r="AV131" i="5"/>
  <c r="AV132" i="5"/>
  <c r="AV133" i="5"/>
  <c r="AV134" i="5"/>
  <c r="AW134" i="5" s="1"/>
  <c r="AV135" i="5"/>
  <c r="AV136" i="5"/>
  <c r="AW136" i="5" s="1"/>
  <c r="AV137" i="5"/>
  <c r="AW137" i="5" s="1"/>
  <c r="AV138" i="5"/>
  <c r="AV139" i="5"/>
  <c r="AV140" i="5"/>
  <c r="AV141" i="5"/>
  <c r="AV142" i="5"/>
  <c r="AW142" i="5" s="1"/>
  <c r="AV143" i="5"/>
  <c r="AV144" i="5"/>
  <c r="AW144" i="5" s="1"/>
  <c r="AV145" i="5"/>
  <c r="AW145" i="5" s="1"/>
  <c r="AV146" i="5"/>
  <c r="AV147" i="5"/>
  <c r="AV148" i="5"/>
  <c r="AV149" i="5"/>
  <c r="AV150" i="5"/>
  <c r="AW150" i="5" s="1"/>
  <c r="AV151" i="5"/>
  <c r="AV152" i="5"/>
  <c r="AW152" i="5" s="1"/>
  <c r="AV153" i="5"/>
  <c r="AV154" i="5"/>
  <c r="AV155" i="5"/>
  <c r="AV156" i="5"/>
  <c r="AV157" i="5"/>
  <c r="AV158" i="5"/>
  <c r="AV159" i="5"/>
  <c r="AV160" i="5"/>
  <c r="AW160" i="5" s="1"/>
  <c r="AV161" i="5"/>
  <c r="AW161" i="5" s="1"/>
  <c r="AV162" i="5"/>
  <c r="AV163" i="5"/>
  <c r="AV164" i="5"/>
  <c r="AV165" i="5"/>
  <c r="AV166" i="5"/>
  <c r="AW166" i="5" s="1"/>
  <c r="AV167" i="5"/>
  <c r="AV168" i="5"/>
  <c r="AW168" i="5" s="1"/>
  <c r="AV169" i="5"/>
  <c r="AV170" i="5"/>
  <c r="AV171" i="5"/>
  <c r="AV172" i="5"/>
  <c r="AV173" i="5"/>
  <c r="AV174" i="5"/>
  <c r="AW174" i="5" s="1"/>
  <c r="AV175" i="5"/>
  <c r="AV176" i="5"/>
  <c r="AW176" i="5" s="1"/>
  <c r="AV177" i="5"/>
  <c r="AV178" i="5"/>
  <c r="AV179" i="5"/>
  <c r="AV180" i="5"/>
  <c r="AV181" i="5"/>
  <c r="AV182" i="5"/>
  <c r="AW182" i="5" s="1"/>
  <c r="AV183" i="5"/>
  <c r="AV184" i="5"/>
  <c r="AW184" i="5" s="1"/>
  <c r="AV185" i="5"/>
  <c r="AV186" i="5"/>
  <c r="AV187" i="5"/>
  <c r="AV188" i="5"/>
  <c r="AV189" i="5"/>
  <c r="AV190" i="5"/>
  <c r="AW190" i="5" s="1"/>
  <c r="AV191" i="5"/>
  <c r="AV192" i="5"/>
  <c r="AW192" i="5" s="1"/>
  <c r="AV193" i="5"/>
  <c r="AV194" i="5"/>
  <c r="AV195" i="5"/>
  <c r="AV196" i="5"/>
  <c r="AV197" i="5"/>
  <c r="AV198" i="5"/>
  <c r="AW198" i="5" s="1"/>
  <c r="AV199" i="5"/>
  <c r="AV200" i="5"/>
  <c r="AW200" i="5" s="1"/>
  <c r="AV201" i="5"/>
  <c r="AV202" i="5"/>
  <c r="AV203" i="5"/>
  <c r="AV204" i="5"/>
  <c r="AV205" i="5"/>
  <c r="AV206" i="5"/>
  <c r="AW206" i="5" s="1"/>
  <c r="AV207" i="5"/>
  <c r="AV208" i="5"/>
  <c r="AW208" i="5" s="1"/>
  <c r="AV209" i="5"/>
  <c r="AW209" i="5" s="1"/>
  <c r="AV210" i="5"/>
  <c r="AV211" i="5"/>
  <c r="AV212" i="5"/>
  <c r="AV213" i="5"/>
  <c r="AV214" i="5"/>
  <c r="AV215" i="5"/>
  <c r="AV216" i="5"/>
  <c r="AW216" i="5" s="1"/>
  <c r="AV217" i="5"/>
  <c r="AV218" i="5"/>
  <c r="AV219" i="5"/>
  <c r="AV220" i="5"/>
  <c r="AV221" i="5"/>
  <c r="AV222" i="5"/>
  <c r="AW222" i="5" s="1"/>
  <c r="AV223" i="5"/>
  <c r="AV224" i="5"/>
  <c r="AW224" i="5" s="1"/>
  <c r="AV225" i="5"/>
  <c r="AW225" i="5" s="1"/>
  <c r="AV226" i="5"/>
  <c r="AV227" i="5"/>
  <c r="AV228" i="5"/>
  <c r="AV229" i="5"/>
  <c r="AV230" i="5"/>
  <c r="AW230" i="5" s="1"/>
  <c r="AV231" i="5"/>
  <c r="AV232" i="5"/>
  <c r="AW232" i="5" s="1"/>
  <c r="AV233" i="5"/>
  <c r="AV234" i="5"/>
  <c r="AV235" i="5"/>
  <c r="AV236" i="5"/>
  <c r="AV237" i="5"/>
  <c r="AV238" i="5"/>
  <c r="AW238" i="5" s="1"/>
  <c r="AV239" i="5"/>
  <c r="AV240" i="5"/>
  <c r="AW240" i="5" s="1"/>
  <c r="AV241" i="5"/>
  <c r="AV242" i="5"/>
  <c r="AV243" i="5"/>
  <c r="AV244" i="5"/>
  <c r="AV245" i="5"/>
  <c r="AV246" i="5"/>
  <c r="AW246" i="5" s="1"/>
  <c r="AV247" i="5"/>
  <c r="AV248" i="5"/>
  <c r="AW248" i="5" s="1"/>
  <c r="AV249" i="5"/>
  <c r="AV250" i="5"/>
  <c r="AV251" i="5"/>
  <c r="AV252" i="5"/>
  <c r="AV253" i="5"/>
  <c r="AV254" i="5"/>
  <c r="AW254" i="5" s="1"/>
  <c r="AV255" i="5"/>
  <c r="AV256" i="5"/>
  <c r="AW256" i="5" s="1"/>
  <c r="AV257" i="5"/>
  <c r="AV258" i="5"/>
  <c r="AV259" i="5"/>
  <c r="AV260" i="5"/>
  <c r="AV261" i="5"/>
  <c r="AV262" i="5"/>
  <c r="AW262" i="5" s="1"/>
  <c r="AV263" i="5"/>
  <c r="AV264" i="5"/>
  <c r="AW264" i="5" s="1"/>
  <c r="AV265" i="5"/>
  <c r="AV266" i="5"/>
  <c r="AV267" i="5"/>
  <c r="AV268" i="5"/>
  <c r="AV269" i="5"/>
  <c r="AV270" i="5"/>
  <c r="AW270" i="5" s="1"/>
  <c r="AV271" i="5"/>
  <c r="AV272" i="5"/>
  <c r="AW272" i="5" s="1"/>
  <c r="AV273" i="5"/>
  <c r="AW273" i="5" s="1"/>
  <c r="AV274" i="5"/>
  <c r="AV275" i="5"/>
  <c r="AV276" i="5"/>
  <c r="AV277" i="5"/>
  <c r="AV278" i="5"/>
  <c r="AV279" i="5"/>
  <c r="AV280" i="5"/>
  <c r="AW280" i="5" s="1"/>
  <c r="AV281" i="5"/>
  <c r="AV282" i="5"/>
  <c r="AV283" i="5"/>
  <c r="AV284" i="5"/>
  <c r="AV285" i="5"/>
  <c r="AV286" i="5"/>
  <c r="AV287" i="5"/>
  <c r="AV288" i="5"/>
  <c r="AW288" i="5" s="1"/>
  <c r="AV289" i="5"/>
  <c r="AW289" i="5" s="1"/>
  <c r="AV290" i="5"/>
  <c r="AV291" i="5"/>
  <c r="AV292" i="5"/>
  <c r="AV293" i="5"/>
  <c r="AV294" i="5"/>
  <c r="AW294" i="5" s="1"/>
  <c r="AV295" i="5"/>
  <c r="AV296" i="5"/>
  <c r="AW296" i="5" s="1"/>
  <c r="AV297" i="5"/>
  <c r="AV298" i="5"/>
  <c r="AV299" i="5"/>
  <c r="AV300" i="5"/>
  <c r="AV301" i="5"/>
  <c r="AV302" i="5"/>
  <c r="AW302" i="5" s="1"/>
  <c r="AV303" i="5"/>
  <c r="AV304" i="5"/>
  <c r="AW304" i="5" s="1"/>
  <c r="AV305" i="5"/>
  <c r="AV306" i="5"/>
  <c r="AV307" i="5"/>
  <c r="AV308" i="5"/>
  <c r="AV309" i="5"/>
  <c r="AV310" i="5"/>
  <c r="AW310" i="5" s="1"/>
  <c r="AV311" i="5"/>
  <c r="AV312" i="5"/>
  <c r="AW312" i="5" s="1"/>
  <c r="AV313" i="5"/>
  <c r="AV314" i="5"/>
  <c r="AV315" i="5"/>
  <c r="AV316" i="5"/>
  <c r="AV317" i="5"/>
  <c r="AV318" i="5"/>
  <c r="AW318" i="5" s="1"/>
  <c r="AV319" i="5"/>
  <c r="AV320" i="5"/>
  <c r="AW320" i="5" s="1"/>
  <c r="AV321" i="5"/>
  <c r="AV322" i="5"/>
  <c r="AV323" i="5"/>
  <c r="AV324" i="5"/>
  <c r="AV325" i="5"/>
  <c r="AV326" i="5"/>
  <c r="AW326" i="5" s="1"/>
  <c r="AV327" i="5"/>
  <c r="AV328" i="5"/>
  <c r="AW328" i="5" s="1"/>
  <c r="AV329" i="5"/>
  <c r="AV330" i="5"/>
  <c r="AV331" i="5"/>
  <c r="AV332" i="5"/>
  <c r="AV333" i="5"/>
  <c r="AV334" i="5"/>
  <c r="AW334" i="5" s="1"/>
  <c r="AV335" i="5"/>
  <c r="AV336" i="5"/>
  <c r="AW336" i="5" s="1"/>
  <c r="AV337" i="5"/>
  <c r="AW337" i="5" s="1"/>
  <c r="AV338" i="5"/>
  <c r="AV339" i="5"/>
  <c r="AV340" i="5"/>
  <c r="AV341" i="5"/>
  <c r="AV342" i="5"/>
  <c r="AW342" i="5" s="1"/>
  <c r="AV343" i="5"/>
  <c r="AV344" i="5"/>
  <c r="AW344" i="5" s="1"/>
  <c r="AV345" i="5"/>
  <c r="AV346" i="5"/>
  <c r="AV347" i="5"/>
  <c r="AV348" i="5"/>
  <c r="AV349" i="5"/>
  <c r="AV350" i="5"/>
  <c r="AV351" i="5"/>
  <c r="AV352" i="5"/>
  <c r="AW352" i="5" s="1"/>
  <c r="AV353" i="5"/>
  <c r="AW353" i="5" s="1"/>
  <c r="AV354" i="5"/>
  <c r="AV355" i="5"/>
  <c r="AV356" i="5"/>
  <c r="AV357" i="5"/>
  <c r="AV358" i="5"/>
  <c r="AW358" i="5" s="1"/>
  <c r="AV359" i="5"/>
  <c r="AV360" i="5"/>
  <c r="AW360" i="5" s="1"/>
  <c r="AV361" i="5"/>
  <c r="AV362" i="5"/>
  <c r="AV363" i="5"/>
  <c r="AV364" i="5"/>
  <c r="AV365" i="5"/>
  <c r="AV366" i="5"/>
  <c r="AW366" i="5" s="1"/>
  <c r="AV367" i="5"/>
  <c r="AV368" i="5"/>
  <c r="AW368" i="5" s="1"/>
  <c r="AV369" i="5"/>
  <c r="AV370" i="5"/>
  <c r="AV371" i="5"/>
  <c r="AV372" i="5"/>
  <c r="AV373" i="5"/>
  <c r="AV374" i="5"/>
  <c r="AW374" i="5" s="1"/>
  <c r="AV375" i="5"/>
  <c r="AV376" i="5"/>
  <c r="AW376" i="5" s="1"/>
  <c r="AV377" i="5"/>
  <c r="AV378" i="5"/>
  <c r="AV379" i="5"/>
  <c r="AV380" i="5"/>
  <c r="AV381" i="5"/>
  <c r="AV382" i="5"/>
  <c r="AW382" i="5" s="1"/>
  <c r="AV383" i="5"/>
  <c r="AV384" i="5"/>
  <c r="AW384" i="5" s="1"/>
  <c r="AV385" i="5"/>
  <c r="AV386" i="5"/>
  <c r="AV387" i="5"/>
  <c r="AV388" i="5"/>
  <c r="AV389" i="5"/>
  <c r="AV390" i="5"/>
  <c r="AW390" i="5" s="1"/>
  <c r="AV391" i="5"/>
  <c r="AV392" i="5"/>
  <c r="AW392" i="5" s="1"/>
  <c r="AV393" i="5"/>
  <c r="AV394" i="5"/>
  <c r="AV395" i="5"/>
  <c r="AV396" i="5"/>
  <c r="AV397" i="5"/>
  <c r="AV398" i="5"/>
  <c r="AW398" i="5" s="1"/>
  <c r="AV399" i="5"/>
  <c r="AV400" i="5"/>
  <c r="AW400" i="5" s="1"/>
  <c r="AV401" i="5"/>
  <c r="AW401" i="5" s="1"/>
  <c r="AV402" i="5"/>
  <c r="AV403" i="5"/>
  <c r="AV404" i="5"/>
  <c r="AV405" i="5"/>
  <c r="AV406" i="5"/>
  <c r="AW406" i="5" s="1"/>
  <c r="AV407" i="5"/>
  <c r="AV408" i="5"/>
  <c r="AW408" i="5" s="1"/>
  <c r="AV409" i="5"/>
  <c r="AV410" i="5"/>
  <c r="AV411" i="5"/>
  <c r="AV412" i="5"/>
  <c r="AV413" i="5"/>
  <c r="AV414" i="5"/>
  <c r="AW414" i="5" s="1"/>
  <c r="AV415" i="5"/>
  <c r="AV416" i="5"/>
  <c r="AW416" i="5" s="1"/>
  <c r="AV417" i="5"/>
  <c r="AW417" i="5" s="1"/>
  <c r="AV418" i="5"/>
  <c r="AV419" i="5"/>
  <c r="AV420" i="5"/>
  <c r="AV421" i="5"/>
  <c r="AV422" i="5"/>
  <c r="AW422" i="5" s="1"/>
  <c r="AV423" i="5"/>
  <c r="AV424" i="5"/>
  <c r="AW424" i="5" s="1"/>
  <c r="AV425" i="5"/>
  <c r="AV426" i="5"/>
  <c r="AV427" i="5"/>
  <c r="AV428" i="5"/>
  <c r="AV429" i="5"/>
  <c r="AV430" i="5"/>
  <c r="AV431" i="5"/>
  <c r="AV432" i="5"/>
  <c r="AW432" i="5" s="1"/>
  <c r="AV433" i="5"/>
  <c r="AV434" i="5"/>
  <c r="AV435" i="5"/>
  <c r="AV436" i="5"/>
  <c r="AV437" i="5"/>
  <c r="AV438" i="5"/>
  <c r="AW438" i="5" s="1"/>
  <c r="AV439" i="5"/>
  <c r="AV440" i="5"/>
  <c r="AW440" i="5" s="1"/>
  <c r="AV441" i="5"/>
  <c r="AV442" i="5"/>
  <c r="AV443" i="5"/>
  <c r="AV444" i="5"/>
  <c r="AV445" i="5"/>
  <c r="AV446" i="5"/>
  <c r="AW446" i="5" s="1"/>
  <c r="AV447" i="5"/>
  <c r="AV448" i="5"/>
  <c r="AW448" i="5" s="1"/>
  <c r="AV449" i="5"/>
  <c r="AV450" i="5"/>
  <c r="AV451" i="5"/>
  <c r="AV452" i="5"/>
  <c r="AV453" i="5"/>
  <c r="AV454" i="5"/>
  <c r="AW454" i="5" s="1"/>
  <c r="AV455" i="5"/>
  <c r="AV456" i="5"/>
  <c r="AW456" i="5" s="1"/>
  <c r="AV457" i="5"/>
  <c r="AV458" i="5"/>
  <c r="AV459" i="5"/>
  <c r="AV460" i="5"/>
  <c r="AV461" i="5"/>
  <c r="AV462" i="5"/>
  <c r="AW462" i="5" s="1"/>
  <c r="AV463" i="5"/>
  <c r="AV464" i="5"/>
  <c r="AW464" i="5" s="1"/>
  <c r="AV465" i="5"/>
  <c r="AW465" i="5" s="1"/>
  <c r="AV466" i="5"/>
  <c r="AV467" i="5"/>
  <c r="AV468" i="5"/>
  <c r="AV469" i="5"/>
  <c r="AV470" i="5"/>
  <c r="AW470" i="5" s="1"/>
  <c r="AV471" i="5"/>
  <c r="AV472" i="5"/>
  <c r="AW472" i="5" s="1"/>
  <c r="AV473" i="5"/>
  <c r="AV474" i="5"/>
  <c r="AV475" i="5"/>
  <c r="AV476" i="5"/>
  <c r="AV477" i="5"/>
  <c r="AV478" i="5"/>
  <c r="AW478" i="5" s="1"/>
  <c r="AV479" i="5"/>
  <c r="AV480" i="5"/>
  <c r="AW480" i="5" s="1"/>
  <c r="AV481" i="5"/>
  <c r="AW481" i="5" s="1"/>
  <c r="AV482" i="5"/>
  <c r="AV483" i="5"/>
  <c r="AV484" i="5"/>
  <c r="AV485" i="5"/>
  <c r="AV486" i="5"/>
  <c r="AW486" i="5" s="1"/>
  <c r="AV487" i="5"/>
  <c r="AV488" i="5"/>
  <c r="AW488" i="5" s="1"/>
  <c r="AV489" i="5"/>
  <c r="AV490" i="5"/>
  <c r="AV491" i="5"/>
  <c r="AV492" i="5"/>
  <c r="AV493" i="5"/>
  <c r="AV494" i="5"/>
  <c r="AW494" i="5" s="1"/>
  <c r="AV495" i="5"/>
  <c r="AV496" i="5"/>
  <c r="AW496" i="5" s="1"/>
  <c r="AV497" i="5"/>
  <c r="AV498" i="5"/>
  <c r="AV499" i="5"/>
  <c r="AV500" i="5"/>
  <c r="AV501" i="5"/>
  <c r="AV502" i="5"/>
  <c r="AW502" i="5" s="1"/>
  <c r="AV503" i="5"/>
  <c r="AV504" i="5"/>
  <c r="AW504" i="5" s="1"/>
  <c r="AV505" i="5"/>
  <c r="AV506" i="5"/>
  <c r="AV507" i="5"/>
  <c r="AV508" i="5"/>
  <c r="AV509" i="5"/>
  <c r="AV510" i="5"/>
  <c r="AW510" i="5" s="1"/>
  <c r="AV511" i="5"/>
  <c r="AV512" i="5"/>
  <c r="AW512" i="5" s="1"/>
  <c r="AV513" i="5"/>
  <c r="AV514" i="5"/>
  <c r="AV515" i="5"/>
  <c r="AV516" i="5"/>
  <c r="AV517" i="5"/>
  <c r="AV518" i="5"/>
  <c r="AW518" i="5" s="1"/>
  <c r="AV519" i="5"/>
  <c r="AV520" i="5"/>
  <c r="AW520" i="5" s="1"/>
  <c r="AV521" i="5"/>
  <c r="AV522" i="5"/>
  <c r="AV523" i="5"/>
  <c r="AV524" i="5"/>
  <c r="AV525" i="5"/>
  <c r="AV526" i="5"/>
  <c r="AW526" i="5" s="1"/>
  <c r="AV527" i="5"/>
  <c r="AV528" i="5"/>
  <c r="AW528" i="5" s="1"/>
  <c r="AV529" i="5"/>
  <c r="AW529" i="5" s="1"/>
  <c r="AV530" i="5"/>
  <c r="AV531" i="5"/>
  <c r="AV532" i="5"/>
  <c r="AV533" i="5"/>
  <c r="AV534" i="5"/>
  <c r="AW534" i="5" s="1"/>
  <c r="AV535" i="5"/>
  <c r="AV536" i="5"/>
  <c r="AW536" i="5" s="1"/>
  <c r="AV537" i="5"/>
  <c r="AV538" i="5"/>
  <c r="AV539" i="5"/>
  <c r="AV540" i="5"/>
  <c r="AV541" i="5"/>
  <c r="AV542" i="5"/>
  <c r="AW542" i="5" s="1"/>
  <c r="AV543" i="5"/>
  <c r="AV544" i="5"/>
  <c r="AW544" i="5" s="1"/>
  <c r="AV545" i="5"/>
  <c r="AW545" i="5" s="1"/>
  <c r="AV546" i="5"/>
  <c r="AV547" i="5"/>
  <c r="AV548" i="5"/>
  <c r="AV549" i="5"/>
  <c r="AV550" i="5"/>
  <c r="AW550" i="5" s="1"/>
  <c r="AV551" i="5"/>
  <c r="AV552" i="5"/>
  <c r="AW552" i="5" s="1"/>
  <c r="AV553" i="5"/>
  <c r="AV554" i="5"/>
  <c r="AV555" i="5"/>
  <c r="AV556" i="5"/>
  <c r="AV557" i="5"/>
  <c r="AV558" i="5"/>
  <c r="AV559" i="5"/>
  <c r="AV560" i="5"/>
  <c r="AW560" i="5" s="1"/>
  <c r="AV561" i="5"/>
  <c r="AV562" i="5"/>
  <c r="AV563" i="5"/>
  <c r="AV564" i="5"/>
  <c r="AV565" i="5"/>
  <c r="AV566" i="5"/>
  <c r="AW566" i="5" s="1"/>
  <c r="AV567" i="5"/>
  <c r="AV568" i="5"/>
  <c r="AW568" i="5" s="1"/>
  <c r="AV569" i="5"/>
  <c r="AV570" i="5"/>
  <c r="AV571" i="5"/>
  <c r="AV572" i="5"/>
  <c r="AV573" i="5"/>
  <c r="AV574" i="5"/>
  <c r="AW574" i="5" s="1"/>
  <c r="AV575" i="5"/>
  <c r="AV576" i="5"/>
  <c r="AW576" i="5" s="1"/>
  <c r="AV577" i="5"/>
  <c r="AV578" i="5"/>
  <c r="AV579" i="5"/>
  <c r="AV580" i="5"/>
  <c r="AV581" i="5"/>
  <c r="AV582" i="5"/>
  <c r="AW582" i="5" s="1"/>
  <c r="AV583" i="5"/>
  <c r="AV584" i="5"/>
  <c r="AW584" i="5" s="1"/>
  <c r="AV585" i="5"/>
  <c r="AV586" i="5"/>
  <c r="AV587" i="5"/>
  <c r="AV588" i="5"/>
  <c r="AV589" i="5"/>
  <c r="AV590" i="5"/>
  <c r="AW590" i="5" s="1"/>
  <c r="AV591" i="5"/>
  <c r="AV592" i="5"/>
  <c r="AW592" i="5" s="1"/>
  <c r="AV593" i="5"/>
  <c r="AW593" i="5" s="1"/>
  <c r="AV594" i="5"/>
  <c r="AV595" i="5"/>
  <c r="AV596" i="5"/>
  <c r="AV597" i="5"/>
  <c r="AV598" i="5"/>
  <c r="AV599" i="5"/>
  <c r="AV600" i="5"/>
  <c r="AW600" i="5" s="1"/>
  <c r="AV601" i="5"/>
  <c r="AV602" i="5"/>
  <c r="AV603" i="5"/>
  <c r="AV604" i="5"/>
  <c r="AV605" i="5"/>
  <c r="AV606" i="5"/>
  <c r="AW606" i="5" s="1"/>
  <c r="AV607" i="5"/>
  <c r="AV608" i="5"/>
  <c r="AW608" i="5" s="1"/>
  <c r="AV609" i="5"/>
  <c r="AW609" i="5" s="1"/>
  <c r="AV610" i="5"/>
  <c r="AV611" i="5"/>
  <c r="AV612" i="5"/>
  <c r="AV613" i="5"/>
  <c r="AV614" i="5"/>
  <c r="AW614" i="5" s="1"/>
  <c r="AV615" i="5"/>
  <c r="AV616" i="5"/>
  <c r="AW616" i="5" s="1"/>
  <c r="AV617" i="5"/>
  <c r="AV618" i="5"/>
  <c r="AV619" i="5"/>
  <c r="AV620" i="5"/>
  <c r="AV621" i="5"/>
  <c r="AV622" i="5"/>
  <c r="AV623" i="5"/>
  <c r="AV624" i="5"/>
  <c r="AW624" i="5" s="1"/>
  <c r="AV625" i="5"/>
  <c r="AV626" i="5"/>
  <c r="AV627" i="5"/>
  <c r="AV628" i="5"/>
  <c r="AV629" i="5"/>
  <c r="AV630" i="5"/>
  <c r="AW630" i="5" s="1"/>
  <c r="AV631" i="5"/>
  <c r="AV632" i="5"/>
  <c r="AW632" i="5" s="1"/>
  <c r="AV633" i="5"/>
  <c r="AV634" i="5"/>
  <c r="AV635" i="5"/>
  <c r="AV636" i="5"/>
  <c r="AV637" i="5"/>
  <c r="AV638" i="5"/>
  <c r="AW638" i="5" s="1"/>
  <c r="AV639" i="5"/>
  <c r="AV640" i="5"/>
  <c r="AW640" i="5" s="1"/>
  <c r="AV641" i="5"/>
  <c r="AV642" i="5"/>
  <c r="AV643" i="5"/>
  <c r="AV644" i="5"/>
  <c r="AV645" i="5"/>
  <c r="AV646" i="5"/>
  <c r="AW646" i="5" s="1"/>
  <c r="AV647" i="5"/>
  <c r="AV648" i="5"/>
  <c r="AW648" i="5" s="1"/>
  <c r="AV649" i="5"/>
  <c r="AV650" i="5"/>
  <c r="AV651" i="5"/>
  <c r="AV652" i="5"/>
  <c r="AV653" i="5"/>
  <c r="AV654" i="5"/>
  <c r="AW654" i="5" s="1"/>
  <c r="AV655" i="5"/>
  <c r="AV656" i="5"/>
  <c r="AW656" i="5" s="1"/>
  <c r="AV657" i="5"/>
  <c r="AW657" i="5" s="1"/>
  <c r="AV658" i="5"/>
  <c r="AV659" i="5"/>
  <c r="AV660" i="5"/>
  <c r="AV661" i="5"/>
  <c r="AV662" i="5"/>
  <c r="AW662" i="5" s="1"/>
  <c r="AV663" i="5"/>
  <c r="AV664" i="5"/>
  <c r="AW664" i="5" s="1"/>
  <c r="AV665" i="5"/>
  <c r="AV666" i="5"/>
  <c r="AV667" i="5"/>
  <c r="AV668" i="5"/>
  <c r="AV669" i="5"/>
  <c r="AV670" i="5"/>
  <c r="AV671" i="5"/>
  <c r="AV672" i="5"/>
  <c r="AW672" i="5" s="1"/>
  <c r="AV673" i="5"/>
  <c r="AW673" i="5" s="1"/>
  <c r="AV674" i="5"/>
  <c r="AV675" i="5"/>
  <c r="AV676" i="5"/>
  <c r="AV677" i="5"/>
  <c r="AV678" i="5"/>
  <c r="AW678" i="5" s="1"/>
  <c r="AV679" i="5"/>
  <c r="AV680" i="5"/>
  <c r="AW680" i="5" s="1"/>
  <c r="AV681" i="5"/>
  <c r="AV682" i="5"/>
  <c r="AV683" i="5"/>
  <c r="AV684" i="5"/>
  <c r="AV685" i="5"/>
  <c r="AV686" i="5"/>
  <c r="AW686" i="5" s="1"/>
  <c r="AV687" i="5"/>
  <c r="AV688" i="5"/>
  <c r="AW688" i="5" s="1"/>
  <c r="AV689" i="5"/>
  <c r="AV690" i="5"/>
  <c r="AV691" i="5"/>
  <c r="AV692" i="5"/>
  <c r="AV693" i="5"/>
  <c r="AV694" i="5"/>
  <c r="AW694" i="5" s="1"/>
  <c r="AV695" i="5"/>
  <c r="AV696" i="5"/>
  <c r="AW696" i="5" s="1"/>
  <c r="AV697" i="5"/>
  <c r="AV698" i="5"/>
  <c r="AV699" i="5"/>
  <c r="AV700" i="5"/>
  <c r="AV701" i="5"/>
  <c r="AV702" i="5"/>
  <c r="AW702" i="5" s="1"/>
  <c r="AV703" i="5"/>
  <c r="AV704" i="5"/>
  <c r="AW704" i="5" s="1"/>
  <c r="AV705" i="5"/>
  <c r="AV706" i="5"/>
  <c r="AV707" i="5"/>
  <c r="AV708" i="5"/>
  <c r="AV709" i="5"/>
  <c r="AV710" i="5"/>
  <c r="AW710" i="5" s="1"/>
  <c r="AV711" i="5"/>
  <c r="AV712" i="5"/>
  <c r="AW712" i="5" s="1"/>
  <c r="AV713" i="5"/>
  <c r="AV714" i="5"/>
  <c r="AV715" i="5"/>
  <c r="AV716" i="5"/>
  <c r="AV717" i="5"/>
  <c r="AV718" i="5"/>
  <c r="AW718" i="5" s="1"/>
  <c r="AV719" i="5"/>
  <c r="AV720" i="5"/>
  <c r="AW720" i="5" s="1"/>
  <c r="AV721" i="5"/>
  <c r="AV722" i="5"/>
  <c r="AV723" i="5"/>
  <c r="AV724" i="5"/>
  <c r="AV725" i="5"/>
  <c r="AV726" i="5"/>
  <c r="AW726" i="5" s="1"/>
  <c r="AV727" i="5"/>
  <c r="AV728" i="5"/>
  <c r="AW728" i="5" s="1"/>
  <c r="AV729" i="5"/>
  <c r="AV730" i="5"/>
  <c r="AV731" i="5"/>
  <c r="AV732" i="5"/>
  <c r="AV733" i="5"/>
  <c r="AV734" i="5"/>
  <c r="AW734" i="5" s="1"/>
  <c r="AV735" i="5"/>
  <c r="AV736" i="5"/>
  <c r="AW736" i="5" s="1"/>
  <c r="AV737" i="5"/>
  <c r="AV738" i="5"/>
  <c r="AV739" i="5"/>
  <c r="AV740" i="5"/>
  <c r="AV741" i="5"/>
  <c r="AV742" i="5"/>
  <c r="AW742" i="5" s="1"/>
  <c r="AV743" i="5"/>
  <c r="AV744" i="5"/>
  <c r="AW744" i="5" s="1"/>
  <c r="AV745" i="5"/>
  <c r="AV746" i="5"/>
  <c r="AV747" i="5"/>
  <c r="AV748" i="5"/>
  <c r="AV749" i="5"/>
  <c r="AV750" i="5"/>
  <c r="AW750" i="5" s="1"/>
  <c r="AV751" i="5"/>
  <c r="AV752" i="5"/>
  <c r="AW752" i="5" s="1"/>
  <c r="AV753" i="5"/>
  <c r="AV754" i="5"/>
  <c r="AV755" i="5"/>
  <c r="AV756" i="5"/>
  <c r="AV757" i="5"/>
  <c r="AV758" i="5"/>
  <c r="AW758" i="5" s="1"/>
  <c r="AV759" i="5"/>
  <c r="AV760" i="5"/>
  <c r="AW760" i="5" s="1"/>
  <c r="AV761" i="5"/>
  <c r="AV762" i="5"/>
  <c r="AV763" i="5"/>
  <c r="AV764" i="5"/>
  <c r="AV765" i="5"/>
  <c r="AV766" i="5"/>
  <c r="AW766" i="5" s="1"/>
  <c r="AV767" i="5"/>
  <c r="AV768" i="5"/>
  <c r="AW768" i="5" s="1"/>
  <c r="AV769" i="5"/>
  <c r="AV770" i="5"/>
  <c r="AV771" i="5"/>
  <c r="AV772" i="5"/>
  <c r="AV773" i="5"/>
  <c r="AV774" i="5"/>
  <c r="AW774" i="5" s="1"/>
  <c r="AV775" i="5"/>
  <c r="AV776" i="5"/>
  <c r="AW776" i="5" s="1"/>
  <c r="AV777" i="5"/>
  <c r="AV778" i="5"/>
  <c r="AV779" i="5"/>
  <c r="AV780" i="5"/>
  <c r="AV781" i="5"/>
  <c r="AV782" i="5"/>
  <c r="AW782" i="5" s="1"/>
  <c r="AV783" i="5"/>
  <c r="AV784" i="5"/>
  <c r="AW784" i="5" s="1"/>
  <c r="AV785" i="5"/>
  <c r="AV786" i="5"/>
  <c r="AV787" i="5"/>
  <c r="AV788" i="5"/>
  <c r="AV789" i="5"/>
  <c r="AV790" i="5"/>
  <c r="AW790" i="5" s="1"/>
  <c r="AV791" i="5"/>
  <c r="AV792" i="5"/>
  <c r="AW792" i="5" s="1"/>
  <c r="AV793" i="5"/>
  <c r="AV794" i="5"/>
  <c r="AV795" i="5"/>
  <c r="AV796" i="5"/>
  <c r="AV797" i="5"/>
  <c r="AV798" i="5"/>
  <c r="AW798" i="5" s="1"/>
  <c r="AV799" i="5"/>
  <c r="AV800" i="5"/>
  <c r="AW800" i="5" s="1"/>
  <c r="AV801" i="5"/>
  <c r="AV802" i="5"/>
  <c r="AV803" i="5"/>
  <c r="AV804" i="5"/>
  <c r="AV805" i="5"/>
  <c r="AV806" i="5"/>
  <c r="AW806" i="5" s="1"/>
  <c r="AV807" i="5"/>
  <c r="AV808" i="5"/>
  <c r="AW808" i="5" s="1"/>
  <c r="AV809" i="5"/>
  <c r="AV810" i="5"/>
  <c r="AV811" i="5"/>
  <c r="AV812" i="5"/>
  <c r="AV813" i="5"/>
  <c r="AV814" i="5"/>
  <c r="AW814" i="5" s="1"/>
  <c r="AV815" i="5"/>
  <c r="AV816" i="5"/>
  <c r="AW816" i="5" s="1"/>
  <c r="AV817" i="5"/>
  <c r="AV818" i="5"/>
  <c r="AV819" i="5"/>
  <c r="AV820" i="5"/>
  <c r="AV821" i="5"/>
  <c r="AV822" i="5"/>
  <c r="AW822" i="5" s="1"/>
  <c r="AV823" i="5"/>
  <c r="AV824" i="5"/>
  <c r="AW824" i="5" s="1"/>
  <c r="AV825" i="5"/>
  <c r="AV826" i="5"/>
  <c r="AV827" i="5"/>
  <c r="AV828" i="5"/>
  <c r="AV829" i="5"/>
  <c r="AV830" i="5"/>
  <c r="AW830" i="5" s="1"/>
  <c r="AV831" i="5"/>
  <c r="AV832" i="5"/>
  <c r="AW832" i="5" s="1"/>
  <c r="AV833" i="5"/>
  <c r="AV834" i="5"/>
  <c r="AV835" i="5"/>
  <c r="AV836" i="5"/>
  <c r="AV837" i="5"/>
  <c r="AV838" i="5"/>
  <c r="AW838" i="5" s="1"/>
  <c r="AV839" i="5"/>
  <c r="AV840" i="5"/>
  <c r="AW840" i="5" s="1"/>
  <c r="AV841" i="5"/>
  <c r="AV842" i="5"/>
  <c r="AV843" i="5"/>
  <c r="AV844" i="5"/>
  <c r="AV845" i="5"/>
  <c r="AV846" i="5"/>
  <c r="AW846" i="5" s="1"/>
  <c r="AV847" i="5"/>
  <c r="AV848" i="5"/>
  <c r="AW848" i="5" s="1"/>
  <c r="AV849" i="5"/>
  <c r="AV850" i="5"/>
  <c r="AV851" i="5"/>
  <c r="AV852" i="5"/>
  <c r="AV853" i="5"/>
  <c r="AV854" i="5"/>
  <c r="AW854" i="5" s="1"/>
  <c r="AV855" i="5"/>
  <c r="AV856" i="5"/>
  <c r="AW856" i="5" s="1"/>
  <c r="AV857" i="5"/>
  <c r="AV858" i="5"/>
  <c r="AV859" i="5"/>
  <c r="AV860" i="5"/>
  <c r="AV861" i="5"/>
  <c r="AV862" i="5"/>
  <c r="AW862" i="5" s="1"/>
  <c r="AV863" i="5"/>
  <c r="AV864" i="5"/>
  <c r="AW864" i="5" s="1"/>
  <c r="AV865" i="5"/>
  <c r="AV866" i="5"/>
  <c r="AV867" i="5"/>
  <c r="AV868" i="5"/>
  <c r="AV869" i="5"/>
  <c r="AV870" i="5"/>
  <c r="AW870" i="5" s="1"/>
  <c r="AV871" i="5"/>
  <c r="AV872" i="5"/>
  <c r="AW872" i="5" s="1"/>
  <c r="AV873" i="5"/>
  <c r="AV874" i="5"/>
  <c r="AV875" i="5"/>
  <c r="AV876" i="5"/>
  <c r="AV877" i="5"/>
  <c r="AV878" i="5"/>
  <c r="AW878" i="5" s="1"/>
  <c r="AV879" i="5"/>
  <c r="AV880" i="5"/>
  <c r="AW880" i="5" s="1"/>
  <c r="AV881" i="5"/>
  <c r="AV882" i="5"/>
  <c r="AV883" i="5"/>
  <c r="AV884" i="5"/>
  <c r="AV885" i="5"/>
  <c r="AV886" i="5"/>
  <c r="AW886" i="5" s="1"/>
  <c r="AV887" i="5"/>
  <c r="AV888" i="5"/>
  <c r="AW888" i="5" s="1"/>
  <c r="AV889" i="5"/>
  <c r="AV890" i="5"/>
  <c r="AV891" i="5"/>
  <c r="AV892" i="5"/>
  <c r="AV893" i="5"/>
  <c r="AV894" i="5"/>
  <c r="AW894" i="5" s="1"/>
  <c r="AV895" i="5"/>
  <c r="AV896" i="5"/>
  <c r="AW896" i="5" s="1"/>
  <c r="AV897" i="5"/>
  <c r="AV898" i="5"/>
  <c r="AV899" i="5"/>
  <c r="AV900" i="5"/>
  <c r="AV901" i="5"/>
  <c r="AV902" i="5"/>
  <c r="AW902" i="5" s="1"/>
  <c r="AV903" i="5"/>
  <c r="AV904" i="5"/>
  <c r="AW904" i="5" s="1"/>
  <c r="AV905" i="5"/>
  <c r="AV906" i="5"/>
  <c r="AV907" i="5"/>
  <c r="AV908" i="5"/>
  <c r="AV909" i="5"/>
  <c r="AV910" i="5"/>
  <c r="AW910" i="5" s="1"/>
  <c r="AV911" i="5"/>
  <c r="AV912" i="5"/>
  <c r="AW912" i="5" s="1"/>
  <c r="AV913" i="5"/>
  <c r="AV914" i="5"/>
  <c r="AV915" i="5"/>
  <c r="AV916" i="5"/>
  <c r="AV917" i="5"/>
  <c r="AV918" i="5"/>
  <c r="AW918" i="5" s="1"/>
  <c r="AV919" i="5"/>
  <c r="AV920" i="5"/>
  <c r="AW920" i="5" s="1"/>
  <c r="AV921" i="5"/>
  <c r="AV922" i="5"/>
  <c r="AV923" i="5"/>
  <c r="AV924" i="5"/>
  <c r="AV925" i="5"/>
  <c r="AV926" i="5"/>
  <c r="AW926" i="5" s="1"/>
  <c r="AV927" i="5"/>
  <c r="AV928" i="5"/>
  <c r="AW928" i="5" s="1"/>
  <c r="AV929" i="5"/>
  <c r="AV930" i="5"/>
  <c r="AV931" i="5"/>
  <c r="AV932" i="5"/>
  <c r="AV933" i="5"/>
  <c r="AV934" i="5"/>
  <c r="AW934" i="5" s="1"/>
  <c r="AV935" i="5"/>
  <c r="AV936" i="5"/>
  <c r="AW936" i="5" s="1"/>
  <c r="AV937" i="5"/>
  <c r="AV938" i="5"/>
  <c r="AV939" i="5"/>
  <c r="AV940" i="5"/>
  <c r="AV941" i="5"/>
  <c r="AV942" i="5"/>
  <c r="AW942" i="5" s="1"/>
  <c r="AV943" i="5"/>
  <c r="AV944" i="5"/>
  <c r="AW944" i="5" s="1"/>
  <c r="AV945" i="5"/>
  <c r="AV946" i="5"/>
  <c r="AV947" i="5"/>
  <c r="AV948" i="5"/>
  <c r="AV949" i="5"/>
  <c r="AV950" i="5"/>
  <c r="AW950" i="5" s="1"/>
  <c r="AV951" i="5"/>
  <c r="AV952" i="5"/>
  <c r="AW952" i="5" s="1"/>
  <c r="AV953" i="5"/>
  <c r="AV954" i="5"/>
  <c r="AV955" i="5"/>
  <c r="AV956" i="5"/>
  <c r="AV957" i="5"/>
  <c r="AV958" i="5"/>
  <c r="AW958" i="5" s="1"/>
  <c r="AV959" i="5"/>
  <c r="AV960" i="5"/>
  <c r="AW960" i="5" s="1"/>
  <c r="AV961" i="5"/>
  <c r="AV962" i="5"/>
  <c r="AV963" i="5"/>
  <c r="AV964" i="5"/>
  <c r="AV965" i="5"/>
  <c r="AV966" i="5"/>
  <c r="AW966" i="5" s="1"/>
  <c r="AV967" i="5"/>
  <c r="AV968" i="5"/>
  <c r="AW968" i="5" s="1"/>
  <c r="AV969" i="5"/>
  <c r="AV970" i="5"/>
  <c r="AV971" i="5"/>
  <c r="AV972" i="5"/>
  <c r="AV973" i="5"/>
  <c r="AV974" i="5"/>
  <c r="AW974" i="5" s="1"/>
  <c r="AV975" i="5"/>
  <c r="AV976" i="5"/>
  <c r="AW976" i="5" s="1"/>
  <c r="AV977" i="5"/>
  <c r="AV978" i="5"/>
  <c r="AV979" i="5"/>
  <c r="AV980" i="5"/>
  <c r="AV981" i="5"/>
  <c r="AV982" i="5"/>
  <c r="AW982" i="5" s="1"/>
  <c r="AV983" i="5"/>
  <c r="AV984" i="5"/>
  <c r="AW984" i="5" s="1"/>
  <c r="AV985" i="5"/>
  <c r="AV986" i="5"/>
  <c r="AV987" i="5"/>
  <c r="AV988" i="5"/>
  <c r="AV989" i="5"/>
  <c r="AV990" i="5"/>
  <c r="AW990" i="5" s="1"/>
  <c r="AV991" i="5"/>
  <c r="AV992" i="5"/>
  <c r="AW992" i="5" s="1"/>
  <c r="AV993" i="5"/>
  <c r="AV994" i="5"/>
  <c r="AV995" i="5"/>
  <c r="AV996" i="5"/>
  <c r="AV997" i="5"/>
  <c r="AV998" i="5"/>
  <c r="AW998" i="5" s="1"/>
  <c r="AV999" i="5"/>
  <c r="AV1000" i="5"/>
  <c r="AW1000" i="5" s="1"/>
  <c r="AV1001" i="5"/>
  <c r="AV1002" i="5"/>
  <c r="AV1003" i="5"/>
  <c r="AV1004" i="5"/>
  <c r="AV1005" i="5"/>
  <c r="AV1006" i="5"/>
  <c r="AW1006" i="5" s="1"/>
  <c r="AV1007" i="5"/>
  <c r="AV1008" i="5"/>
  <c r="AW1008" i="5" s="1"/>
  <c r="AV1009" i="5"/>
  <c r="AV1010" i="5"/>
  <c r="AV1011" i="5"/>
  <c r="AV1012" i="5"/>
  <c r="AV1013" i="5"/>
  <c r="AV1014" i="5"/>
  <c r="AW1014" i="5" s="1"/>
  <c r="AV1015" i="5"/>
  <c r="AV1016" i="5"/>
  <c r="AW1016" i="5" s="1"/>
  <c r="AV1017" i="5"/>
  <c r="AV1018" i="5"/>
  <c r="AV1019" i="5"/>
  <c r="AV1020" i="5"/>
  <c r="AV1021" i="5"/>
  <c r="AV1022" i="5"/>
  <c r="AW1022" i="5" s="1"/>
  <c r="AV1023" i="5"/>
  <c r="AV1024" i="5"/>
  <c r="AW1024" i="5" s="1"/>
  <c r="AV1025" i="5"/>
  <c r="AV1026" i="5"/>
  <c r="AV1027" i="5"/>
  <c r="AV1028" i="5"/>
  <c r="AV1029" i="5"/>
  <c r="AV1030" i="5"/>
  <c r="AW1030" i="5" s="1"/>
  <c r="AV1031" i="5"/>
  <c r="AV1032" i="5"/>
  <c r="AW1032" i="5" s="1"/>
  <c r="AV1033" i="5"/>
  <c r="AV1034" i="5"/>
  <c r="AV1035" i="5"/>
  <c r="AV1036" i="5"/>
  <c r="AV1037" i="5"/>
  <c r="AV1038" i="5"/>
  <c r="AW1038" i="5" s="1"/>
  <c r="AV1039" i="5"/>
  <c r="AV1040" i="5"/>
  <c r="AW1040" i="5" s="1"/>
  <c r="AV1041" i="5"/>
  <c r="AV1042" i="5"/>
  <c r="AV1043" i="5"/>
  <c r="AV1044" i="5"/>
  <c r="AV1045" i="5"/>
  <c r="AV1046" i="5"/>
  <c r="AW1046" i="5" s="1"/>
  <c r="AV1047" i="5"/>
  <c r="AV1048" i="5"/>
  <c r="AW1048" i="5" s="1"/>
  <c r="AV1049" i="5"/>
  <c r="AV1050" i="5"/>
  <c r="AV1051" i="5"/>
  <c r="AV1052" i="5"/>
  <c r="AV1053" i="5"/>
  <c r="AV1054" i="5"/>
  <c r="AW1054" i="5" s="1"/>
  <c r="AV1055" i="5"/>
  <c r="AV1056" i="5"/>
  <c r="AW1056" i="5" s="1"/>
  <c r="AV1057" i="5"/>
  <c r="AV1058" i="5"/>
  <c r="AV1059" i="5"/>
  <c r="AV1060" i="5"/>
  <c r="AV1061" i="5"/>
  <c r="AV1062" i="5"/>
  <c r="AW1062" i="5" s="1"/>
  <c r="AV1063" i="5"/>
  <c r="AV1064" i="5"/>
  <c r="AW1064" i="5" s="1"/>
  <c r="AV1065" i="5"/>
  <c r="AV1066" i="5"/>
  <c r="AV1067" i="5"/>
  <c r="AV1068" i="5"/>
  <c r="AV1069" i="5"/>
  <c r="AV1070" i="5"/>
  <c r="AW1070" i="5" s="1"/>
  <c r="AV1071" i="5"/>
  <c r="AV1072" i="5"/>
  <c r="AV1073" i="5"/>
  <c r="AV1074" i="5"/>
  <c r="AV1075" i="5"/>
  <c r="AV1076" i="5"/>
  <c r="AV1077" i="5"/>
  <c r="AV1078" i="5"/>
  <c r="AW1078" i="5" s="1"/>
  <c r="AV1079" i="5"/>
  <c r="AV1080" i="5"/>
  <c r="AW1080" i="5" s="1"/>
  <c r="AV1081" i="5"/>
  <c r="AV1082" i="5"/>
  <c r="AV1083" i="5"/>
  <c r="AV1084" i="5"/>
  <c r="AV1085" i="5"/>
  <c r="AV1086" i="5"/>
  <c r="AW1086" i="5" s="1"/>
  <c r="AV1087" i="5"/>
  <c r="AV1088" i="5"/>
  <c r="AV1089" i="5"/>
  <c r="AV1090" i="5"/>
  <c r="AV1091" i="5"/>
  <c r="AV1092" i="5"/>
  <c r="AV1093" i="5"/>
  <c r="AV1094" i="5"/>
  <c r="AW1094" i="5" s="1"/>
  <c r="AV1095" i="5"/>
  <c r="AV1096" i="5"/>
  <c r="AW1096" i="5" s="1"/>
  <c r="AV1097" i="5"/>
  <c r="AV1098" i="5"/>
  <c r="AV1099" i="5"/>
  <c r="AV1100" i="5"/>
  <c r="AV1101" i="5"/>
  <c r="AV1102" i="5"/>
  <c r="AW1102" i="5" s="1"/>
  <c r="AV1103" i="5"/>
  <c r="AV1104" i="5"/>
  <c r="AW1104" i="5" s="1"/>
  <c r="AV1105" i="5"/>
  <c r="AV1106" i="5"/>
  <c r="AV1107" i="5"/>
  <c r="AV1108" i="5"/>
  <c r="AV1109" i="5"/>
  <c r="AV1110" i="5"/>
  <c r="AW1110" i="5" s="1"/>
  <c r="AV1111" i="5"/>
  <c r="AV1112" i="5"/>
  <c r="AW1112" i="5" s="1"/>
  <c r="AV1113" i="5"/>
  <c r="AV1114" i="5"/>
  <c r="AV1115" i="5"/>
  <c r="AV1116" i="5"/>
  <c r="AV1117" i="5"/>
  <c r="AV1118" i="5"/>
  <c r="AW1118" i="5" s="1"/>
  <c r="AV1119" i="5"/>
  <c r="AV1120" i="5"/>
  <c r="AW1120" i="5" s="1"/>
  <c r="AV1121" i="5"/>
  <c r="AV1122" i="5"/>
  <c r="AV1123" i="5"/>
  <c r="AV1124" i="5"/>
  <c r="AV1125" i="5"/>
  <c r="AV1126" i="5"/>
  <c r="AW1126" i="5" s="1"/>
  <c r="AV1127" i="5"/>
  <c r="AV1128" i="5"/>
  <c r="AW1128" i="5" s="1"/>
  <c r="AV1129" i="5"/>
  <c r="AV1130" i="5"/>
  <c r="AV1131" i="5"/>
  <c r="AV1132" i="5"/>
  <c r="AV1133" i="5"/>
  <c r="AV1134" i="5"/>
  <c r="AW1134" i="5" s="1"/>
  <c r="AV1135" i="5"/>
  <c r="AV1136" i="5"/>
  <c r="AV1137" i="5"/>
  <c r="AV1138" i="5"/>
  <c r="AV1139" i="5"/>
  <c r="AV1140" i="5"/>
  <c r="AV1141" i="5"/>
  <c r="AV1142" i="5"/>
  <c r="AW1142" i="5" s="1"/>
  <c r="AV1143" i="5"/>
  <c r="AV1144" i="5"/>
  <c r="AW1144" i="5" s="1"/>
  <c r="AV1145" i="5"/>
  <c r="AV1146" i="5"/>
  <c r="AV1147" i="5"/>
  <c r="AV1148" i="5"/>
  <c r="AV1149" i="5"/>
  <c r="AV1150" i="5"/>
  <c r="AW1150" i="5" s="1"/>
  <c r="AV1151" i="5"/>
  <c r="AV1152" i="5"/>
  <c r="AV1153" i="5"/>
  <c r="AV1154" i="5"/>
  <c r="AV1155" i="5"/>
  <c r="AV1156" i="5"/>
  <c r="AV1157" i="5"/>
  <c r="AV1158" i="5"/>
  <c r="AW1158" i="5" s="1"/>
  <c r="AV1159" i="5"/>
  <c r="AV1160" i="5"/>
  <c r="AW1160" i="5" s="1"/>
  <c r="AV1161" i="5"/>
  <c r="AV1162" i="5"/>
  <c r="AV1163" i="5"/>
  <c r="AV1164" i="5"/>
  <c r="AV1165" i="5"/>
  <c r="AV1166" i="5"/>
  <c r="AW1166" i="5" s="1"/>
  <c r="AV1167" i="5"/>
  <c r="AV1168" i="5"/>
  <c r="AW1168" i="5" s="1"/>
  <c r="AV1169" i="5"/>
  <c r="AV1170" i="5"/>
  <c r="AV1171" i="5"/>
  <c r="AV1172" i="5"/>
  <c r="AV1173" i="5"/>
  <c r="AV1174" i="5"/>
  <c r="AW1174" i="5" s="1"/>
  <c r="AV1175" i="5"/>
  <c r="AV1176" i="5"/>
  <c r="AW1176" i="5" s="1"/>
  <c r="AV1177" i="5"/>
  <c r="AV1178" i="5"/>
  <c r="AV1179" i="5"/>
  <c r="AV1180" i="5"/>
  <c r="AV1181" i="5"/>
  <c r="AV1182" i="5"/>
  <c r="AW1182" i="5" s="1"/>
  <c r="AV1183" i="5"/>
  <c r="AV1184" i="5"/>
  <c r="AW1184" i="5" s="1"/>
  <c r="AV1185" i="5"/>
  <c r="AV1186" i="5"/>
  <c r="AV1187" i="5"/>
  <c r="AV1188" i="5"/>
  <c r="AV1189" i="5"/>
  <c r="AV1190" i="5"/>
  <c r="AW1190" i="5" s="1"/>
  <c r="AV1191" i="5"/>
  <c r="AV1192" i="5"/>
  <c r="AW1192" i="5" s="1"/>
  <c r="AV1193" i="5"/>
  <c r="AV1194" i="5"/>
  <c r="AV1195" i="5"/>
  <c r="AV1196" i="5"/>
  <c r="AV1197" i="5"/>
  <c r="AV1198" i="5"/>
  <c r="AW1198" i="5" s="1"/>
  <c r="AV1199" i="5"/>
  <c r="AV1200" i="5"/>
  <c r="AV1201" i="5"/>
  <c r="AV1202" i="5"/>
  <c r="AV1203" i="5"/>
  <c r="AV1204" i="5"/>
  <c r="AV1205" i="5"/>
  <c r="AV1206" i="5"/>
  <c r="AW1206" i="5" s="1"/>
  <c r="AV1207" i="5"/>
  <c r="AV1208" i="5"/>
  <c r="AW1208" i="5" s="1"/>
  <c r="AV1209" i="5"/>
  <c r="AV1210" i="5"/>
  <c r="AV1211" i="5"/>
  <c r="AV1212" i="5"/>
  <c r="AV1213" i="5"/>
  <c r="AV1214" i="5"/>
  <c r="AW1214" i="5" s="1"/>
  <c r="AV1215" i="5"/>
  <c r="AV1216" i="5"/>
  <c r="AV1217" i="5"/>
  <c r="AV1218" i="5"/>
  <c r="AV1219" i="5"/>
  <c r="AV1220" i="5"/>
  <c r="AV1221" i="5"/>
  <c r="AV1222" i="5"/>
  <c r="AW1222" i="5" s="1"/>
  <c r="AV1223" i="5"/>
  <c r="AV1224" i="5"/>
  <c r="AW1224" i="5" s="1"/>
  <c r="AV1225" i="5"/>
  <c r="AV1226" i="5"/>
  <c r="AV1227" i="5"/>
  <c r="AV1228" i="5"/>
  <c r="AV1229" i="5"/>
  <c r="AV1230" i="5"/>
  <c r="AW1230" i="5" s="1"/>
  <c r="AV1231" i="5"/>
  <c r="AV1232" i="5"/>
  <c r="AW1232" i="5" s="1"/>
  <c r="AV1233" i="5"/>
  <c r="AV1234" i="5"/>
  <c r="AV1235" i="5"/>
  <c r="AV1236" i="5"/>
  <c r="AV1237" i="5"/>
  <c r="AV1238" i="5"/>
  <c r="AW1238" i="5" s="1"/>
  <c r="AV1239" i="5"/>
  <c r="AV1240" i="5"/>
  <c r="AW1240" i="5" s="1"/>
  <c r="AV1241" i="5"/>
  <c r="AV1242" i="5"/>
  <c r="AV1243" i="5"/>
  <c r="AV1244" i="5"/>
  <c r="AV1245" i="5"/>
  <c r="AV1246" i="5"/>
  <c r="AW1246" i="5" s="1"/>
  <c r="AV1247" i="5"/>
  <c r="AV1248" i="5"/>
  <c r="AW1248" i="5" s="1"/>
  <c r="AV1249" i="5"/>
  <c r="AV1250" i="5"/>
  <c r="AV1251" i="5"/>
  <c r="AV1252" i="5"/>
  <c r="AV1253" i="5"/>
  <c r="AV1254" i="5"/>
  <c r="AW1254" i="5" s="1"/>
  <c r="AV1255" i="5"/>
  <c r="AV1256" i="5"/>
  <c r="AW1256" i="5" s="1"/>
  <c r="AV1257" i="5"/>
  <c r="AV1258" i="5"/>
  <c r="AV1259" i="5"/>
  <c r="AV1260" i="5"/>
  <c r="AV1261" i="5"/>
  <c r="AV1262" i="5"/>
  <c r="AW1262" i="5" s="1"/>
  <c r="AV1263" i="5"/>
  <c r="AV1264" i="5"/>
  <c r="AV1265" i="5"/>
  <c r="AV1266" i="5"/>
  <c r="AV1267" i="5"/>
  <c r="AV1268" i="5"/>
  <c r="AV1269" i="5"/>
  <c r="AV1270" i="5"/>
  <c r="AW1270" i="5" s="1"/>
  <c r="AV1271" i="5"/>
  <c r="AV1272" i="5"/>
  <c r="AW1272" i="5" s="1"/>
  <c r="AV1273" i="5"/>
  <c r="AV1274" i="5"/>
  <c r="AV1275" i="5"/>
  <c r="AV1276" i="5"/>
  <c r="AV1277" i="5"/>
  <c r="AV1278" i="5"/>
  <c r="AW1278" i="5" s="1"/>
  <c r="AV1279" i="5"/>
  <c r="AV1280" i="5"/>
  <c r="AW1280" i="5" s="1"/>
  <c r="AV1281" i="5"/>
  <c r="AV1282" i="5"/>
  <c r="AV1283" i="5"/>
  <c r="AV1284" i="5"/>
  <c r="AV1285" i="5"/>
  <c r="AV1286" i="5"/>
  <c r="AW1286" i="5" s="1"/>
  <c r="AV1287" i="5"/>
  <c r="AV1288" i="5"/>
  <c r="AW1288" i="5" s="1"/>
  <c r="AV1289" i="5"/>
  <c r="AV1290" i="5"/>
  <c r="AV1291" i="5"/>
  <c r="AV1292" i="5"/>
  <c r="AV1293" i="5"/>
  <c r="AV1294" i="5"/>
  <c r="AW1294" i="5" s="1"/>
  <c r="AV1295" i="5"/>
  <c r="AV1296" i="5"/>
  <c r="AW1296" i="5" s="1"/>
  <c r="AV1297" i="5"/>
  <c r="AV1298" i="5"/>
  <c r="AV1299" i="5"/>
  <c r="AV1300" i="5"/>
  <c r="AV1301" i="5"/>
  <c r="AV1302" i="5"/>
  <c r="AW1302" i="5" s="1"/>
  <c r="AV1303" i="5"/>
  <c r="AV1304" i="5"/>
  <c r="AW1304" i="5" s="1"/>
  <c r="AV1305" i="5"/>
  <c r="AV1306" i="5"/>
  <c r="AV1307" i="5"/>
  <c r="AV1308" i="5"/>
  <c r="AV1309" i="5"/>
  <c r="AV1310" i="5"/>
  <c r="AW1310" i="5" s="1"/>
  <c r="AV1311" i="5"/>
  <c r="AV1312" i="5"/>
  <c r="AW1312" i="5" s="1"/>
  <c r="AV1313" i="5"/>
  <c r="AV1314" i="5"/>
  <c r="AV1315" i="5"/>
  <c r="AV1316" i="5"/>
  <c r="AV1317" i="5"/>
  <c r="AV1318" i="5"/>
  <c r="AW1318" i="5" s="1"/>
  <c r="AV1319" i="5"/>
  <c r="AV1320" i="5"/>
  <c r="AW1320" i="5" s="1"/>
  <c r="AV1321" i="5"/>
  <c r="AV1322" i="5"/>
  <c r="AV1323" i="5"/>
  <c r="AV1324" i="5"/>
  <c r="AV1325" i="5"/>
  <c r="AV1326" i="5"/>
  <c r="AW1326" i="5" s="1"/>
  <c r="AV1327" i="5"/>
  <c r="AV1328" i="5"/>
  <c r="AW1328" i="5" s="1"/>
  <c r="AV1329" i="5"/>
  <c r="AV1330" i="5"/>
  <c r="AV1331" i="5"/>
  <c r="AV1332" i="5"/>
  <c r="AV1333" i="5"/>
  <c r="AV1334" i="5"/>
  <c r="AW1334" i="5" s="1"/>
  <c r="AV1335" i="5"/>
  <c r="AV1336" i="5"/>
  <c r="AW1336" i="5" s="1"/>
  <c r="AV1337" i="5"/>
  <c r="AV1338" i="5"/>
  <c r="AV1339" i="5"/>
  <c r="AV1340" i="5"/>
  <c r="AV1341" i="5"/>
  <c r="AV1342" i="5"/>
  <c r="AW1342" i="5" s="1"/>
  <c r="AV1343" i="5"/>
  <c r="AV1344" i="5"/>
  <c r="AW1344" i="5" s="1"/>
  <c r="AV1345" i="5"/>
  <c r="AV1346" i="5"/>
  <c r="AV1347" i="5"/>
  <c r="AV1348" i="5"/>
  <c r="AV1349" i="5"/>
  <c r="AV1350" i="5"/>
  <c r="AW1350" i="5" s="1"/>
  <c r="AV1351" i="5"/>
  <c r="AV1352" i="5"/>
  <c r="AW1352" i="5" s="1"/>
  <c r="AV1353" i="5"/>
  <c r="AV1354" i="5"/>
  <c r="AV1355" i="5"/>
  <c r="AV1356" i="5"/>
  <c r="AV1357" i="5"/>
  <c r="AV1358" i="5"/>
  <c r="AW1358" i="5" s="1"/>
  <c r="AV1359" i="5"/>
  <c r="AV1360" i="5"/>
  <c r="AW1360" i="5" s="1"/>
  <c r="AV1361" i="5"/>
  <c r="AV1362" i="5"/>
  <c r="AV1363" i="5"/>
  <c r="AV1364" i="5"/>
  <c r="AV1365" i="5"/>
  <c r="AV1366" i="5"/>
  <c r="AW1366" i="5" s="1"/>
  <c r="AV1367" i="5"/>
  <c r="AV1368" i="5"/>
  <c r="AW1368" i="5" s="1"/>
  <c r="AV1369" i="5"/>
  <c r="AV1370" i="5"/>
  <c r="AV1371" i="5"/>
  <c r="AV1372" i="5"/>
  <c r="AV1373" i="5"/>
  <c r="AV1374" i="5"/>
  <c r="AW1374" i="5" s="1"/>
  <c r="AV1375" i="5"/>
  <c r="AV1376" i="5"/>
  <c r="AW1376" i="5" s="1"/>
  <c r="AV1377" i="5"/>
  <c r="AV1378" i="5"/>
  <c r="AV1379" i="5"/>
  <c r="AV1380" i="5"/>
  <c r="AV1381" i="5"/>
  <c r="AV1382" i="5"/>
  <c r="AW1382" i="5" s="1"/>
  <c r="AV1383" i="5"/>
  <c r="AV1384" i="5"/>
  <c r="AW1384" i="5" s="1"/>
  <c r="AV1385" i="5"/>
  <c r="AV1386" i="5"/>
  <c r="AV1387" i="5"/>
  <c r="AV1388" i="5"/>
  <c r="AV1389" i="5"/>
  <c r="AV1390" i="5"/>
  <c r="AW1390" i="5" s="1"/>
  <c r="AV1391" i="5"/>
  <c r="AV1392" i="5"/>
  <c r="AW1392" i="5" s="1"/>
  <c r="AV1393" i="5"/>
  <c r="AV1394" i="5"/>
  <c r="AV1395" i="5"/>
  <c r="AV1396" i="5"/>
  <c r="AV1397" i="5"/>
  <c r="AV1398" i="5"/>
  <c r="AW1398" i="5" s="1"/>
  <c r="AV1399" i="5"/>
  <c r="AV1400" i="5"/>
  <c r="AW1400" i="5" s="1"/>
  <c r="AV1401" i="5"/>
  <c r="AV1402" i="5"/>
  <c r="AV1403" i="5"/>
  <c r="AV1404" i="5"/>
  <c r="AV1405" i="5"/>
  <c r="AV1406" i="5"/>
  <c r="AW1406" i="5" s="1"/>
  <c r="AV1407" i="5"/>
  <c r="AV1408" i="5"/>
  <c r="AW1408" i="5" s="1"/>
  <c r="AV1409" i="5"/>
  <c r="AV1410" i="5"/>
  <c r="AV1411" i="5"/>
  <c r="AV1412" i="5"/>
  <c r="AV1413" i="5"/>
  <c r="AV1414" i="5"/>
  <c r="AW1414" i="5" s="1"/>
  <c r="AV1415" i="5"/>
  <c r="AV1416" i="5"/>
  <c r="AW1416" i="5" s="1"/>
  <c r="AV1417" i="5"/>
  <c r="AV1418" i="5"/>
  <c r="AV1419" i="5"/>
  <c r="AV1420" i="5"/>
  <c r="AV1421" i="5"/>
  <c r="AV1422" i="5"/>
  <c r="AW1422" i="5" s="1"/>
  <c r="AV1423" i="5"/>
  <c r="AV1424" i="5"/>
  <c r="AW1424" i="5" s="1"/>
  <c r="AV1425" i="5"/>
  <c r="AV1426" i="5"/>
  <c r="AV1427" i="5"/>
  <c r="AV1428" i="5"/>
  <c r="AV1429" i="5"/>
  <c r="AV1430" i="5"/>
  <c r="AW1430" i="5" s="1"/>
  <c r="AV1431" i="5"/>
  <c r="AV1432" i="5"/>
  <c r="AW1432" i="5" s="1"/>
  <c r="AV1433" i="5"/>
  <c r="AV1434" i="5"/>
  <c r="AV1435" i="5"/>
  <c r="AV1436" i="5"/>
  <c r="AV1437" i="5"/>
  <c r="AV1438" i="5"/>
  <c r="AW1438" i="5" s="1"/>
  <c r="AV1439" i="5"/>
  <c r="AV1440" i="5"/>
  <c r="AW1440" i="5" s="1"/>
  <c r="AV1441" i="5"/>
  <c r="AV1442" i="5"/>
  <c r="AV1443" i="5"/>
  <c r="AV1444" i="5"/>
  <c r="AV1445" i="5"/>
  <c r="AV1446" i="5"/>
  <c r="AW1446" i="5" s="1"/>
  <c r="AV1447" i="5"/>
  <c r="AV1448" i="5"/>
  <c r="AW1448" i="5" s="1"/>
  <c r="AV1449" i="5"/>
  <c r="AV1450" i="5"/>
  <c r="AV1451" i="5"/>
  <c r="AV1452" i="5"/>
  <c r="AV1453" i="5"/>
  <c r="AV1454" i="5"/>
  <c r="AW1454" i="5" s="1"/>
  <c r="AV1455" i="5"/>
  <c r="AV1456" i="5"/>
  <c r="AW1456" i="5" s="1"/>
  <c r="AV1457" i="5"/>
  <c r="AV1458" i="5"/>
  <c r="AV1459" i="5"/>
  <c r="AV1460" i="5"/>
  <c r="AV1461" i="5"/>
  <c r="AV1462" i="5"/>
  <c r="AW1462" i="5" s="1"/>
  <c r="AV1463" i="5"/>
  <c r="AV1464" i="5"/>
  <c r="AW1464" i="5" s="1"/>
  <c r="AV1465" i="5"/>
  <c r="AV1466" i="5"/>
  <c r="AV1467" i="5"/>
  <c r="AV1468" i="5"/>
  <c r="AV1469" i="5"/>
  <c r="AV1470" i="5"/>
  <c r="AW1470" i="5" s="1"/>
  <c r="AV1471" i="5"/>
  <c r="AV1472" i="5"/>
  <c r="AW1472" i="5" s="1"/>
  <c r="AV1473" i="5"/>
  <c r="AV1474" i="5"/>
  <c r="AV1475" i="5"/>
  <c r="AV1476" i="5"/>
  <c r="AV1477" i="5"/>
  <c r="AV1478" i="5"/>
  <c r="AW1478" i="5" s="1"/>
  <c r="AV1479" i="5"/>
  <c r="AV1480" i="5"/>
  <c r="AW1480" i="5" s="1"/>
  <c r="AV1481" i="5"/>
  <c r="AV1482" i="5"/>
  <c r="AV1483" i="5"/>
  <c r="AV1484" i="5"/>
  <c r="AV1485" i="5"/>
  <c r="AV1486" i="5"/>
  <c r="AW1486" i="5" s="1"/>
  <c r="AV1487" i="5"/>
  <c r="AV1488" i="5"/>
  <c r="AW1488" i="5" s="1"/>
  <c r="AV1489" i="5"/>
  <c r="AV1490" i="5"/>
  <c r="AV1491" i="5"/>
  <c r="AV1492" i="5"/>
  <c r="AV1493" i="5"/>
  <c r="AV1494" i="5"/>
  <c r="AW1494" i="5" s="1"/>
  <c r="AV1495" i="5"/>
  <c r="AV1496" i="5"/>
  <c r="AW1496" i="5" s="1"/>
  <c r="AV1497" i="5"/>
  <c r="AV1498" i="5"/>
  <c r="AV1499" i="5"/>
  <c r="AV1500" i="5"/>
  <c r="AV1501" i="5"/>
  <c r="AV1502" i="5"/>
  <c r="AW1502" i="5" s="1"/>
  <c r="AV1503" i="5"/>
  <c r="AV1504" i="5"/>
  <c r="AW1504" i="5" s="1"/>
  <c r="AV1505" i="5"/>
  <c r="AV1506" i="5"/>
  <c r="AV1507" i="5"/>
  <c r="AV1508" i="5"/>
  <c r="AV1509" i="5"/>
  <c r="AV1510" i="5"/>
  <c r="AW1510" i="5" s="1"/>
  <c r="AV1511" i="5"/>
  <c r="AV1512" i="5"/>
  <c r="AW1512" i="5" s="1"/>
  <c r="AV1513" i="5"/>
  <c r="AV1514" i="5"/>
  <c r="AV1515" i="5"/>
  <c r="AV1516" i="5"/>
  <c r="AV1517" i="5"/>
  <c r="AV1518" i="5"/>
  <c r="AW1518" i="5" s="1"/>
  <c r="AV1519" i="5"/>
  <c r="AV1520" i="5"/>
  <c r="AW1520" i="5" s="1"/>
  <c r="AV1521" i="5"/>
  <c r="AV1522" i="5"/>
  <c r="AV1523" i="5"/>
  <c r="AV1524" i="5"/>
  <c r="AV1525" i="5"/>
  <c r="AV1526" i="5"/>
  <c r="AW1526" i="5" s="1"/>
  <c r="AV1527" i="5"/>
  <c r="AV1528" i="5"/>
  <c r="AW1528" i="5" s="1"/>
  <c r="AV1529" i="5"/>
  <c r="AV1530" i="5"/>
  <c r="AV1531" i="5"/>
  <c r="AV1532" i="5"/>
  <c r="AV1533" i="5"/>
  <c r="AV1534" i="5"/>
  <c r="AW1534" i="5" s="1"/>
  <c r="AV1535" i="5"/>
  <c r="AV1536" i="5"/>
  <c r="AW1536" i="5" s="1"/>
  <c r="AV1537" i="5"/>
  <c r="AV1538" i="5"/>
  <c r="AV1539" i="5"/>
  <c r="AV1540" i="5"/>
  <c r="AV1541" i="5"/>
  <c r="AV1542" i="5"/>
  <c r="AW1542" i="5" s="1"/>
  <c r="AV1543" i="5"/>
  <c r="AV1544" i="5"/>
  <c r="AW1544" i="5" s="1"/>
  <c r="AV1545" i="5"/>
  <c r="AV1546" i="5"/>
  <c r="AV1547" i="5"/>
  <c r="AV1548" i="5"/>
  <c r="AV1549" i="5"/>
  <c r="AV1550" i="5"/>
  <c r="AW1550" i="5" s="1"/>
  <c r="AV1551" i="5"/>
  <c r="AV1552" i="5"/>
  <c r="AW1552" i="5" s="1"/>
  <c r="AV1553" i="5"/>
  <c r="AV1554" i="5"/>
  <c r="AV1555" i="5"/>
  <c r="AV1556" i="5"/>
  <c r="AV1557" i="5"/>
  <c r="AV1558" i="5"/>
  <c r="AW1558" i="5" s="1"/>
  <c r="AV1559" i="5"/>
  <c r="AV1560" i="5"/>
  <c r="AW1560" i="5" s="1"/>
  <c r="AV1561" i="5"/>
  <c r="AV1562" i="5"/>
  <c r="AV1563" i="5"/>
  <c r="AV1564" i="5"/>
  <c r="AV1565" i="5"/>
  <c r="AV1566" i="5"/>
  <c r="AW1566" i="5" s="1"/>
  <c r="AV1567" i="5"/>
  <c r="AV1568" i="5"/>
  <c r="AW1568" i="5" s="1"/>
  <c r="AV1569" i="5"/>
  <c r="AV1570" i="5"/>
  <c r="AV1571" i="5"/>
  <c r="AV1572" i="5"/>
  <c r="AV1573" i="5"/>
  <c r="AV1574" i="5"/>
  <c r="AW1574" i="5" s="1"/>
  <c r="AV1575" i="5"/>
  <c r="AV1576" i="5"/>
  <c r="AW1576" i="5" s="1"/>
  <c r="AV1577" i="5"/>
  <c r="AV1578" i="5"/>
  <c r="AV1579" i="5"/>
  <c r="AV1580" i="5"/>
  <c r="AV1581" i="5"/>
  <c r="AV1582" i="5"/>
  <c r="AW1582" i="5" s="1"/>
  <c r="AV1583" i="5"/>
  <c r="AV1584" i="5"/>
  <c r="AW1584" i="5" s="1"/>
  <c r="AV1585" i="5"/>
  <c r="AV1586" i="5"/>
  <c r="AV1587" i="5"/>
  <c r="AV1588" i="5"/>
  <c r="AV1589" i="5"/>
  <c r="AV1590" i="5"/>
  <c r="AW1590" i="5" s="1"/>
  <c r="AV1591" i="5"/>
  <c r="AV1592" i="5"/>
  <c r="AW1592" i="5" s="1"/>
  <c r="AV1593" i="5"/>
  <c r="AV1594" i="5"/>
  <c r="AV1595" i="5"/>
  <c r="AV1596" i="5"/>
  <c r="AV1597" i="5"/>
  <c r="AV1598" i="5"/>
  <c r="AW1598" i="5" s="1"/>
  <c r="AV1599" i="5"/>
  <c r="AV1600" i="5"/>
  <c r="AW1600" i="5" s="1"/>
  <c r="AV1601" i="5"/>
  <c r="AV1602" i="5"/>
  <c r="AV1603" i="5"/>
  <c r="AV1604" i="5"/>
  <c r="AV1605" i="5"/>
  <c r="AV1606" i="5"/>
  <c r="AW1606" i="5" s="1"/>
  <c r="AV1607" i="5"/>
  <c r="AV1608" i="5"/>
  <c r="AW1608" i="5" s="1"/>
  <c r="AV1609" i="5"/>
  <c r="AV1610" i="5"/>
  <c r="AV1611" i="5"/>
  <c r="AV1612" i="5"/>
  <c r="AV1613" i="5"/>
  <c r="AV1614" i="5"/>
  <c r="AW1614" i="5" s="1"/>
  <c r="AV1615" i="5"/>
  <c r="AV1616" i="5"/>
  <c r="AW1616" i="5" s="1"/>
  <c r="AV1617" i="5"/>
  <c r="AV1618" i="5"/>
  <c r="AV1619" i="5"/>
  <c r="AV1620" i="5"/>
  <c r="AV1621" i="5"/>
  <c r="AV1622" i="5"/>
  <c r="AW1622" i="5" s="1"/>
  <c r="AV1623" i="5"/>
  <c r="AV1624" i="5"/>
  <c r="AW1624" i="5" s="1"/>
  <c r="AV1625" i="5"/>
  <c r="AV1626" i="5"/>
  <c r="AV1627" i="5"/>
  <c r="AV1628" i="5"/>
  <c r="AV1629" i="5"/>
  <c r="AV1630" i="5"/>
  <c r="AW1630" i="5" s="1"/>
  <c r="AV1631" i="5"/>
  <c r="AV1632" i="5"/>
  <c r="AW1632" i="5" s="1"/>
  <c r="AV1633" i="5"/>
  <c r="AV1634" i="5"/>
  <c r="AV1635" i="5"/>
  <c r="AV1636" i="5"/>
  <c r="AV1637" i="5"/>
  <c r="AV1638" i="5"/>
  <c r="AW1638" i="5" s="1"/>
  <c r="AV1639" i="5"/>
  <c r="AV1640" i="5"/>
  <c r="AW1640" i="5" s="1"/>
  <c r="AV1641" i="5"/>
  <c r="AV1642" i="5"/>
  <c r="AV1643" i="5"/>
  <c r="AV1644" i="5"/>
  <c r="AV1645" i="5"/>
  <c r="AV1646" i="5"/>
  <c r="AW1646" i="5" s="1"/>
  <c r="AV1647" i="5"/>
  <c r="AV1648" i="5"/>
  <c r="AW1648" i="5" s="1"/>
  <c r="AV1649" i="5"/>
  <c r="AV1650" i="5"/>
  <c r="AV1651" i="5"/>
  <c r="AV1652" i="5"/>
  <c r="AV1653" i="5"/>
  <c r="AV1654" i="5"/>
  <c r="AW1654" i="5" s="1"/>
  <c r="AV1655" i="5"/>
  <c r="AV1656" i="5"/>
  <c r="AW1656" i="5" s="1"/>
  <c r="AV1657" i="5"/>
  <c r="AV1658" i="5"/>
  <c r="AV1659" i="5"/>
  <c r="AV1660" i="5"/>
  <c r="AV1661" i="5"/>
  <c r="AV1662" i="5"/>
  <c r="AW1662" i="5" s="1"/>
  <c r="AV1663" i="5"/>
  <c r="AV1664" i="5"/>
  <c r="AW1664" i="5" s="1"/>
  <c r="AV1665" i="5"/>
  <c r="AV1666" i="5"/>
  <c r="AV1667" i="5"/>
  <c r="AV1668" i="5"/>
  <c r="AV1669" i="5"/>
  <c r="AV1670" i="5"/>
  <c r="AW1670" i="5" s="1"/>
  <c r="AV1671" i="5"/>
  <c r="AV1672" i="5"/>
  <c r="AW1672" i="5" s="1"/>
  <c r="AV1673" i="5"/>
  <c r="AV1674" i="5"/>
  <c r="AV1675" i="5"/>
  <c r="AV1676" i="5"/>
  <c r="AV1677" i="5"/>
  <c r="AV1678" i="5"/>
  <c r="AW1678" i="5" s="1"/>
  <c r="AV1679" i="5"/>
  <c r="AV1680" i="5"/>
  <c r="AW1680" i="5" s="1"/>
  <c r="AV1681" i="5"/>
  <c r="AV1682" i="5"/>
  <c r="AV1683" i="5"/>
  <c r="AV1684" i="5"/>
  <c r="AV1685" i="5"/>
  <c r="AV1686" i="5"/>
  <c r="AW1686" i="5" s="1"/>
  <c r="AV1687" i="5"/>
  <c r="AV1688" i="5"/>
  <c r="AW1688" i="5" s="1"/>
  <c r="AV1689" i="5"/>
  <c r="AV1690" i="5"/>
  <c r="AV1691" i="5"/>
  <c r="AV1692" i="5"/>
  <c r="AV1693" i="5"/>
  <c r="AV1694" i="5"/>
  <c r="AW1694" i="5" s="1"/>
  <c r="AV1695" i="5"/>
  <c r="AV1696" i="5"/>
  <c r="AW1696" i="5" s="1"/>
  <c r="AV1697" i="5"/>
  <c r="AV1698" i="5"/>
  <c r="AV1699" i="5"/>
  <c r="AV1700" i="5"/>
  <c r="AV1701" i="5"/>
  <c r="AV1702" i="5"/>
  <c r="AW1702" i="5" s="1"/>
  <c r="AV1703" i="5"/>
  <c r="AV1704" i="5"/>
  <c r="AW1704" i="5" s="1"/>
  <c r="AV1705" i="5"/>
  <c r="AV1706" i="5"/>
  <c r="AV1707" i="5"/>
  <c r="AV1708" i="5"/>
  <c r="AV1709" i="5"/>
  <c r="AV1710" i="5"/>
  <c r="AW1710" i="5" s="1"/>
  <c r="AV1711" i="5"/>
  <c r="AV1712" i="5"/>
  <c r="AW1712" i="5" s="1"/>
  <c r="AV1713" i="5"/>
  <c r="AV1714" i="5"/>
  <c r="AV1715" i="5"/>
  <c r="AV1716" i="5"/>
  <c r="AV1717" i="5"/>
  <c r="AV1718" i="5"/>
  <c r="AW1718" i="5" s="1"/>
  <c r="AV1719" i="5"/>
  <c r="AV1720" i="5"/>
  <c r="AW1720" i="5" s="1"/>
  <c r="AV1721" i="5"/>
  <c r="AV1722" i="5"/>
  <c r="AV1723" i="5"/>
  <c r="AV1724" i="5"/>
  <c r="AV1725" i="5"/>
  <c r="AV1726" i="5"/>
  <c r="AW1726" i="5" s="1"/>
  <c r="AV1727" i="5"/>
  <c r="AV1728" i="5"/>
  <c r="AW1728" i="5" s="1"/>
  <c r="AV1729" i="5"/>
  <c r="AV1730" i="5"/>
  <c r="AV1731" i="5"/>
  <c r="AV1732" i="5"/>
  <c r="AV1733" i="5"/>
  <c r="AV1734" i="5"/>
  <c r="AW1734" i="5" s="1"/>
  <c r="AV1735" i="5"/>
  <c r="AV1736" i="5"/>
  <c r="AW1736" i="5" s="1"/>
  <c r="AV1737" i="5"/>
  <c r="AV1738" i="5"/>
  <c r="AV1739" i="5"/>
  <c r="AV1740" i="5"/>
  <c r="AV1741" i="5"/>
  <c r="AV1742" i="5"/>
  <c r="AW1742" i="5" s="1"/>
  <c r="AV1743" i="5"/>
  <c r="AV1744" i="5"/>
  <c r="AW1744" i="5" s="1"/>
  <c r="AV1745" i="5"/>
  <c r="AV1746" i="5"/>
  <c r="AV1747" i="5"/>
  <c r="AV1748" i="5"/>
  <c r="AV1749" i="5"/>
  <c r="AV1750" i="5"/>
  <c r="AW1750" i="5" s="1"/>
  <c r="AV1751" i="5"/>
  <c r="AV1752" i="5"/>
  <c r="AW1752" i="5" s="1"/>
  <c r="AV1753" i="5"/>
  <c r="AV1754" i="5"/>
  <c r="AV1755" i="5"/>
  <c r="AV1756" i="5"/>
  <c r="AV1757" i="5"/>
  <c r="AV1758" i="5"/>
  <c r="AW1758" i="5" s="1"/>
  <c r="AV1759" i="5"/>
  <c r="AV1760" i="5"/>
  <c r="AW1760" i="5" s="1"/>
  <c r="AV1761" i="5"/>
  <c r="AV1762" i="5"/>
  <c r="AV1763" i="5"/>
  <c r="AV1764" i="5"/>
  <c r="AV1765" i="5"/>
  <c r="AV1766" i="5"/>
  <c r="AW1766" i="5" s="1"/>
  <c r="AV1767" i="5"/>
  <c r="AV1768" i="5"/>
  <c r="AW1768" i="5" s="1"/>
  <c r="AV1769" i="5"/>
  <c r="AV1770" i="5"/>
  <c r="AV1771" i="5"/>
  <c r="AV1772" i="5"/>
  <c r="AV1773" i="5"/>
  <c r="AV1774" i="5"/>
  <c r="AW1774" i="5" s="1"/>
  <c r="AV1775" i="5"/>
  <c r="AV1776" i="5"/>
  <c r="AW1776" i="5" s="1"/>
  <c r="AV1777" i="5"/>
  <c r="AV1778" i="5"/>
  <c r="AV1779" i="5"/>
  <c r="AV1780" i="5"/>
  <c r="AV1781" i="5"/>
  <c r="AV1782" i="5"/>
  <c r="AW1782" i="5" s="1"/>
  <c r="AV1783" i="5"/>
  <c r="AV1784" i="5"/>
  <c r="AW1784" i="5" s="1"/>
  <c r="AV1785" i="5"/>
  <c r="AV1786" i="5"/>
  <c r="AV1787" i="5"/>
  <c r="AV1788" i="5"/>
  <c r="AV1789" i="5"/>
  <c r="AV1790" i="5"/>
  <c r="AW1790" i="5" s="1"/>
  <c r="AV1791" i="5"/>
  <c r="AV1792" i="5"/>
  <c r="AW1792" i="5" s="1"/>
  <c r="AV1793" i="5"/>
  <c r="AV1794" i="5"/>
  <c r="AV1795" i="5"/>
  <c r="AV1796" i="5"/>
  <c r="AV1797" i="5"/>
  <c r="AV1798" i="5"/>
  <c r="AW1798" i="5" s="1"/>
  <c r="AV1799" i="5"/>
  <c r="AV1800" i="5"/>
  <c r="AW1800" i="5" s="1"/>
  <c r="AV1801" i="5"/>
  <c r="AV1802" i="5"/>
  <c r="AV1803" i="5"/>
  <c r="AV1804" i="5"/>
  <c r="AV1805" i="5"/>
  <c r="AV1806" i="5"/>
  <c r="AW1806" i="5" s="1"/>
  <c r="AV1807" i="5"/>
  <c r="AV1808" i="5"/>
  <c r="AW1808" i="5" s="1"/>
  <c r="AV1809" i="5"/>
  <c r="AV1810" i="5"/>
  <c r="AV1811" i="5"/>
  <c r="AV1812" i="5"/>
  <c r="AV1813" i="5"/>
  <c r="AV1814" i="5"/>
  <c r="AW1814" i="5" s="1"/>
  <c r="AV1815" i="5"/>
  <c r="AV1816" i="5"/>
  <c r="AW1816" i="5" s="1"/>
  <c r="AV1817" i="5"/>
  <c r="AV1818" i="5"/>
  <c r="AV1819" i="5"/>
  <c r="AV1820" i="5"/>
  <c r="AV1821" i="5"/>
  <c r="AV1822" i="5"/>
  <c r="AW1822" i="5" s="1"/>
  <c r="AV1823" i="5"/>
  <c r="AV1824" i="5"/>
  <c r="AW1824" i="5" s="1"/>
  <c r="AV1825" i="5"/>
  <c r="AV1826" i="5"/>
  <c r="AV1827" i="5"/>
  <c r="AV1828" i="5"/>
  <c r="AV1829" i="5"/>
  <c r="AV1830" i="5"/>
  <c r="AW1830" i="5" s="1"/>
  <c r="AV1831" i="5"/>
  <c r="AV1832" i="5"/>
  <c r="AW1832" i="5" s="1"/>
  <c r="AV1833" i="5"/>
  <c r="AV1834" i="5"/>
  <c r="AV1835" i="5"/>
  <c r="AV1836" i="5"/>
  <c r="AV1837" i="5"/>
  <c r="AV1838" i="5"/>
  <c r="AW1838" i="5" s="1"/>
  <c r="AV1839" i="5"/>
  <c r="AV1840" i="5"/>
  <c r="AW1840" i="5" s="1"/>
  <c r="AV1841" i="5"/>
  <c r="AV1842" i="5"/>
  <c r="AV1843" i="5"/>
  <c r="AV1844" i="5"/>
  <c r="AV1845" i="5"/>
  <c r="AV1846" i="5"/>
  <c r="AW1846" i="5" s="1"/>
  <c r="AV1847" i="5"/>
  <c r="AV1848" i="5"/>
  <c r="AW1848" i="5" s="1"/>
  <c r="AV1849" i="5"/>
  <c r="AV1850" i="5"/>
  <c r="AV1851" i="5"/>
  <c r="AV1852" i="5"/>
  <c r="AV1853" i="5"/>
  <c r="AV1854" i="5"/>
  <c r="AW1854" i="5" s="1"/>
  <c r="AV1855" i="5"/>
  <c r="AV1856" i="5"/>
  <c r="AW1856" i="5" s="1"/>
  <c r="AV1857" i="5"/>
  <c r="AV1858" i="5"/>
  <c r="AV1859" i="5"/>
  <c r="AV1860" i="5"/>
  <c r="AV1861" i="5"/>
  <c r="AV1862" i="5"/>
  <c r="AW1862" i="5" s="1"/>
  <c r="AW11" i="5"/>
  <c r="AW12" i="5"/>
  <c r="AW13" i="5"/>
  <c r="AW15" i="5"/>
  <c r="AW18" i="5"/>
  <c r="AW19" i="5"/>
  <c r="AW20" i="5"/>
  <c r="AW21" i="5"/>
  <c r="AW23" i="5"/>
  <c r="AW25" i="5"/>
  <c r="AW26" i="5"/>
  <c r="AW27" i="5"/>
  <c r="AW28" i="5"/>
  <c r="AW29" i="5"/>
  <c r="AW30" i="5"/>
  <c r="AW31" i="5"/>
  <c r="AW34" i="5"/>
  <c r="AW35" i="5"/>
  <c r="AW36" i="5"/>
  <c r="AW37" i="5"/>
  <c r="AW39" i="5"/>
  <c r="AW41" i="5"/>
  <c r="AW42" i="5"/>
  <c r="AW43" i="5"/>
  <c r="AW44" i="5"/>
  <c r="AW45" i="5"/>
  <c r="AW47" i="5"/>
  <c r="AW49" i="5"/>
  <c r="AW50" i="5"/>
  <c r="AW51" i="5"/>
  <c r="AW52" i="5"/>
  <c r="AW53" i="5"/>
  <c r="AW55" i="5"/>
  <c r="AW57" i="5"/>
  <c r="AW58" i="5"/>
  <c r="AW59" i="5"/>
  <c r="AW60" i="5"/>
  <c r="AW61" i="5"/>
  <c r="AW63" i="5"/>
  <c r="AW65" i="5"/>
  <c r="AW66" i="5"/>
  <c r="AW67" i="5"/>
  <c r="AW68" i="5"/>
  <c r="AW69" i="5"/>
  <c r="AW71" i="5"/>
  <c r="AW74" i="5"/>
  <c r="AW75" i="5"/>
  <c r="AW76" i="5"/>
  <c r="AW77" i="5"/>
  <c r="AW79" i="5"/>
  <c r="AW82" i="5"/>
  <c r="AW83" i="5"/>
  <c r="AW84" i="5"/>
  <c r="AW85" i="5"/>
  <c r="AW87" i="5"/>
  <c r="AW89" i="5"/>
  <c r="AW90" i="5"/>
  <c r="AW91" i="5"/>
  <c r="AW92" i="5"/>
  <c r="AW93" i="5"/>
  <c r="AW94" i="5"/>
  <c r="AW95" i="5"/>
  <c r="AW98" i="5"/>
  <c r="AW99" i="5"/>
  <c r="AW100" i="5"/>
  <c r="AW101" i="5"/>
  <c r="AW103" i="5"/>
  <c r="AW105" i="5"/>
  <c r="AW106" i="5"/>
  <c r="AW107" i="5"/>
  <c r="AW108" i="5"/>
  <c r="AW109" i="5"/>
  <c r="AW111" i="5"/>
  <c r="AW113" i="5"/>
  <c r="AW114" i="5"/>
  <c r="AW115" i="5"/>
  <c r="AW116" i="5"/>
  <c r="AW117" i="5"/>
  <c r="AW119" i="5"/>
  <c r="AW121" i="5"/>
  <c r="AW122" i="5"/>
  <c r="AW123" i="5"/>
  <c r="AW124" i="5"/>
  <c r="AW125" i="5"/>
  <c r="AW127" i="5"/>
  <c r="AW129" i="5"/>
  <c r="AW130" i="5"/>
  <c r="AW131" i="5"/>
  <c r="AW132" i="5"/>
  <c r="AW133" i="5"/>
  <c r="AW135" i="5"/>
  <c r="AW138" i="5"/>
  <c r="AW139" i="5"/>
  <c r="AW140" i="5"/>
  <c r="AW141" i="5"/>
  <c r="AW143" i="5"/>
  <c r="AW146" i="5"/>
  <c r="AW147" i="5"/>
  <c r="AW148" i="5"/>
  <c r="AW149" i="5"/>
  <c r="AW151" i="5"/>
  <c r="AW153" i="5"/>
  <c r="AW154" i="5"/>
  <c r="AW155" i="5"/>
  <c r="AW156" i="5"/>
  <c r="AW157" i="5"/>
  <c r="AW158" i="5"/>
  <c r="AW159" i="5"/>
  <c r="AW162" i="5"/>
  <c r="AW163" i="5"/>
  <c r="AW164" i="5"/>
  <c r="AW165" i="5"/>
  <c r="AW167" i="5"/>
  <c r="AW169" i="5"/>
  <c r="AW170" i="5"/>
  <c r="AW171" i="5"/>
  <c r="AW172" i="5"/>
  <c r="AW173" i="5"/>
  <c r="AW175" i="5"/>
  <c r="AW177" i="5"/>
  <c r="AW178" i="5"/>
  <c r="AW179" i="5"/>
  <c r="AW180" i="5"/>
  <c r="AW181" i="5"/>
  <c r="AW183" i="5"/>
  <c r="AW185" i="5"/>
  <c r="AW186" i="5"/>
  <c r="AW187" i="5"/>
  <c r="AW188" i="5"/>
  <c r="AW189" i="5"/>
  <c r="AW191" i="5"/>
  <c r="AW193" i="5"/>
  <c r="AW194" i="5"/>
  <c r="AW195" i="5"/>
  <c r="AW196" i="5"/>
  <c r="AW197" i="5"/>
  <c r="AW199" i="5"/>
  <c r="AW201" i="5"/>
  <c r="AW202" i="5"/>
  <c r="AW203" i="5"/>
  <c r="AW204" i="5"/>
  <c r="AW205" i="5"/>
  <c r="AW207" i="5"/>
  <c r="AW210" i="5"/>
  <c r="AW211" i="5"/>
  <c r="AW212" i="5"/>
  <c r="AW213" i="5"/>
  <c r="AW214" i="5"/>
  <c r="AW215" i="5"/>
  <c r="AW217" i="5"/>
  <c r="AW218" i="5"/>
  <c r="AW219" i="5"/>
  <c r="AW220" i="5"/>
  <c r="AW221" i="5"/>
  <c r="AW223" i="5"/>
  <c r="AW226" i="5"/>
  <c r="AW227" i="5"/>
  <c r="AW228" i="5"/>
  <c r="AW229" i="5"/>
  <c r="AW231" i="5"/>
  <c r="AW233" i="5"/>
  <c r="AW234" i="5"/>
  <c r="AW235" i="5"/>
  <c r="AW236" i="5"/>
  <c r="AW237" i="5"/>
  <c r="AW239" i="5"/>
  <c r="AW241" i="5"/>
  <c r="AW242" i="5"/>
  <c r="AW243" i="5"/>
  <c r="AW244" i="5"/>
  <c r="AW245" i="5"/>
  <c r="AW247" i="5"/>
  <c r="AW249" i="5"/>
  <c r="AW250" i="5"/>
  <c r="AW251" i="5"/>
  <c r="AW252" i="5"/>
  <c r="AW253" i="5"/>
  <c r="AW255" i="5"/>
  <c r="AW257" i="5"/>
  <c r="AW258" i="5"/>
  <c r="AW259" i="5"/>
  <c r="AW260" i="5"/>
  <c r="AW261" i="5"/>
  <c r="AW263" i="5"/>
  <c r="AW265" i="5"/>
  <c r="AW266" i="5"/>
  <c r="AW267" i="5"/>
  <c r="AW268" i="5"/>
  <c r="AW269" i="5"/>
  <c r="AW271" i="5"/>
  <c r="AW274" i="5"/>
  <c r="AW275" i="5"/>
  <c r="AW276" i="5"/>
  <c r="AW277" i="5"/>
  <c r="AW278" i="5"/>
  <c r="AW279" i="5"/>
  <c r="AW281" i="5"/>
  <c r="AW282" i="5"/>
  <c r="AW283" i="5"/>
  <c r="AW284" i="5"/>
  <c r="AW285" i="5"/>
  <c r="AW286" i="5"/>
  <c r="AW287" i="5"/>
  <c r="AW290" i="5"/>
  <c r="AW291" i="5"/>
  <c r="AW292" i="5"/>
  <c r="AW293" i="5"/>
  <c r="AW295" i="5"/>
  <c r="AW297" i="5"/>
  <c r="AW298" i="5"/>
  <c r="AW299" i="5"/>
  <c r="AW300" i="5"/>
  <c r="AW301" i="5"/>
  <c r="AW303" i="5"/>
  <c r="AW305" i="5"/>
  <c r="AW306" i="5"/>
  <c r="AW307" i="5"/>
  <c r="AW308" i="5"/>
  <c r="AW309" i="5"/>
  <c r="AW311" i="5"/>
  <c r="AW313" i="5"/>
  <c r="AW314" i="5"/>
  <c r="AW315" i="5"/>
  <c r="AW316" i="5"/>
  <c r="AW317" i="5"/>
  <c r="AW319" i="5"/>
  <c r="AW321" i="5"/>
  <c r="AW322" i="5"/>
  <c r="AW323" i="5"/>
  <c r="AW324" i="5"/>
  <c r="AW325" i="5"/>
  <c r="AW327" i="5"/>
  <c r="AW329" i="5"/>
  <c r="AW330" i="5"/>
  <c r="AW331" i="5"/>
  <c r="AW332" i="5"/>
  <c r="AW333" i="5"/>
  <c r="AW335" i="5"/>
  <c r="AW338" i="5"/>
  <c r="AW339" i="5"/>
  <c r="AW340" i="5"/>
  <c r="AW341" i="5"/>
  <c r="AW343" i="5"/>
  <c r="AW345" i="5"/>
  <c r="AW346" i="5"/>
  <c r="AW347" i="5"/>
  <c r="AW348" i="5"/>
  <c r="AW349" i="5"/>
  <c r="AW350" i="5"/>
  <c r="AW351" i="5"/>
  <c r="AW354" i="5"/>
  <c r="AW355" i="5"/>
  <c r="AW356" i="5"/>
  <c r="AW357" i="5"/>
  <c r="AW359" i="5"/>
  <c r="AW361" i="5"/>
  <c r="AW362" i="5"/>
  <c r="AW363" i="5"/>
  <c r="AW364" i="5"/>
  <c r="AW365" i="5"/>
  <c r="AW367" i="5"/>
  <c r="AW369" i="5"/>
  <c r="AW370" i="5"/>
  <c r="AW371" i="5"/>
  <c r="AW372" i="5"/>
  <c r="AW373" i="5"/>
  <c r="AW375" i="5"/>
  <c r="AW377" i="5"/>
  <c r="AW378" i="5"/>
  <c r="AW379" i="5"/>
  <c r="AW380" i="5"/>
  <c r="AW381" i="5"/>
  <c r="AW383" i="5"/>
  <c r="AW385" i="5"/>
  <c r="AW386" i="5"/>
  <c r="AW387" i="5"/>
  <c r="AW388" i="5"/>
  <c r="AW389" i="5"/>
  <c r="AW391" i="5"/>
  <c r="AW393" i="5"/>
  <c r="AW394" i="5"/>
  <c r="AW395" i="5"/>
  <c r="AW396" i="5"/>
  <c r="AW397" i="5"/>
  <c r="AW399" i="5"/>
  <c r="AW402" i="5"/>
  <c r="AW403" i="5"/>
  <c r="AW404" i="5"/>
  <c r="AW405" i="5"/>
  <c r="AW407" i="5"/>
  <c r="AW409" i="5"/>
  <c r="AW410" i="5"/>
  <c r="AW411" i="5"/>
  <c r="AW412" i="5"/>
  <c r="AW413" i="5"/>
  <c r="AW415" i="5"/>
  <c r="AW418" i="5"/>
  <c r="AW419" i="5"/>
  <c r="AW420" i="5"/>
  <c r="AW421" i="5"/>
  <c r="AW423" i="5"/>
  <c r="AW425" i="5"/>
  <c r="AW426" i="5"/>
  <c r="AW427" i="5"/>
  <c r="AW428" i="5"/>
  <c r="AW429" i="5"/>
  <c r="AW430" i="5"/>
  <c r="AW431" i="5"/>
  <c r="AW433" i="5"/>
  <c r="AW434" i="5"/>
  <c r="AW435" i="5"/>
  <c r="AW436" i="5"/>
  <c r="AW437" i="5"/>
  <c r="AW439" i="5"/>
  <c r="AW441" i="5"/>
  <c r="AW442" i="5"/>
  <c r="AW443" i="5"/>
  <c r="AW444" i="5"/>
  <c r="AW445" i="5"/>
  <c r="AW447" i="5"/>
  <c r="AW449" i="5"/>
  <c r="AW450" i="5"/>
  <c r="AW451" i="5"/>
  <c r="AW452" i="5"/>
  <c r="AW453" i="5"/>
  <c r="AW455" i="5"/>
  <c r="AW457" i="5"/>
  <c r="AW458" i="5"/>
  <c r="AW459" i="5"/>
  <c r="AW460" i="5"/>
  <c r="AW461" i="5"/>
  <c r="AW463" i="5"/>
  <c r="AW466" i="5"/>
  <c r="AW467" i="5"/>
  <c r="AW468" i="5"/>
  <c r="AW469" i="5"/>
  <c r="AW471" i="5"/>
  <c r="AW473" i="5"/>
  <c r="AW474" i="5"/>
  <c r="AW475" i="5"/>
  <c r="AW476" i="5"/>
  <c r="AW477" i="5"/>
  <c r="AW479" i="5"/>
  <c r="AW482" i="5"/>
  <c r="AW483" i="5"/>
  <c r="AW484" i="5"/>
  <c r="AW485" i="5"/>
  <c r="AW487" i="5"/>
  <c r="AW489" i="5"/>
  <c r="AW490" i="5"/>
  <c r="AW491" i="5"/>
  <c r="AW492" i="5"/>
  <c r="AW493" i="5"/>
  <c r="AW495" i="5"/>
  <c r="AW497" i="5"/>
  <c r="AW498" i="5"/>
  <c r="AW499" i="5"/>
  <c r="AW500" i="5"/>
  <c r="AW501" i="5"/>
  <c r="AW503" i="5"/>
  <c r="AW505" i="5"/>
  <c r="AW506" i="5"/>
  <c r="AW507" i="5"/>
  <c r="AW508" i="5"/>
  <c r="AW509" i="5"/>
  <c r="AW511" i="5"/>
  <c r="AW513" i="5"/>
  <c r="AW514" i="5"/>
  <c r="AW515" i="5"/>
  <c r="AW516" i="5"/>
  <c r="AW517" i="5"/>
  <c r="AW519" i="5"/>
  <c r="AW521" i="5"/>
  <c r="AW522" i="5"/>
  <c r="AW523" i="5"/>
  <c r="AW524" i="5"/>
  <c r="AW525" i="5"/>
  <c r="AW527" i="5"/>
  <c r="AW530" i="5"/>
  <c r="AW531" i="5"/>
  <c r="AW532" i="5"/>
  <c r="AW533" i="5"/>
  <c r="AW535" i="5"/>
  <c r="AW537" i="5"/>
  <c r="AW538" i="5"/>
  <c r="AW539" i="5"/>
  <c r="AW540" i="5"/>
  <c r="AW541" i="5"/>
  <c r="AW543" i="5"/>
  <c r="AW546" i="5"/>
  <c r="AW547" i="5"/>
  <c r="AW548" i="5"/>
  <c r="AW549" i="5"/>
  <c r="AW551" i="5"/>
  <c r="AW553" i="5"/>
  <c r="AW554" i="5"/>
  <c r="AW555" i="5"/>
  <c r="AW556" i="5"/>
  <c r="AW557" i="5"/>
  <c r="AW558" i="5"/>
  <c r="AW559" i="5"/>
  <c r="AW561" i="5"/>
  <c r="AW562" i="5"/>
  <c r="AW563" i="5"/>
  <c r="AW564" i="5"/>
  <c r="AW565" i="5"/>
  <c r="AW567" i="5"/>
  <c r="AW569" i="5"/>
  <c r="AW570" i="5"/>
  <c r="AW571" i="5"/>
  <c r="AW572" i="5"/>
  <c r="AW573" i="5"/>
  <c r="AW575" i="5"/>
  <c r="AW577" i="5"/>
  <c r="AW578" i="5"/>
  <c r="AW579" i="5"/>
  <c r="AW580" i="5"/>
  <c r="AW581" i="5"/>
  <c r="AW583" i="5"/>
  <c r="AW585" i="5"/>
  <c r="AW586" i="5"/>
  <c r="AW587" i="5"/>
  <c r="AW588" i="5"/>
  <c r="AW589" i="5"/>
  <c r="AW591" i="5"/>
  <c r="AW594" i="5"/>
  <c r="AW595" i="5"/>
  <c r="AW596" i="5"/>
  <c r="AW597" i="5"/>
  <c r="AW598" i="5"/>
  <c r="AW599" i="5"/>
  <c r="AW601" i="5"/>
  <c r="AW602" i="5"/>
  <c r="AW603" i="5"/>
  <c r="AW604" i="5"/>
  <c r="AW605" i="5"/>
  <c r="AW607" i="5"/>
  <c r="AW610" i="5"/>
  <c r="AW611" i="5"/>
  <c r="AW612" i="5"/>
  <c r="AW613" i="5"/>
  <c r="AW615" i="5"/>
  <c r="AW617" i="5"/>
  <c r="AW618" i="5"/>
  <c r="AW619" i="5"/>
  <c r="AW620" i="5"/>
  <c r="AW621" i="5"/>
  <c r="AW622" i="5"/>
  <c r="AW623" i="5"/>
  <c r="AW625" i="5"/>
  <c r="AW626" i="5"/>
  <c r="AW627" i="5"/>
  <c r="AW628" i="5"/>
  <c r="AW629" i="5"/>
  <c r="AW631" i="5"/>
  <c r="AW633" i="5"/>
  <c r="AW634" i="5"/>
  <c r="AW635" i="5"/>
  <c r="AW636" i="5"/>
  <c r="AW637" i="5"/>
  <c r="AW639" i="5"/>
  <c r="AW641" i="5"/>
  <c r="AW642" i="5"/>
  <c r="AW643" i="5"/>
  <c r="AW644" i="5"/>
  <c r="AW645" i="5"/>
  <c r="AW647" i="5"/>
  <c r="AW649" i="5"/>
  <c r="AW650" i="5"/>
  <c r="AW651" i="5"/>
  <c r="AW652" i="5"/>
  <c r="AW653" i="5"/>
  <c r="AW655" i="5"/>
  <c r="AW658" i="5"/>
  <c r="AW659" i="5"/>
  <c r="AW660" i="5"/>
  <c r="AW661" i="5"/>
  <c r="AW663" i="5"/>
  <c r="AW665" i="5"/>
  <c r="AW666" i="5"/>
  <c r="AW667" i="5"/>
  <c r="AW668" i="5"/>
  <c r="AW669" i="5"/>
  <c r="AW670" i="5"/>
  <c r="AW671" i="5"/>
  <c r="AW674" i="5"/>
  <c r="AW675" i="5"/>
  <c r="AW676" i="5"/>
  <c r="AW677" i="5"/>
  <c r="AW679" i="5"/>
  <c r="AW681" i="5"/>
  <c r="AW682" i="5"/>
  <c r="AW683" i="5"/>
  <c r="AW684" i="5"/>
  <c r="AW685" i="5"/>
  <c r="AW687" i="5"/>
  <c r="AW689" i="5"/>
  <c r="AW690" i="5"/>
  <c r="AW691" i="5"/>
  <c r="AW692" i="5"/>
  <c r="AW693" i="5"/>
  <c r="AW695" i="5"/>
  <c r="AW697" i="5"/>
  <c r="AW698" i="5"/>
  <c r="AW699" i="5"/>
  <c r="AW700" i="5"/>
  <c r="AW701" i="5"/>
  <c r="AW703" i="5"/>
  <c r="AW705" i="5"/>
  <c r="AW706" i="5"/>
  <c r="AW707" i="5"/>
  <c r="AW708" i="5"/>
  <c r="AW709" i="5"/>
  <c r="AW711" i="5"/>
  <c r="AW713" i="5"/>
  <c r="AW714" i="5"/>
  <c r="AW715" i="5"/>
  <c r="AW716" i="5"/>
  <c r="AW717" i="5"/>
  <c r="AW719" i="5"/>
  <c r="AW721" i="5"/>
  <c r="AW722" i="5"/>
  <c r="AW723" i="5"/>
  <c r="AW724" i="5"/>
  <c r="AW725" i="5"/>
  <c r="AW727" i="5"/>
  <c r="AW729" i="5"/>
  <c r="AW730" i="5"/>
  <c r="AW731" i="5"/>
  <c r="AW732" i="5"/>
  <c r="AW733" i="5"/>
  <c r="AW735" i="5"/>
  <c r="AW737" i="5"/>
  <c r="AW738" i="5"/>
  <c r="AW739" i="5"/>
  <c r="AW740" i="5"/>
  <c r="AW741" i="5"/>
  <c r="AW743" i="5"/>
  <c r="AW745" i="5"/>
  <c r="AW746" i="5"/>
  <c r="AW747" i="5"/>
  <c r="AW748" i="5"/>
  <c r="AW749" i="5"/>
  <c r="AW751" i="5"/>
  <c r="AW753" i="5"/>
  <c r="AW754" i="5"/>
  <c r="AW755" i="5"/>
  <c r="AW756" i="5"/>
  <c r="AW757" i="5"/>
  <c r="AW759" i="5"/>
  <c r="AW761" i="5"/>
  <c r="AW762" i="5"/>
  <c r="AW763" i="5"/>
  <c r="AW764" i="5"/>
  <c r="AW765" i="5"/>
  <c r="AW767" i="5"/>
  <c r="AW769" i="5"/>
  <c r="AW770" i="5"/>
  <c r="AW771" i="5"/>
  <c r="AW772" i="5"/>
  <c r="AW773" i="5"/>
  <c r="AW775" i="5"/>
  <c r="AW777" i="5"/>
  <c r="AW778" i="5"/>
  <c r="AW779" i="5"/>
  <c r="AW780" i="5"/>
  <c r="AW781" i="5"/>
  <c r="AW783" i="5"/>
  <c r="AW785" i="5"/>
  <c r="AW786" i="5"/>
  <c r="AW787" i="5"/>
  <c r="AW788" i="5"/>
  <c r="AW789" i="5"/>
  <c r="AW791" i="5"/>
  <c r="AW793" i="5"/>
  <c r="AW794" i="5"/>
  <c r="AW795" i="5"/>
  <c r="AW796" i="5"/>
  <c r="AW797" i="5"/>
  <c r="AW799" i="5"/>
  <c r="AW801" i="5"/>
  <c r="AW802" i="5"/>
  <c r="AW803" i="5"/>
  <c r="AW804" i="5"/>
  <c r="AW805" i="5"/>
  <c r="AW807" i="5"/>
  <c r="AW809" i="5"/>
  <c r="AW810" i="5"/>
  <c r="AW811" i="5"/>
  <c r="AW812" i="5"/>
  <c r="AW813" i="5"/>
  <c r="AW815" i="5"/>
  <c r="AW817" i="5"/>
  <c r="AW818" i="5"/>
  <c r="AW819" i="5"/>
  <c r="AW820" i="5"/>
  <c r="AW821" i="5"/>
  <c r="AW823" i="5"/>
  <c r="AW825" i="5"/>
  <c r="AW826" i="5"/>
  <c r="AW827" i="5"/>
  <c r="AW828" i="5"/>
  <c r="AW829" i="5"/>
  <c r="AW831" i="5"/>
  <c r="AW833" i="5"/>
  <c r="AW834" i="5"/>
  <c r="AW835" i="5"/>
  <c r="AW836" i="5"/>
  <c r="AW837" i="5"/>
  <c r="AW839" i="5"/>
  <c r="AW841" i="5"/>
  <c r="AW842" i="5"/>
  <c r="AW843" i="5"/>
  <c r="AW844" i="5"/>
  <c r="AW845" i="5"/>
  <c r="AW847" i="5"/>
  <c r="AW849" i="5"/>
  <c r="AW850" i="5"/>
  <c r="AW851" i="5"/>
  <c r="AW852" i="5"/>
  <c r="AW853" i="5"/>
  <c r="AW855" i="5"/>
  <c r="AW857" i="5"/>
  <c r="AW858" i="5"/>
  <c r="AW859" i="5"/>
  <c r="AW860" i="5"/>
  <c r="AW861" i="5"/>
  <c r="AW863" i="5"/>
  <c r="AW865" i="5"/>
  <c r="AW866" i="5"/>
  <c r="AW867" i="5"/>
  <c r="AW868" i="5"/>
  <c r="AW869" i="5"/>
  <c r="AW871" i="5"/>
  <c r="AW873" i="5"/>
  <c r="AW874" i="5"/>
  <c r="AW875" i="5"/>
  <c r="AW876" i="5"/>
  <c r="AW877" i="5"/>
  <c r="AW879" i="5"/>
  <c r="AW881" i="5"/>
  <c r="AW882" i="5"/>
  <c r="AW883" i="5"/>
  <c r="AW884" i="5"/>
  <c r="AW885" i="5"/>
  <c r="AW887" i="5"/>
  <c r="AW889" i="5"/>
  <c r="AW890" i="5"/>
  <c r="AW891" i="5"/>
  <c r="AW892" i="5"/>
  <c r="AW893" i="5"/>
  <c r="AW895" i="5"/>
  <c r="AW897" i="5"/>
  <c r="AW898" i="5"/>
  <c r="AW899" i="5"/>
  <c r="AW900" i="5"/>
  <c r="AW901" i="5"/>
  <c r="AW903" i="5"/>
  <c r="AW905" i="5"/>
  <c r="AW906" i="5"/>
  <c r="AW907" i="5"/>
  <c r="AW908" i="5"/>
  <c r="AW909" i="5"/>
  <c r="AW911" i="5"/>
  <c r="AW913" i="5"/>
  <c r="AW914" i="5"/>
  <c r="AW915" i="5"/>
  <c r="AW916" i="5"/>
  <c r="AW917" i="5"/>
  <c r="AW919" i="5"/>
  <c r="AW921" i="5"/>
  <c r="AW922" i="5"/>
  <c r="AW923" i="5"/>
  <c r="AW924" i="5"/>
  <c r="AW925" i="5"/>
  <c r="AW927" i="5"/>
  <c r="AW929" i="5"/>
  <c r="AW930" i="5"/>
  <c r="AW931" i="5"/>
  <c r="AW932" i="5"/>
  <c r="AW933" i="5"/>
  <c r="AW935" i="5"/>
  <c r="AW937" i="5"/>
  <c r="AW938" i="5"/>
  <c r="AW939" i="5"/>
  <c r="AW940" i="5"/>
  <c r="AW941" i="5"/>
  <c r="AW943" i="5"/>
  <c r="AW945" i="5"/>
  <c r="AW946" i="5"/>
  <c r="AW947" i="5"/>
  <c r="AW948" i="5"/>
  <c r="AW949" i="5"/>
  <c r="AW951" i="5"/>
  <c r="AW953" i="5"/>
  <c r="AW954" i="5"/>
  <c r="AW955" i="5"/>
  <c r="AW956" i="5"/>
  <c r="AW957" i="5"/>
  <c r="AW959" i="5"/>
  <c r="AW961" i="5"/>
  <c r="AW962" i="5"/>
  <c r="AW963" i="5"/>
  <c r="AW964" i="5"/>
  <c r="AW965" i="5"/>
  <c r="AW967" i="5"/>
  <c r="AW969" i="5"/>
  <c r="AW970" i="5"/>
  <c r="AW971" i="5"/>
  <c r="AW972" i="5"/>
  <c r="AW973" i="5"/>
  <c r="AW975" i="5"/>
  <c r="AW977" i="5"/>
  <c r="AW978" i="5"/>
  <c r="AW979" i="5"/>
  <c r="AW980" i="5"/>
  <c r="AW981" i="5"/>
  <c r="AW983" i="5"/>
  <c r="AW985" i="5"/>
  <c r="AW986" i="5"/>
  <c r="AW987" i="5"/>
  <c r="AW988" i="5"/>
  <c r="AW989" i="5"/>
  <c r="AW991" i="5"/>
  <c r="AW993" i="5"/>
  <c r="AW994" i="5"/>
  <c r="AW995" i="5"/>
  <c r="AW996" i="5"/>
  <c r="AW997" i="5"/>
  <c r="AW999" i="5"/>
  <c r="AW1001" i="5"/>
  <c r="AW1002" i="5"/>
  <c r="AW1003" i="5"/>
  <c r="AW1004" i="5"/>
  <c r="AW1005" i="5"/>
  <c r="AW1007" i="5"/>
  <c r="AW1009" i="5"/>
  <c r="AW1010" i="5"/>
  <c r="AW1011" i="5"/>
  <c r="AW1012" i="5"/>
  <c r="AW1013" i="5"/>
  <c r="AW1015" i="5"/>
  <c r="AW1017" i="5"/>
  <c r="AW1018" i="5"/>
  <c r="AW1019" i="5"/>
  <c r="AW1020" i="5"/>
  <c r="AW1021" i="5"/>
  <c r="AW1023" i="5"/>
  <c r="AW1025" i="5"/>
  <c r="AW1026" i="5"/>
  <c r="AW1027" i="5"/>
  <c r="AW1028" i="5"/>
  <c r="AW1029" i="5"/>
  <c r="AW1031" i="5"/>
  <c r="AW1033" i="5"/>
  <c r="AW1034" i="5"/>
  <c r="AW1035" i="5"/>
  <c r="AW1036" i="5"/>
  <c r="AW1037" i="5"/>
  <c r="AW1039" i="5"/>
  <c r="AW1041" i="5"/>
  <c r="AW1042" i="5"/>
  <c r="AW1043" i="5"/>
  <c r="AW1044" i="5"/>
  <c r="AW1045" i="5"/>
  <c r="AW1047" i="5"/>
  <c r="AW1049" i="5"/>
  <c r="AW1050" i="5"/>
  <c r="AW1051" i="5"/>
  <c r="AW1052" i="5"/>
  <c r="AW1053" i="5"/>
  <c r="AW1055" i="5"/>
  <c r="AW1057" i="5"/>
  <c r="AW1058" i="5"/>
  <c r="AW1059" i="5"/>
  <c r="AW1060" i="5"/>
  <c r="AW1061" i="5"/>
  <c r="AW1063" i="5"/>
  <c r="AW1065" i="5"/>
  <c r="AW1066" i="5"/>
  <c r="AW1067" i="5"/>
  <c r="AW1068" i="5"/>
  <c r="AW1069" i="5"/>
  <c r="AW1071" i="5"/>
  <c r="AW1072" i="5"/>
  <c r="AW1073" i="5"/>
  <c r="AW1074" i="5"/>
  <c r="AW1075" i="5"/>
  <c r="AW1076" i="5"/>
  <c r="AW1077" i="5"/>
  <c r="AW1079" i="5"/>
  <c r="AW1081" i="5"/>
  <c r="AW1082" i="5"/>
  <c r="AW1083" i="5"/>
  <c r="AW1084" i="5"/>
  <c r="AW1085" i="5"/>
  <c r="AW1087" i="5"/>
  <c r="AW1088" i="5"/>
  <c r="AW1089" i="5"/>
  <c r="AW1090" i="5"/>
  <c r="AW1091" i="5"/>
  <c r="AW1092" i="5"/>
  <c r="AW1093" i="5"/>
  <c r="AW1095" i="5"/>
  <c r="AW1097" i="5"/>
  <c r="AW1098" i="5"/>
  <c r="AW1099" i="5"/>
  <c r="AW1100" i="5"/>
  <c r="AW1101" i="5"/>
  <c r="AW1103" i="5"/>
  <c r="AW1105" i="5"/>
  <c r="AW1106" i="5"/>
  <c r="AW1107" i="5"/>
  <c r="AW1108" i="5"/>
  <c r="AW1109" i="5"/>
  <c r="AW1111" i="5"/>
  <c r="AW1113" i="5"/>
  <c r="AW1114" i="5"/>
  <c r="AW1115" i="5"/>
  <c r="AW1116" i="5"/>
  <c r="AW1117" i="5"/>
  <c r="AW1119" i="5"/>
  <c r="AW1121" i="5"/>
  <c r="AW1122" i="5"/>
  <c r="AW1123" i="5"/>
  <c r="AW1124" i="5"/>
  <c r="AW1125" i="5"/>
  <c r="AW1127" i="5"/>
  <c r="AW1129" i="5"/>
  <c r="AW1130" i="5"/>
  <c r="AW1131" i="5"/>
  <c r="AW1132" i="5"/>
  <c r="AW1133" i="5"/>
  <c r="AW1135" i="5"/>
  <c r="AW1136" i="5"/>
  <c r="AW1137" i="5"/>
  <c r="AW1138" i="5"/>
  <c r="AW1139" i="5"/>
  <c r="AW1140" i="5"/>
  <c r="AW1141" i="5"/>
  <c r="AW1143" i="5"/>
  <c r="AW1145" i="5"/>
  <c r="AW1146" i="5"/>
  <c r="AW1147" i="5"/>
  <c r="AW1148" i="5"/>
  <c r="AW1149" i="5"/>
  <c r="AW1151" i="5"/>
  <c r="AW1152" i="5"/>
  <c r="AW1153" i="5"/>
  <c r="AW1154" i="5"/>
  <c r="AW1155" i="5"/>
  <c r="AW1156" i="5"/>
  <c r="AW1157" i="5"/>
  <c r="AW1159" i="5"/>
  <c r="AW1161" i="5"/>
  <c r="AW1162" i="5"/>
  <c r="AW1163" i="5"/>
  <c r="AW1164" i="5"/>
  <c r="AW1165" i="5"/>
  <c r="AW1167" i="5"/>
  <c r="AW1169" i="5"/>
  <c r="AW1170" i="5"/>
  <c r="AW1171" i="5"/>
  <c r="AW1172" i="5"/>
  <c r="AW1173" i="5"/>
  <c r="AW1175" i="5"/>
  <c r="AW1177" i="5"/>
  <c r="AW1178" i="5"/>
  <c r="AW1179" i="5"/>
  <c r="AW1180" i="5"/>
  <c r="AW1181" i="5"/>
  <c r="AW1183" i="5"/>
  <c r="AW1185" i="5"/>
  <c r="AW1186" i="5"/>
  <c r="AW1187" i="5"/>
  <c r="AW1188" i="5"/>
  <c r="AW1189" i="5"/>
  <c r="AW1191" i="5"/>
  <c r="AW1193" i="5"/>
  <c r="AW1194" i="5"/>
  <c r="AW1195" i="5"/>
  <c r="AW1196" i="5"/>
  <c r="AW1197" i="5"/>
  <c r="AW1199" i="5"/>
  <c r="AW1200" i="5"/>
  <c r="AW1201" i="5"/>
  <c r="AW1202" i="5"/>
  <c r="AW1203" i="5"/>
  <c r="AW1204" i="5"/>
  <c r="AW1205" i="5"/>
  <c r="AW1207" i="5"/>
  <c r="AW1209" i="5"/>
  <c r="AW1210" i="5"/>
  <c r="AW1211" i="5"/>
  <c r="AW1212" i="5"/>
  <c r="AW1213" i="5"/>
  <c r="AW1215" i="5"/>
  <c r="AW1216" i="5"/>
  <c r="AW1217" i="5"/>
  <c r="AW1218" i="5"/>
  <c r="AW1219" i="5"/>
  <c r="AW1220" i="5"/>
  <c r="AW1221" i="5"/>
  <c r="AW1223" i="5"/>
  <c r="AW1225" i="5"/>
  <c r="AW1226" i="5"/>
  <c r="AW1227" i="5"/>
  <c r="AW1228" i="5"/>
  <c r="AW1229" i="5"/>
  <c r="AW1231" i="5"/>
  <c r="AW1233" i="5"/>
  <c r="AW1234" i="5"/>
  <c r="AW1235" i="5"/>
  <c r="AW1236" i="5"/>
  <c r="AW1237" i="5"/>
  <c r="AW1239" i="5"/>
  <c r="AW1241" i="5"/>
  <c r="AW1242" i="5"/>
  <c r="AW1243" i="5"/>
  <c r="AW1244" i="5"/>
  <c r="AW1245" i="5"/>
  <c r="AW1247" i="5"/>
  <c r="AW1249" i="5"/>
  <c r="AW1250" i="5"/>
  <c r="AW1251" i="5"/>
  <c r="AW1252" i="5"/>
  <c r="AW1253" i="5"/>
  <c r="AW1255" i="5"/>
  <c r="AW1257" i="5"/>
  <c r="AW1258" i="5"/>
  <c r="AW1259" i="5"/>
  <c r="AW1260" i="5"/>
  <c r="AW1261" i="5"/>
  <c r="AW1263" i="5"/>
  <c r="AW1264" i="5"/>
  <c r="AW1265" i="5"/>
  <c r="AW1266" i="5"/>
  <c r="AW1267" i="5"/>
  <c r="AW1268" i="5"/>
  <c r="AW1269" i="5"/>
  <c r="AW1271" i="5"/>
  <c r="AW1273" i="5"/>
  <c r="AW1274" i="5"/>
  <c r="AW1275" i="5"/>
  <c r="AW1276" i="5"/>
  <c r="AW1277" i="5"/>
  <c r="AW1279" i="5"/>
  <c r="AW1281" i="5"/>
  <c r="AW1282" i="5"/>
  <c r="AW1283" i="5"/>
  <c r="AW1284" i="5"/>
  <c r="AW1285" i="5"/>
  <c r="AW1287" i="5"/>
  <c r="AW1289" i="5"/>
  <c r="AW1290" i="5"/>
  <c r="AW1291" i="5"/>
  <c r="AW1292" i="5"/>
  <c r="AW1293" i="5"/>
  <c r="AW1295" i="5"/>
  <c r="AW1297" i="5"/>
  <c r="AW1298" i="5"/>
  <c r="AW1299" i="5"/>
  <c r="AW1300" i="5"/>
  <c r="AW1301" i="5"/>
  <c r="AW1303" i="5"/>
  <c r="AW1305" i="5"/>
  <c r="AW1306" i="5"/>
  <c r="AW1307" i="5"/>
  <c r="AW1308" i="5"/>
  <c r="AW1309" i="5"/>
  <c r="AW1311" i="5"/>
  <c r="AW1313" i="5"/>
  <c r="AW1314" i="5"/>
  <c r="AW1315" i="5"/>
  <c r="AW1316" i="5"/>
  <c r="AW1317" i="5"/>
  <c r="AW1319" i="5"/>
  <c r="AW1321" i="5"/>
  <c r="AW1322" i="5"/>
  <c r="AW1323" i="5"/>
  <c r="AW1324" i="5"/>
  <c r="AW1325" i="5"/>
  <c r="AW1327" i="5"/>
  <c r="AW1329" i="5"/>
  <c r="AW1330" i="5"/>
  <c r="AW1331" i="5"/>
  <c r="AW1332" i="5"/>
  <c r="AW1333" i="5"/>
  <c r="AW1335" i="5"/>
  <c r="AW1337" i="5"/>
  <c r="AW1338" i="5"/>
  <c r="AW1339" i="5"/>
  <c r="AW1340" i="5"/>
  <c r="AW1341" i="5"/>
  <c r="AW1343" i="5"/>
  <c r="AW1345" i="5"/>
  <c r="AW1346" i="5"/>
  <c r="AW1347" i="5"/>
  <c r="AW1348" i="5"/>
  <c r="AW1349" i="5"/>
  <c r="AW1351" i="5"/>
  <c r="AW1353" i="5"/>
  <c r="AW1354" i="5"/>
  <c r="AW1355" i="5"/>
  <c r="AW1356" i="5"/>
  <c r="AW1357" i="5"/>
  <c r="AW1359" i="5"/>
  <c r="AW1361" i="5"/>
  <c r="AW1362" i="5"/>
  <c r="AW1363" i="5"/>
  <c r="AW1364" i="5"/>
  <c r="AW1365" i="5"/>
  <c r="AW1367" i="5"/>
  <c r="AW1369" i="5"/>
  <c r="AW1370" i="5"/>
  <c r="AW1371" i="5"/>
  <c r="AW1372" i="5"/>
  <c r="AW1373" i="5"/>
  <c r="AW1375" i="5"/>
  <c r="AW1377" i="5"/>
  <c r="AW1378" i="5"/>
  <c r="AW1379" i="5"/>
  <c r="AW1380" i="5"/>
  <c r="AW1381" i="5"/>
  <c r="AW1383" i="5"/>
  <c r="AW1385" i="5"/>
  <c r="AW1386" i="5"/>
  <c r="AW1387" i="5"/>
  <c r="AW1388" i="5"/>
  <c r="AW1389" i="5"/>
  <c r="AW1391" i="5"/>
  <c r="AW1393" i="5"/>
  <c r="AW1394" i="5"/>
  <c r="AW1395" i="5"/>
  <c r="AW1396" i="5"/>
  <c r="AW1397" i="5"/>
  <c r="AW1399" i="5"/>
  <c r="AW1401" i="5"/>
  <c r="AW1402" i="5"/>
  <c r="AW1403" i="5"/>
  <c r="AW1404" i="5"/>
  <c r="AW1405" i="5"/>
  <c r="AW1407" i="5"/>
  <c r="AW1409" i="5"/>
  <c r="AW1410" i="5"/>
  <c r="AW1411" i="5"/>
  <c r="AW1412" i="5"/>
  <c r="AW1413" i="5"/>
  <c r="AW1415" i="5"/>
  <c r="AW1417" i="5"/>
  <c r="AW1418" i="5"/>
  <c r="AW1419" i="5"/>
  <c r="AW1420" i="5"/>
  <c r="AW1421" i="5"/>
  <c r="AW1423" i="5"/>
  <c r="AW1425" i="5"/>
  <c r="AW1426" i="5"/>
  <c r="AW1427" i="5"/>
  <c r="AW1428" i="5"/>
  <c r="AW1429" i="5"/>
  <c r="AW1431" i="5"/>
  <c r="AW1433" i="5"/>
  <c r="AW1434" i="5"/>
  <c r="AW1435" i="5"/>
  <c r="AW1436" i="5"/>
  <c r="AW1437" i="5"/>
  <c r="AW1439" i="5"/>
  <c r="AW1441" i="5"/>
  <c r="AW1442" i="5"/>
  <c r="AW1443" i="5"/>
  <c r="AW1444" i="5"/>
  <c r="AW1445" i="5"/>
  <c r="AW1447" i="5"/>
  <c r="AW1449" i="5"/>
  <c r="AW1450" i="5"/>
  <c r="AW1451" i="5"/>
  <c r="AW1452" i="5"/>
  <c r="AW1453" i="5"/>
  <c r="AW1455" i="5"/>
  <c r="AW1457" i="5"/>
  <c r="AW1458" i="5"/>
  <c r="AW1459" i="5"/>
  <c r="AW1460" i="5"/>
  <c r="AW1461" i="5"/>
  <c r="AW1463" i="5"/>
  <c r="AW1465" i="5"/>
  <c r="AW1466" i="5"/>
  <c r="AW1467" i="5"/>
  <c r="AW1468" i="5"/>
  <c r="AW1469" i="5"/>
  <c r="AW1471" i="5"/>
  <c r="AW1473" i="5"/>
  <c r="AW1474" i="5"/>
  <c r="AW1475" i="5"/>
  <c r="AW1476" i="5"/>
  <c r="AW1477" i="5"/>
  <c r="AW1479" i="5"/>
  <c r="AW1481" i="5"/>
  <c r="AW1482" i="5"/>
  <c r="AW1483" i="5"/>
  <c r="AW1484" i="5"/>
  <c r="AW1485" i="5"/>
  <c r="AW1487" i="5"/>
  <c r="AW1489" i="5"/>
  <c r="AW1490" i="5"/>
  <c r="AW1491" i="5"/>
  <c r="AW1492" i="5"/>
  <c r="AW1493" i="5"/>
  <c r="AW1495" i="5"/>
  <c r="AW1497" i="5"/>
  <c r="AW1498" i="5"/>
  <c r="AW1499" i="5"/>
  <c r="AW1500" i="5"/>
  <c r="AW1501" i="5"/>
  <c r="AW1503" i="5"/>
  <c r="AW1505" i="5"/>
  <c r="AW1506" i="5"/>
  <c r="AW1507" i="5"/>
  <c r="AW1508" i="5"/>
  <c r="AW1509" i="5"/>
  <c r="AW1511" i="5"/>
  <c r="AW1513" i="5"/>
  <c r="AW1514" i="5"/>
  <c r="AW1515" i="5"/>
  <c r="AW1516" i="5"/>
  <c r="AW1517" i="5"/>
  <c r="AW1519" i="5"/>
  <c r="AW1521" i="5"/>
  <c r="AW1522" i="5"/>
  <c r="AW1523" i="5"/>
  <c r="AW1524" i="5"/>
  <c r="AW1525" i="5"/>
  <c r="AW1527" i="5"/>
  <c r="AW1529" i="5"/>
  <c r="AW1530" i="5"/>
  <c r="AW1531" i="5"/>
  <c r="AW1532" i="5"/>
  <c r="AW1533" i="5"/>
  <c r="AW1535" i="5"/>
  <c r="AW1537" i="5"/>
  <c r="AW1538" i="5"/>
  <c r="AW1539" i="5"/>
  <c r="AW1540" i="5"/>
  <c r="AW1541" i="5"/>
  <c r="AW1543" i="5"/>
  <c r="AW1545" i="5"/>
  <c r="AW1546" i="5"/>
  <c r="AW1547" i="5"/>
  <c r="AW1548" i="5"/>
  <c r="AW1549" i="5"/>
  <c r="AW1551" i="5"/>
  <c r="AW1553" i="5"/>
  <c r="AW1554" i="5"/>
  <c r="AW1555" i="5"/>
  <c r="AW1556" i="5"/>
  <c r="AW1557" i="5"/>
  <c r="AW1559" i="5"/>
  <c r="AW1561" i="5"/>
  <c r="AW1562" i="5"/>
  <c r="AW1563" i="5"/>
  <c r="AW1564" i="5"/>
  <c r="AW1565" i="5"/>
  <c r="AW1567" i="5"/>
  <c r="AW1569" i="5"/>
  <c r="AW1570" i="5"/>
  <c r="AW1571" i="5"/>
  <c r="AW1572" i="5"/>
  <c r="AW1573" i="5"/>
  <c r="AW1575" i="5"/>
  <c r="AW1577" i="5"/>
  <c r="AW1578" i="5"/>
  <c r="AW1579" i="5"/>
  <c r="AW1580" i="5"/>
  <c r="AW1581" i="5"/>
  <c r="AW1583" i="5"/>
  <c r="AW1585" i="5"/>
  <c r="AW1586" i="5"/>
  <c r="AW1587" i="5"/>
  <c r="AW1588" i="5"/>
  <c r="AW1589" i="5"/>
  <c r="AW1591" i="5"/>
  <c r="AW1593" i="5"/>
  <c r="AW1594" i="5"/>
  <c r="AW1595" i="5"/>
  <c r="AW1596" i="5"/>
  <c r="AW1597" i="5"/>
  <c r="AW1599" i="5"/>
  <c r="AW1601" i="5"/>
  <c r="AW1602" i="5"/>
  <c r="AW1603" i="5"/>
  <c r="AW1604" i="5"/>
  <c r="AW1605" i="5"/>
  <c r="AW1607" i="5"/>
  <c r="AW1609" i="5"/>
  <c r="AW1610" i="5"/>
  <c r="AW1611" i="5"/>
  <c r="AW1612" i="5"/>
  <c r="AW1613" i="5"/>
  <c r="AW1615" i="5"/>
  <c r="AW1617" i="5"/>
  <c r="AW1618" i="5"/>
  <c r="AW1619" i="5"/>
  <c r="AW1620" i="5"/>
  <c r="AW1621" i="5"/>
  <c r="AW1623" i="5"/>
  <c r="AW1625" i="5"/>
  <c r="AW1626" i="5"/>
  <c r="AW1627" i="5"/>
  <c r="AW1628" i="5"/>
  <c r="AW1629" i="5"/>
  <c r="AW1631" i="5"/>
  <c r="AW1633" i="5"/>
  <c r="AW1634" i="5"/>
  <c r="AW1635" i="5"/>
  <c r="AW1636" i="5"/>
  <c r="AW1637" i="5"/>
  <c r="AW1639" i="5"/>
  <c r="AW1641" i="5"/>
  <c r="AW1642" i="5"/>
  <c r="AW1643" i="5"/>
  <c r="AW1644" i="5"/>
  <c r="AW1645" i="5"/>
  <c r="AW1647" i="5"/>
  <c r="AW1649" i="5"/>
  <c r="AW1650" i="5"/>
  <c r="AW1651" i="5"/>
  <c r="AW1652" i="5"/>
  <c r="AW1653" i="5"/>
  <c r="AW1655" i="5"/>
  <c r="AW1657" i="5"/>
  <c r="AW1658" i="5"/>
  <c r="AW1659" i="5"/>
  <c r="AW1660" i="5"/>
  <c r="AW1661" i="5"/>
  <c r="AW1663" i="5"/>
  <c r="AW1665" i="5"/>
  <c r="AW1666" i="5"/>
  <c r="AW1667" i="5"/>
  <c r="AW1668" i="5"/>
  <c r="AW1669" i="5"/>
  <c r="AW1671" i="5"/>
  <c r="AW1673" i="5"/>
  <c r="AW1674" i="5"/>
  <c r="AW1675" i="5"/>
  <c r="AW1676" i="5"/>
  <c r="AW1677" i="5"/>
  <c r="AW1679" i="5"/>
  <c r="AW1681" i="5"/>
  <c r="AW1682" i="5"/>
  <c r="AW1683" i="5"/>
  <c r="AW1684" i="5"/>
  <c r="AW1685" i="5"/>
  <c r="AW1687" i="5"/>
  <c r="AW1689" i="5"/>
  <c r="AW1690" i="5"/>
  <c r="AW1691" i="5"/>
  <c r="AW1692" i="5"/>
  <c r="AW1693" i="5"/>
  <c r="AW1695" i="5"/>
  <c r="AW1697" i="5"/>
  <c r="AW1698" i="5"/>
  <c r="AW1699" i="5"/>
  <c r="AW1700" i="5"/>
  <c r="AW1701" i="5"/>
  <c r="AW1703" i="5"/>
  <c r="AW1705" i="5"/>
  <c r="AW1706" i="5"/>
  <c r="AW1707" i="5"/>
  <c r="AW1708" i="5"/>
  <c r="AW1709" i="5"/>
  <c r="AW1711" i="5"/>
  <c r="AW1713" i="5"/>
  <c r="AW1714" i="5"/>
  <c r="AW1715" i="5"/>
  <c r="AW1716" i="5"/>
  <c r="AW1717" i="5"/>
  <c r="AW1719" i="5"/>
  <c r="AW1721" i="5"/>
  <c r="AW1722" i="5"/>
  <c r="AW1723" i="5"/>
  <c r="AW1724" i="5"/>
  <c r="AW1725" i="5"/>
  <c r="AW1727" i="5"/>
  <c r="AW1729" i="5"/>
  <c r="AW1730" i="5"/>
  <c r="AW1731" i="5"/>
  <c r="AW1732" i="5"/>
  <c r="AW1733" i="5"/>
  <c r="AW1735" i="5"/>
  <c r="AW1737" i="5"/>
  <c r="AW1738" i="5"/>
  <c r="AW1739" i="5"/>
  <c r="AW1740" i="5"/>
  <c r="AW1741" i="5"/>
  <c r="AW1743" i="5"/>
  <c r="AW1745" i="5"/>
  <c r="AW1746" i="5"/>
  <c r="AW1747" i="5"/>
  <c r="AW1748" i="5"/>
  <c r="AW1749" i="5"/>
  <c r="AW1751" i="5"/>
  <c r="AW1753" i="5"/>
  <c r="AW1754" i="5"/>
  <c r="AW1755" i="5"/>
  <c r="AW1756" i="5"/>
  <c r="AW1757" i="5"/>
  <c r="AW1759" i="5"/>
  <c r="AW1761" i="5"/>
  <c r="AW1762" i="5"/>
  <c r="AW1763" i="5"/>
  <c r="AW1764" i="5"/>
  <c r="AW1765" i="5"/>
  <c r="AW1767" i="5"/>
  <c r="AW1769" i="5"/>
  <c r="AW1770" i="5"/>
  <c r="AW1771" i="5"/>
  <c r="AW1772" i="5"/>
  <c r="AW1773" i="5"/>
  <c r="AW1775" i="5"/>
  <c r="AW1777" i="5"/>
  <c r="AW1778" i="5"/>
  <c r="AW1779" i="5"/>
  <c r="AW1780" i="5"/>
  <c r="AW1781" i="5"/>
  <c r="AW1783" i="5"/>
  <c r="AW1785" i="5"/>
  <c r="AW1786" i="5"/>
  <c r="AW1787" i="5"/>
  <c r="AW1788" i="5"/>
  <c r="AW1789" i="5"/>
  <c r="AW1791" i="5"/>
  <c r="AW1793" i="5"/>
  <c r="AW1794" i="5"/>
  <c r="AW1795" i="5"/>
  <c r="AW1796" i="5"/>
  <c r="AW1797" i="5"/>
  <c r="AW1799" i="5"/>
  <c r="AW1801" i="5"/>
  <c r="AW1802" i="5"/>
  <c r="AW1803" i="5"/>
  <c r="AW1804" i="5"/>
  <c r="AW1805" i="5"/>
  <c r="AW1807" i="5"/>
  <c r="AW1809" i="5"/>
  <c r="AW1810" i="5"/>
  <c r="AW1811" i="5"/>
  <c r="AW1812" i="5"/>
  <c r="AW1813" i="5"/>
  <c r="AW1815" i="5"/>
  <c r="AW1817" i="5"/>
  <c r="AW1818" i="5"/>
  <c r="AW1819" i="5"/>
  <c r="AW1820" i="5"/>
  <c r="AW1821" i="5"/>
  <c r="AW1823" i="5"/>
  <c r="AW1825" i="5"/>
  <c r="AW1826" i="5"/>
  <c r="AW1827" i="5"/>
  <c r="AW1828" i="5"/>
  <c r="AW1829" i="5"/>
  <c r="AW1831" i="5"/>
  <c r="AW1833" i="5"/>
  <c r="AW1834" i="5"/>
  <c r="AW1835" i="5"/>
  <c r="AW1836" i="5"/>
  <c r="AW1837" i="5"/>
  <c r="AW1839" i="5"/>
  <c r="AW1841" i="5"/>
  <c r="AW1842" i="5"/>
  <c r="AW1843" i="5"/>
  <c r="AW1844" i="5"/>
  <c r="AW1845" i="5"/>
  <c r="AW1847" i="5"/>
  <c r="AW1849" i="5"/>
  <c r="AW1850" i="5"/>
  <c r="AW1851" i="5"/>
  <c r="AW1852" i="5"/>
  <c r="AW1853" i="5"/>
  <c r="AW1855" i="5"/>
  <c r="AW1857" i="5"/>
  <c r="AW1858" i="5"/>
  <c r="AW1859" i="5"/>
  <c r="AW1860" i="5"/>
  <c r="AW1861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234" i="5"/>
  <c r="AX235" i="5"/>
  <c r="AX236" i="5"/>
  <c r="AX237" i="5"/>
  <c r="AX238" i="5"/>
  <c r="AX239" i="5"/>
  <c r="AX240" i="5"/>
  <c r="AX241" i="5"/>
  <c r="AX242" i="5"/>
  <c r="AX243" i="5"/>
  <c r="AX244" i="5"/>
  <c r="AX245" i="5"/>
  <c r="AX246" i="5"/>
  <c r="AX247" i="5"/>
  <c r="AX248" i="5"/>
  <c r="AX249" i="5"/>
  <c r="AX250" i="5"/>
  <c r="AX251" i="5"/>
  <c r="AX252" i="5"/>
  <c r="AX253" i="5"/>
  <c r="AX254" i="5"/>
  <c r="AX255" i="5"/>
  <c r="AX256" i="5"/>
  <c r="AX257" i="5"/>
  <c r="AX258" i="5"/>
  <c r="AX259" i="5"/>
  <c r="AX260" i="5"/>
  <c r="AX261" i="5"/>
  <c r="AX262" i="5"/>
  <c r="AX263" i="5"/>
  <c r="AX264" i="5"/>
  <c r="AX265" i="5"/>
  <c r="AX266" i="5"/>
  <c r="AX267" i="5"/>
  <c r="AX268" i="5"/>
  <c r="AX269" i="5"/>
  <c r="AX270" i="5"/>
  <c r="AX271" i="5"/>
  <c r="AX272" i="5"/>
  <c r="AX273" i="5"/>
  <c r="AX274" i="5"/>
  <c r="AX275" i="5"/>
  <c r="AX276" i="5"/>
  <c r="AX277" i="5"/>
  <c r="AX278" i="5"/>
  <c r="AX279" i="5"/>
  <c r="AX280" i="5"/>
  <c r="AX281" i="5"/>
  <c r="AX282" i="5"/>
  <c r="AX283" i="5"/>
  <c r="AX284" i="5"/>
  <c r="AX285" i="5"/>
  <c r="AX286" i="5"/>
  <c r="AX287" i="5"/>
  <c r="AX288" i="5"/>
  <c r="AX289" i="5"/>
  <c r="AX290" i="5"/>
  <c r="AX291" i="5"/>
  <c r="AX292" i="5"/>
  <c r="AX293" i="5"/>
  <c r="AX294" i="5"/>
  <c r="AX295" i="5"/>
  <c r="AX296" i="5"/>
  <c r="AX297" i="5"/>
  <c r="AX298" i="5"/>
  <c r="AX299" i="5"/>
  <c r="AX300" i="5"/>
  <c r="AX301" i="5"/>
  <c r="AX302" i="5"/>
  <c r="AX303" i="5"/>
  <c r="AX304" i="5"/>
  <c r="AX305" i="5"/>
  <c r="AX306" i="5"/>
  <c r="AX307" i="5"/>
  <c r="AX308" i="5"/>
  <c r="AX309" i="5"/>
  <c r="AX310" i="5"/>
  <c r="AX311" i="5"/>
  <c r="AX312" i="5"/>
  <c r="AX313" i="5"/>
  <c r="AX314" i="5"/>
  <c r="AX315" i="5"/>
  <c r="AX316" i="5"/>
  <c r="AX317" i="5"/>
  <c r="AX318" i="5"/>
  <c r="AX319" i="5"/>
  <c r="AX320" i="5"/>
  <c r="AX321" i="5"/>
  <c r="AX322" i="5"/>
  <c r="AX323" i="5"/>
  <c r="AX324" i="5"/>
  <c r="AX325" i="5"/>
  <c r="AX326" i="5"/>
  <c r="AX327" i="5"/>
  <c r="AX328" i="5"/>
  <c r="AX329" i="5"/>
  <c r="AX330" i="5"/>
  <c r="AX331" i="5"/>
  <c r="AX332" i="5"/>
  <c r="AX333" i="5"/>
  <c r="AX334" i="5"/>
  <c r="AX335" i="5"/>
  <c r="AX336" i="5"/>
  <c r="AX337" i="5"/>
  <c r="AX338" i="5"/>
  <c r="AX339" i="5"/>
  <c r="AX340" i="5"/>
  <c r="AX341" i="5"/>
  <c r="AX342" i="5"/>
  <c r="AX343" i="5"/>
  <c r="AX344" i="5"/>
  <c r="AX345" i="5"/>
  <c r="AX346" i="5"/>
  <c r="AX347" i="5"/>
  <c r="AX348" i="5"/>
  <c r="AX349" i="5"/>
  <c r="AX350" i="5"/>
  <c r="AX351" i="5"/>
  <c r="AX352" i="5"/>
  <c r="AX353" i="5"/>
  <c r="AX354" i="5"/>
  <c r="AX355" i="5"/>
  <c r="AX356" i="5"/>
  <c r="AX357" i="5"/>
  <c r="AX358" i="5"/>
  <c r="AX359" i="5"/>
  <c r="AX360" i="5"/>
  <c r="AX361" i="5"/>
  <c r="AX362" i="5"/>
  <c r="AX363" i="5"/>
  <c r="AX364" i="5"/>
  <c r="AX365" i="5"/>
  <c r="AX366" i="5"/>
  <c r="AX367" i="5"/>
  <c r="AX368" i="5"/>
  <c r="AX369" i="5"/>
  <c r="AX370" i="5"/>
  <c r="AX371" i="5"/>
  <c r="AX372" i="5"/>
  <c r="AX373" i="5"/>
  <c r="AX374" i="5"/>
  <c r="AX375" i="5"/>
  <c r="AX376" i="5"/>
  <c r="AX377" i="5"/>
  <c r="AX378" i="5"/>
  <c r="AX379" i="5"/>
  <c r="AX380" i="5"/>
  <c r="AX381" i="5"/>
  <c r="AX382" i="5"/>
  <c r="AX383" i="5"/>
  <c r="AX384" i="5"/>
  <c r="AX385" i="5"/>
  <c r="AX386" i="5"/>
  <c r="AX387" i="5"/>
  <c r="AX388" i="5"/>
  <c r="AX389" i="5"/>
  <c r="AX390" i="5"/>
  <c r="AX391" i="5"/>
  <c r="AX392" i="5"/>
  <c r="AX393" i="5"/>
  <c r="AX394" i="5"/>
  <c r="AX395" i="5"/>
  <c r="AX396" i="5"/>
  <c r="AX397" i="5"/>
  <c r="AX398" i="5"/>
  <c r="AX399" i="5"/>
  <c r="AX400" i="5"/>
  <c r="AX401" i="5"/>
  <c r="AX402" i="5"/>
  <c r="AX403" i="5"/>
  <c r="AX404" i="5"/>
  <c r="AX405" i="5"/>
  <c r="AX406" i="5"/>
  <c r="AX407" i="5"/>
  <c r="AX408" i="5"/>
  <c r="AX409" i="5"/>
  <c r="AX410" i="5"/>
  <c r="AX411" i="5"/>
  <c r="AX412" i="5"/>
  <c r="AX413" i="5"/>
  <c r="AX414" i="5"/>
  <c r="AX415" i="5"/>
  <c r="AX416" i="5"/>
  <c r="AX417" i="5"/>
  <c r="AX418" i="5"/>
  <c r="AX419" i="5"/>
  <c r="AX420" i="5"/>
  <c r="AX421" i="5"/>
  <c r="AX422" i="5"/>
  <c r="AX423" i="5"/>
  <c r="AX424" i="5"/>
  <c r="AX425" i="5"/>
  <c r="AX426" i="5"/>
  <c r="AX427" i="5"/>
  <c r="AX428" i="5"/>
  <c r="AX429" i="5"/>
  <c r="AX430" i="5"/>
  <c r="AX431" i="5"/>
  <c r="AX432" i="5"/>
  <c r="AX433" i="5"/>
  <c r="AX434" i="5"/>
  <c r="AX435" i="5"/>
  <c r="AX436" i="5"/>
  <c r="AX437" i="5"/>
  <c r="AX438" i="5"/>
  <c r="AX439" i="5"/>
  <c r="AX440" i="5"/>
  <c r="AX441" i="5"/>
  <c r="AX442" i="5"/>
  <c r="AX443" i="5"/>
  <c r="AX444" i="5"/>
  <c r="AX445" i="5"/>
  <c r="AX446" i="5"/>
  <c r="AX447" i="5"/>
  <c r="AX448" i="5"/>
  <c r="AX449" i="5"/>
  <c r="AX450" i="5"/>
  <c r="AX451" i="5"/>
  <c r="AX452" i="5"/>
  <c r="AX453" i="5"/>
  <c r="AX454" i="5"/>
  <c r="AX455" i="5"/>
  <c r="AX456" i="5"/>
  <c r="AX457" i="5"/>
  <c r="AX458" i="5"/>
  <c r="AX459" i="5"/>
  <c r="AX460" i="5"/>
  <c r="AX461" i="5"/>
  <c r="AX462" i="5"/>
  <c r="AX463" i="5"/>
  <c r="AX464" i="5"/>
  <c r="AX465" i="5"/>
  <c r="AX466" i="5"/>
  <c r="AX467" i="5"/>
  <c r="AX468" i="5"/>
  <c r="AX469" i="5"/>
  <c r="AX470" i="5"/>
  <c r="AX471" i="5"/>
  <c r="AX472" i="5"/>
  <c r="AX473" i="5"/>
  <c r="AX474" i="5"/>
  <c r="AX475" i="5"/>
  <c r="AX476" i="5"/>
  <c r="AX477" i="5"/>
  <c r="AX478" i="5"/>
  <c r="AX479" i="5"/>
  <c r="AX480" i="5"/>
  <c r="AX481" i="5"/>
  <c r="AX482" i="5"/>
  <c r="AX483" i="5"/>
  <c r="AX484" i="5"/>
  <c r="AX485" i="5"/>
  <c r="AX486" i="5"/>
  <c r="AX487" i="5"/>
  <c r="AX488" i="5"/>
  <c r="AX489" i="5"/>
  <c r="AX490" i="5"/>
  <c r="AX491" i="5"/>
  <c r="AX492" i="5"/>
  <c r="AX493" i="5"/>
  <c r="AX494" i="5"/>
  <c r="AX495" i="5"/>
  <c r="AX496" i="5"/>
  <c r="AX497" i="5"/>
  <c r="AX498" i="5"/>
  <c r="AX499" i="5"/>
  <c r="AX500" i="5"/>
  <c r="AX501" i="5"/>
  <c r="AX502" i="5"/>
  <c r="AX503" i="5"/>
  <c r="AX504" i="5"/>
  <c r="AX505" i="5"/>
  <c r="AX506" i="5"/>
  <c r="AX507" i="5"/>
  <c r="AX508" i="5"/>
  <c r="AX509" i="5"/>
  <c r="AX510" i="5"/>
  <c r="AX511" i="5"/>
  <c r="AX512" i="5"/>
  <c r="AX513" i="5"/>
  <c r="AX514" i="5"/>
  <c r="AX515" i="5"/>
  <c r="AX516" i="5"/>
  <c r="AX517" i="5"/>
  <c r="AX518" i="5"/>
  <c r="AX519" i="5"/>
  <c r="AX520" i="5"/>
  <c r="AX521" i="5"/>
  <c r="AX522" i="5"/>
  <c r="AX523" i="5"/>
  <c r="AX524" i="5"/>
  <c r="AX525" i="5"/>
  <c r="AX526" i="5"/>
  <c r="AX527" i="5"/>
  <c r="AX528" i="5"/>
  <c r="AX529" i="5"/>
  <c r="AX530" i="5"/>
  <c r="AX531" i="5"/>
  <c r="AX532" i="5"/>
  <c r="AX533" i="5"/>
  <c r="AX534" i="5"/>
  <c r="AX535" i="5"/>
  <c r="AX536" i="5"/>
  <c r="AX537" i="5"/>
  <c r="AX538" i="5"/>
  <c r="AX539" i="5"/>
  <c r="AX540" i="5"/>
  <c r="AX541" i="5"/>
  <c r="AX542" i="5"/>
  <c r="AX543" i="5"/>
  <c r="AX544" i="5"/>
  <c r="AX545" i="5"/>
  <c r="AX546" i="5"/>
  <c r="AX547" i="5"/>
  <c r="AX548" i="5"/>
  <c r="AX549" i="5"/>
  <c r="AX550" i="5"/>
  <c r="AX551" i="5"/>
  <c r="AX552" i="5"/>
  <c r="AX553" i="5"/>
  <c r="AX554" i="5"/>
  <c r="AX555" i="5"/>
  <c r="AX556" i="5"/>
  <c r="AX557" i="5"/>
  <c r="AX558" i="5"/>
  <c r="AX559" i="5"/>
  <c r="AX560" i="5"/>
  <c r="AX561" i="5"/>
  <c r="AX562" i="5"/>
  <c r="AX563" i="5"/>
  <c r="AX564" i="5"/>
  <c r="AX565" i="5"/>
  <c r="AX566" i="5"/>
  <c r="AX567" i="5"/>
  <c r="AX568" i="5"/>
  <c r="AX569" i="5"/>
  <c r="AX570" i="5"/>
  <c r="AX571" i="5"/>
  <c r="AX572" i="5"/>
  <c r="AX573" i="5"/>
  <c r="AX574" i="5"/>
  <c r="AX575" i="5"/>
  <c r="AX576" i="5"/>
  <c r="AX577" i="5"/>
  <c r="AX578" i="5"/>
  <c r="AX579" i="5"/>
  <c r="AX580" i="5"/>
  <c r="AX581" i="5"/>
  <c r="AX582" i="5"/>
  <c r="AX583" i="5"/>
  <c r="AX584" i="5"/>
  <c r="AX585" i="5"/>
  <c r="AX586" i="5"/>
  <c r="AX587" i="5"/>
  <c r="AX588" i="5"/>
  <c r="AX589" i="5"/>
  <c r="AX590" i="5"/>
  <c r="AX591" i="5"/>
  <c r="AX592" i="5"/>
  <c r="AX593" i="5"/>
  <c r="AX594" i="5"/>
  <c r="AX595" i="5"/>
  <c r="AX596" i="5"/>
  <c r="AX597" i="5"/>
  <c r="AX598" i="5"/>
  <c r="AX599" i="5"/>
  <c r="AX600" i="5"/>
  <c r="AX601" i="5"/>
  <c r="AX602" i="5"/>
  <c r="AX603" i="5"/>
  <c r="AX604" i="5"/>
  <c r="AX605" i="5"/>
  <c r="AX606" i="5"/>
  <c r="AX607" i="5"/>
  <c r="AX608" i="5"/>
  <c r="AX609" i="5"/>
  <c r="AX610" i="5"/>
  <c r="AX611" i="5"/>
  <c r="AX612" i="5"/>
  <c r="AX613" i="5"/>
  <c r="AX614" i="5"/>
  <c r="AX615" i="5"/>
  <c r="AX616" i="5"/>
  <c r="AX617" i="5"/>
  <c r="AX618" i="5"/>
  <c r="AX619" i="5"/>
  <c r="AX620" i="5"/>
  <c r="AX621" i="5"/>
  <c r="AX622" i="5"/>
  <c r="AX623" i="5"/>
  <c r="AX624" i="5"/>
  <c r="AX625" i="5"/>
  <c r="AX626" i="5"/>
  <c r="AX627" i="5"/>
  <c r="AX628" i="5"/>
  <c r="AX629" i="5"/>
  <c r="AX630" i="5"/>
  <c r="AX631" i="5"/>
  <c r="AX632" i="5"/>
  <c r="AX633" i="5"/>
  <c r="AX634" i="5"/>
  <c r="AX635" i="5"/>
  <c r="AX636" i="5"/>
  <c r="AX637" i="5"/>
  <c r="AX638" i="5"/>
  <c r="AX639" i="5"/>
  <c r="AX640" i="5"/>
  <c r="AX641" i="5"/>
  <c r="AX642" i="5"/>
  <c r="AX643" i="5"/>
  <c r="AX644" i="5"/>
  <c r="AX645" i="5"/>
  <c r="AX646" i="5"/>
  <c r="AX647" i="5"/>
  <c r="AX648" i="5"/>
  <c r="AX649" i="5"/>
  <c r="AX650" i="5"/>
  <c r="AX651" i="5"/>
  <c r="AX652" i="5"/>
  <c r="AX653" i="5"/>
  <c r="AX654" i="5"/>
  <c r="AX655" i="5"/>
  <c r="AX656" i="5"/>
  <c r="AX657" i="5"/>
  <c r="AX658" i="5"/>
  <c r="AX659" i="5"/>
  <c r="AX660" i="5"/>
  <c r="AX661" i="5"/>
  <c r="AX662" i="5"/>
  <c r="AX663" i="5"/>
  <c r="AX664" i="5"/>
  <c r="AX665" i="5"/>
  <c r="AX666" i="5"/>
  <c r="AX667" i="5"/>
  <c r="AX668" i="5"/>
  <c r="AX669" i="5"/>
  <c r="AX670" i="5"/>
  <c r="AX671" i="5"/>
  <c r="AX672" i="5"/>
  <c r="AX673" i="5"/>
  <c r="AX674" i="5"/>
  <c r="AX675" i="5"/>
  <c r="AX676" i="5"/>
  <c r="AX677" i="5"/>
  <c r="AX678" i="5"/>
  <c r="AX679" i="5"/>
  <c r="AX680" i="5"/>
  <c r="AX681" i="5"/>
  <c r="AX682" i="5"/>
  <c r="AX683" i="5"/>
  <c r="AX684" i="5"/>
  <c r="AX685" i="5"/>
  <c r="AX686" i="5"/>
  <c r="AX687" i="5"/>
  <c r="AX688" i="5"/>
  <c r="AX689" i="5"/>
  <c r="AX690" i="5"/>
  <c r="AX691" i="5"/>
  <c r="AX692" i="5"/>
  <c r="AX693" i="5"/>
  <c r="AX694" i="5"/>
  <c r="AX695" i="5"/>
  <c r="AX696" i="5"/>
  <c r="AX697" i="5"/>
  <c r="AX698" i="5"/>
  <c r="AX699" i="5"/>
  <c r="AX700" i="5"/>
  <c r="AX701" i="5"/>
  <c r="AX702" i="5"/>
  <c r="AX703" i="5"/>
  <c r="AX704" i="5"/>
  <c r="AX705" i="5"/>
  <c r="AX706" i="5"/>
  <c r="AX707" i="5"/>
  <c r="AX708" i="5"/>
  <c r="AX709" i="5"/>
  <c r="AX710" i="5"/>
  <c r="AX711" i="5"/>
  <c r="AX712" i="5"/>
  <c r="AX713" i="5"/>
  <c r="AX714" i="5"/>
  <c r="AX715" i="5"/>
  <c r="AX716" i="5"/>
  <c r="AX717" i="5"/>
  <c r="AX718" i="5"/>
  <c r="AX719" i="5"/>
  <c r="AX720" i="5"/>
  <c r="AX721" i="5"/>
  <c r="AX722" i="5"/>
  <c r="AX723" i="5"/>
  <c r="AX724" i="5"/>
  <c r="AX725" i="5"/>
  <c r="AX726" i="5"/>
  <c r="AX727" i="5"/>
  <c r="AX728" i="5"/>
  <c r="AX729" i="5"/>
  <c r="AX730" i="5"/>
  <c r="AX731" i="5"/>
  <c r="AX732" i="5"/>
  <c r="AX733" i="5"/>
  <c r="AX734" i="5"/>
  <c r="AX735" i="5"/>
  <c r="AX736" i="5"/>
  <c r="AX737" i="5"/>
  <c r="AX738" i="5"/>
  <c r="AX739" i="5"/>
  <c r="AX740" i="5"/>
  <c r="AX741" i="5"/>
  <c r="AX742" i="5"/>
  <c r="AX743" i="5"/>
  <c r="AX744" i="5"/>
  <c r="AX745" i="5"/>
  <c r="AX746" i="5"/>
  <c r="AX747" i="5"/>
  <c r="AX748" i="5"/>
  <c r="AX749" i="5"/>
  <c r="AX750" i="5"/>
  <c r="AX751" i="5"/>
  <c r="AX752" i="5"/>
  <c r="AX753" i="5"/>
  <c r="AX754" i="5"/>
  <c r="AX755" i="5"/>
  <c r="AX756" i="5"/>
  <c r="AX757" i="5"/>
  <c r="AX758" i="5"/>
  <c r="AX759" i="5"/>
  <c r="AX760" i="5"/>
  <c r="AX761" i="5"/>
  <c r="AX762" i="5"/>
  <c r="AX763" i="5"/>
  <c r="AX764" i="5"/>
  <c r="AX765" i="5"/>
  <c r="AX766" i="5"/>
  <c r="AX767" i="5"/>
  <c r="AX768" i="5"/>
  <c r="AX769" i="5"/>
  <c r="AX770" i="5"/>
  <c r="AX771" i="5"/>
  <c r="AX772" i="5"/>
  <c r="AX773" i="5"/>
  <c r="AX774" i="5"/>
  <c r="AX775" i="5"/>
  <c r="AX776" i="5"/>
  <c r="AX777" i="5"/>
  <c r="AX778" i="5"/>
  <c r="AX779" i="5"/>
  <c r="AX780" i="5"/>
  <c r="AX781" i="5"/>
  <c r="AX782" i="5"/>
  <c r="AX783" i="5"/>
  <c r="AX784" i="5"/>
  <c r="AX785" i="5"/>
  <c r="AX786" i="5"/>
  <c r="AX787" i="5"/>
  <c r="AX788" i="5"/>
  <c r="AX789" i="5"/>
  <c r="AX790" i="5"/>
  <c r="AX791" i="5"/>
  <c r="AX792" i="5"/>
  <c r="AX793" i="5"/>
  <c r="AX794" i="5"/>
  <c r="AX795" i="5"/>
  <c r="AX796" i="5"/>
  <c r="AX797" i="5"/>
  <c r="AX798" i="5"/>
  <c r="AX799" i="5"/>
  <c r="AX800" i="5"/>
  <c r="AX801" i="5"/>
  <c r="AX802" i="5"/>
  <c r="AX803" i="5"/>
  <c r="AX804" i="5"/>
  <c r="AX805" i="5"/>
  <c r="AX806" i="5"/>
  <c r="AX807" i="5"/>
  <c r="AX808" i="5"/>
  <c r="AX809" i="5"/>
  <c r="AX810" i="5"/>
  <c r="AX811" i="5"/>
  <c r="AX812" i="5"/>
  <c r="AX813" i="5"/>
  <c r="AX814" i="5"/>
  <c r="AX815" i="5"/>
  <c r="AX816" i="5"/>
  <c r="AX817" i="5"/>
  <c r="AX818" i="5"/>
  <c r="AX819" i="5"/>
  <c r="AX820" i="5"/>
  <c r="AX821" i="5"/>
  <c r="AX822" i="5"/>
  <c r="AX823" i="5"/>
  <c r="AX824" i="5"/>
  <c r="AX825" i="5"/>
  <c r="AX826" i="5"/>
  <c r="AX827" i="5"/>
  <c r="AX828" i="5"/>
  <c r="AX829" i="5"/>
  <c r="AX830" i="5"/>
  <c r="AX831" i="5"/>
  <c r="AX832" i="5"/>
  <c r="AX833" i="5"/>
  <c r="AX834" i="5"/>
  <c r="AX835" i="5"/>
  <c r="AX836" i="5"/>
  <c r="AX837" i="5"/>
  <c r="AX838" i="5"/>
  <c r="AX839" i="5"/>
  <c r="AX840" i="5"/>
  <c r="AX841" i="5"/>
  <c r="AX842" i="5"/>
  <c r="AX843" i="5"/>
  <c r="AX844" i="5"/>
  <c r="AX845" i="5"/>
  <c r="AX846" i="5"/>
  <c r="AX847" i="5"/>
  <c r="AX848" i="5"/>
  <c r="AX849" i="5"/>
  <c r="AX850" i="5"/>
  <c r="AX851" i="5"/>
  <c r="AX852" i="5"/>
  <c r="AX853" i="5"/>
  <c r="AX854" i="5"/>
  <c r="AX855" i="5"/>
  <c r="AX856" i="5"/>
  <c r="AX857" i="5"/>
  <c r="AX858" i="5"/>
  <c r="AX859" i="5"/>
  <c r="AX860" i="5"/>
  <c r="AX861" i="5"/>
  <c r="AX862" i="5"/>
  <c r="AX863" i="5"/>
  <c r="AX864" i="5"/>
  <c r="AX865" i="5"/>
  <c r="AX866" i="5"/>
  <c r="AX867" i="5"/>
  <c r="AX868" i="5"/>
  <c r="AX869" i="5"/>
  <c r="AX870" i="5"/>
  <c r="AX871" i="5"/>
  <c r="AX872" i="5"/>
  <c r="AX873" i="5"/>
  <c r="AX874" i="5"/>
  <c r="AX875" i="5"/>
  <c r="AX876" i="5"/>
  <c r="AX877" i="5"/>
  <c r="AX878" i="5"/>
  <c r="AX879" i="5"/>
  <c r="AX880" i="5"/>
  <c r="AX881" i="5"/>
  <c r="AX882" i="5"/>
  <c r="AX883" i="5"/>
  <c r="AX884" i="5"/>
  <c r="AX885" i="5"/>
  <c r="AX886" i="5"/>
  <c r="AX887" i="5"/>
  <c r="AX888" i="5"/>
  <c r="AX889" i="5"/>
  <c r="AX890" i="5"/>
  <c r="AX891" i="5"/>
  <c r="AX892" i="5"/>
  <c r="AX893" i="5"/>
  <c r="AX894" i="5"/>
  <c r="AX895" i="5"/>
  <c r="AX896" i="5"/>
  <c r="AX897" i="5"/>
  <c r="AX898" i="5"/>
  <c r="AX899" i="5"/>
  <c r="AX900" i="5"/>
  <c r="AX901" i="5"/>
  <c r="AX902" i="5"/>
  <c r="AX903" i="5"/>
  <c r="AX904" i="5"/>
  <c r="AX905" i="5"/>
  <c r="AX906" i="5"/>
  <c r="AX907" i="5"/>
  <c r="AX908" i="5"/>
  <c r="AX909" i="5"/>
  <c r="AX910" i="5"/>
  <c r="AX911" i="5"/>
  <c r="AX912" i="5"/>
  <c r="AX913" i="5"/>
  <c r="AX914" i="5"/>
  <c r="AX915" i="5"/>
  <c r="AX916" i="5"/>
  <c r="AX917" i="5"/>
  <c r="AX918" i="5"/>
  <c r="AX919" i="5"/>
  <c r="AX920" i="5"/>
  <c r="AX921" i="5"/>
  <c r="AX922" i="5"/>
  <c r="AX923" i="5"/>
  <c r="AX924" i="5"/>
  <c r="AX925" i="5"/>
  <c r="AX926" i="5"/>
  <c r="AX927" i="5"/>
  <c r="AX928" i="5"/>
  <c r="AX929" i="5"/>
  <c r="AX930" i="5"/>
  <c r="AX931" i="5"/>
  <c r="AX932" i="5"/>
  <c r="AX933" i="5"/>
  <c r="AX934" i="5"/>
  <c r="AX935" i="5"/>
  <c r="AX936" i="5"/>
  <c r="AX937" i="5"/>
  <c r="AX938" i="5"/>
  <c r="AX939" i="5"/>
  <c r="AX940" i="5"/>
  <c r="AX941" i="5"/>
  <c r="AX942" i="5"/>
  <c r="AX943" i="5"/>
  <c r="AX944" i="5"/>
  <c r="AX945" i="5"/>
  <c r="AX946" i="5"/>
  <c r="AX947" i="5"/>
  <c r="AX948" i="5"/>
  <c r="AX949" i="5"/>
  <c r="AX950" i="5"/>
  <c r="AX951" i="5"/>
  <c r="AX952" i="5"/>
  <c r="AX953" i="5"/>
  <c r="AX954" i="5"/>
  <c r="AX955" i="5"/>
  <c r="AX956" i="5"/>
  <c r="AX957" i="5"/>
  <c r="AX958" i="5"/>
  <c r="AX959" i="5"/>
  <c r="AX960" i="5"/>
  <c r="AX961" i="5"/>
  <c r="AX962" i="5"/>
  <c r="AX963" i="5"/>
  <c r="AX964" i="5"/>
  <c r="AX965" i="5"/>
  <c r="AX966" i="5"/>
  <c r="AX967" i="5"/>
  <c r="AX968" i="5"/>
  <c r="AX969" i="5"/>
  <c r="AX970" i="5"/>
  <c r="AX971" i="5"/>
  <c r="AX972" i="5"/>
  <c r="AX973" i="5"/>
  <c r="AX974" i="5"/>
  <c r="AX975" i="5"/>
  <c r="AX976" i="5"/>
  <c r="AX977" i="5"/>
  <c r="AX978" i="5"/>
  <c r="AX979" i="5"/>
  <c r="AX980" i="5"/>
  <c r="AX981" i="5"/>
  <c r="AX982" i="5"/>
  <c r="AX983" i="5"/>
  <c r="AX984" i="5"/>
  <c r="AX985" i="5"/>
  <c r="AX986" i="5"/>
  <c r="AX987" i="5"/>
  <c r="AX988" i="5"/>
  <c r="AX989" i="5"/>
  <c r="AX990" i="5"/>
  <c r="AX991" i="5"/>
  <c r="AX992" i="5"/>
  <c r="AX993" i="5"/>
  <c r="AX994" i="5"/>
  <c r="AX995" i="5"/>
  <c r="AX996" i="5"/>
  <c r="AX997" i="5"/>
  <c r="AX998" i="5"/>
  <c r="AX999" i="5"/>
  <c r="AX1000" i="5"/>
  <c r="AX1001" i="5"/>
  <c r="AX1002" i="5"/>
  <c r="AX1003" i="5"/>
  <c r="AX1004" i="5"/>
  <c r="AX1005" i="5"/>
  <c r="AX1006" i="5"/>
  <c r="AX1007" i="5"/>
  <c r="AX1008" i="5"/>
  <c r="AX1009" i="5"/>
  <c r="AX1010" i="5"/>
  <c r="AX1011" i="5"/>
  <c r="AX1012" i="5"/>
  <c r="AX1013" i="5"/>
  <c r="AX1014" i="5"/>
  <c r="AX1015" i="5"/>
  <c r="AX1016" i="5"/>
  <c r="AX1017" i="5"/>
  <c r="AX1018" i="5"/>
  <c r="AX1019" i="5"/>
  <c r="AX1020" i="5"/>
  <c r="AX1021" i="5"/>
  <c r="AX1022" i="5"/>
  <c r="AX1023" i="5"/>
  <c r="AX1024" i="5"/>
  <c r="AX1025" i="5"/>
  <c r="AX1026" i="5"/>
  <c r="AX1027" i="5"/>
  <c r="AX1028" i="5"/>
  <c r="AX1029" i="5"/>
  <c r="AX1030" i="5"/>
  <c r="AX1031" i="5"/>
  <c r="AX1032" i="5"/>
  <c r="AX1033" i="5"/>
  <c r="AX1034" i="5"/>
  <c r="AX1035" i="5"/>
  <c r="AX1036" i="5"/>
  <c r="AX1037" i="5"/>
  <c r="AX1038" i="5"/>
  <c r="AX1039" i="5"/>
  <c r="AX1040" i="5"/>
  <c r="AX1041" i="5"/>
  <c r="AX1042" i="5"/>
  <c r="AX1043" i="5"/>
  <c r="AX1044" i="5"/>
  <c r="AX1045" i="5"/>
  <c r="AX1046" i="5"/>
  <c r="AX1047" i="5"/>
  <c r="AX1048" i="5"/>
  <c r="AX1049" i="5"/>
  <c r="AX1050" i="5"/>
  <c r="AX1051" i="5"/>
  <c r="AX1052" i="5"/>
  <c r="AX1053" i="5"/>
  <c r="AX1054" i="5"/>
  <c r="AX1055" i="5"/>
  <c r="AX1056" i="5"/>
  <c r="AX1057" i="5"/>
  <c r="AX1058" i="5"/>
  <c r="AX1059" i="5"/>
  <c r="AX1060" i="5"/>
  <c r="AX1061" i="5"/>
  <c r="AX1062" i="5"/>
  <c r="AX1063" i="5"/>
  <c r="AX1064" i="5"/>
  <c r="AX1065" i="5"/>
  <c r="AX1066" i="5"/>
  <c r="AX1067" i="5"/>
  <c r="AX1068" i="5"/>
  <c r="AX1069" i="5"/>
  <c r="AX1070" i="5"/>
  <c r="AX1071" i="5"/>
  <c r="AX1072" i="5"/>
  <c r="AX1073" i="5"/>
  <c r="AX1074" i="5"/>
  <c r="AX1075" i="5"/>
  <c r="AX1076" i="5"/>
  <c r="AX1077" i="5"/>
  <c r="AX1078" i="5"/>
  <c r="AX1079" i="5"/>
  <c r="AX1080" i="5"/>
  <c r="AX1081" i="5"/>
  <c r="AX1082" i="5"/>
  <c r="AX1083" i="5"/>
  <c r="AX1084" i="5"/>
  <c r="AX1085" i="5"/>
  <c r="AX1086" i="5"/>
  <c r="AX1087" i="5"/>
  <c r="AX1088" i="5"/>
  <c r="AX1089" i="5"/>
  <c r="AX1090" i="5"/>
  <c r="AX1091" i="5"/>
  <c r="AX1092" i="5"/>
  <c r="AX1093" i="5"/>
  <c r="AX1094" i="5"/>
  <c r="AX1095" i="5"/>
  <c r="AX1096" i="5"/>
  <c r="AX1097" i="5"/>
  <c r="AX1098" i="5"/>
  <c r="AX1099" i="5"/>
  <c r="AX1100" i="5"/>
  <c r="AX1101" i="5"/>
  <c r="AX1102" i="5"/>
  <c r="AX1103" i="5"/>
  <c r="AX1104" i="5"/>
  <c r="AX1105" i="5"/>
  <c r="AX1106" i="5"/>
  <c r="AX1107" i="5"/>
  <c r="AX1108" i="5"/>
  <c r="AX1109" i="5"/>
  <c r="AX1110" i="5"/>
  <c r="AX1111" i="5"/>
  <c r="AX1112" i="5"/>
  <c r="AX1113" i="5"/>
  <c r="AX1114" i="5"/>
  <c r="AX1115" i="5"/>
  <c r="AX1116" i="5"/>
  <c r="AX1117" i="5"/>
  <c r="AX1118" i="5"/>
  <c r="AX1119" i="5"/>
  <c r="AX1120" i="5"/>
  <c r="AX1121" i="5"/>
  <c r="AX1122" i="5"/>
  <c r="AX1123" i="5"/>
  <c r="AX1124" i="5"/>
  <c r="AX1125" i="5"/>
  <c r="AX1126" i="5"/>
  <c r="AX1127" i="5"/>
  <c r="AX1128" i="5"/>
  <c r="AX1129" i="5"/>
  <c r="AX1130" i="5"/>
  <c r="AX1131" i="5"/>
  <c r="AX1132" i="5"/>
  <c r="AX1133" i="5"/>
  <c r="AX1134" i="5"/>
  <c r="AX1135" i="5"/>
  <c r="AX1136" i="5"/>
  <c r="AX1137" i="5"/>
  <c r="AX1138" i="5"/>
  <c r="AX1139" i="5"/>
  <c r="AX1140" i="5"/>
  <c r="AX1141" i="5"/>
  <c r="AX1142" i="5"/>
  <c r="AX1143" i="5"/>
  <c r="AX1144" i="5"/>
  <c r="AX1145" i="5"/>
  <c r="AX1146" i="5"/>
  <c r="AX1147" i="5"/>
  <c r="AX1148" i="5"/>
  <c r="AX1149" i="5"/>
  <c r="AX1150" i="5"/>
  <c r="AX1151" i="5"/>
  <c r="AX1152" i="5"/>
  <c r="AX1153" i="5"/>
  <c r="AX1154" i="5"/>
  <c r="AX1155" i="5"/>
  <c r="AX1156" i="5"/>
  <c r="AX1157" i="5"/>
  <c r="AX1158" i="5"/>
  <c r="AX1159" i="5"/>
  <c r="AX1160" i="5"/>
  <c r="AX1161" i="5"/>
  <c r="AX1162" i="5"/>
  <c r="AX1163" i="5"/>
  <c r="AX1164" i="5"/>
  <c r="AX1165" i="5"/>
  <c r="AX1166" i="5"/>
  <c r="AX1167" i="5"/>
  <c r="AX1168" i="5"/>
  <c r="AX1169" i="5"/>
  <c r="AX1170" i="5"/>
  <c r="AX1171" i="5"/>
  <c r="AX1172" i="5"/>
  <c r="AX1173" i="5"/>
  <c r="AX1174" i="5"/>
  <c r="AX1175" i="5"/>
  <c r="AX1176" i="5"/>
  <c r="AX1177" i="5"/>
  <c r="AX1178" i="5"/>
  <c r="AX1179" i="5"/>
  <c r="AX1180" i="5"/>
  <c r="AX1181" i="5"/>
  <c r="AX1182" i="5"/>
  <c r="AX1183" i="5"/>
  <c r="AX1184" i="5"/>
  <c r="AX1185" i="5"/>
  <c r="AX1186" i="5"/>
  <c r="AX1187" i="5"/>
  <c r="AX1188" i="5"/>
  <c r="AX1189" i="5"/>
  <c r="AX1190" i="5"/>
  <c r="AX1191" i="5"/>
  <c r="AX1192" i="5"/>
  <c r="AX1193" i="5"/>
  <c r="AX1194" i="5"/>
  <c r="AX1195" i="5"/>
  <c r="AX1196" i="5"/>
  <c r="AX1197" i="5"/>
  <c r="AX1198" i="5"/>
  <c r="AX1199" i="5"/>
  <c r="AX1200" i="5"/>
  <c r="AX1201" i="5"/>
  <c r="AX1202" i="5"/>
  <c r="AX1203" i="5"/>
  <c r="AX1204" i="5"/>
  <c r="AX1205" i="5"/>
  <c r="AX1206" i="5"/>
  <c r="AX1207" i="5"/>
  <c r="AX1208" i="5"/>
  <c r="AX1209" i="5"/>
  <c r="AX1210" i="5"/>
  <c r="AX1211" i="5"/>
  <c r="AX1212" i="5"/>
  <c r="AX1213" i="5"/>
  <c r="AX1214" i="5"/>
  <c r="AX1215" i="5"/>
  <c r="AX1216" i="5"/>
  <c r="AX1217" i="5"/>
  <c r="AX1218" i="5"/>
  <c r="AX1219" i="5"/>
  <c r="AX1220" i="5"/>
  <c r="AX1221" i="5"/>
  <c r="AX1222" i="5"/>
  <c r="AX1223" i="5"/>
  <c r="AX1224" i="5"/>
  <c r="AX1225" i="5"/>
  <c r="AX1226" i="5"/>
  <c r="AX1227" i="5"/>
  <c r="AX1228" i="5"/>
  <c r="AX1229" i="5"/>
  <c r="AX1230" i="5"/>
  <c r="AX1231" i="5"/>
  <c r="AX1232" i="5"/>
  <c r="AX1233" i="5"/>
  <c r="AX1234" i="5"/>
  <c r="AX1235" i="5"/>
  <c r="AX1236" i="5"/>
  <c r="AX1237" i="5"/>
  <c r="AX1238" i="5"/>
  <c r="AX1239" i="5"/>
  <c r="AX1240" i="5"/>
  <c r="AX1241" i="5"/>
  <c r="AX1242" i="5"/>
  <c r="AX1243" i="5"/>
  <c r="AX1244" i="5"/>
  <c r="AX1245" i="5"/>
  <c r="AX1246" i="5"/>
  <c r="AX1247" i="5"/>
  <c r="AX1248" i="5"/>
  <c r="AX1249" i="5"/>
  <c r="AX1250" i="5"/>
  <c r="AX1251" i="5"/>
  <c r="AX1252" i="5"/>
  <c r="AX1253" i="5"/>
  <c r="AX1254" i="5"/>
  <c r="AX1255" i="5"/>
  <c r="AX1256" i="5"/>
  <c r="AX1257" i="5"/>
  <c r="AX1258" i="5"/>
  <c r="AX1259" i="5"/>
  <c r="AX1260" i="5"/>
  <c r="AX1261" i="5"/>
  <c r="AX1262" i="5"/>
  <c r="AX1263" i="5"/>
  <c r="AX1264" i="5"/>
  <c r="AX1265" i="5"/>
  <c r="AX1266" i="5"/>
  <c r="AX1267" i="5"/>
  <c r="AX1268" i="5"/>
  <c r="AX1269" i="5"/>
  <c r="AX1270" i="5"/>
  <c r="AX1271" i="5"/>
  <c r="AX1272" i="5"/>
  <c r="AX1273" i="5"/>
  <c r="AX1274" i="5"/>
  <c r="AX1275" i="5"/>
  <c r="AX1276" i="5"/>
  <c r="AX1277" i="5"/>
  <c r="AX1278" i="5"/>
  <c r="AX1279" i="5"/>
  <c r="AX1280" i="5"/>
  <c r="AX1281" i="5"/>
  <c r="AX1282" i="5"/>
  <c r="AX1283" i="5"/>
  <c r="AX1284" i="5"/>
  <c r="AX1285" i="5"/>
  <c r="AX1286" i="5"/>
  <c r="AX1287" i="5"/>
  <c r="AX1288" i="5"/>
  <c r="AX1289" i="5"/>
  <c r="AX1290" i="5"/>
  <c r="AX1291" i="5"/>
  <c r="AX1292" i="5"/>
  <c r="AX1293" i="5"/>
  <c r="AX1294" i="5"/>
  <c r="AX1295" i="5"/>
  <c r="AX1296" i="5"/>
  <c r="AX1297" i="5"/>
  <c r="AX1298" i="5"/>
  <c r="AX1299" i="5"/>
  <c r="AX1300" i="5"/>
  <c r="AX1301" i="5"/>
  <c r="AX1302" i="5"/>
  <c r="AX1303" i="5"/>
  <c r="AX1304" i="5"/>
  <c r="AX1305" i="5"/>
  <c r="AX1306" i="5"/>
  <c r="AX1307" i="5"/>
  <c r="AX1308" i="5"/>
  <c r="AX1309" i="5"/>
  <c r="AX1310" i="5"/>
  <c r="AX1311" i="5"/>
  <c r="AX1312" i="5"/>
  <c r="AX1313" i="5"/>
  <c r="AX1314" i="5"/>
  <c r="AX1315" i="5"/>
  <c r="AX1316" i="5"/>
  <c r="AX1317" i="5"/>
  <c r="AX1318" i="5"/>
  <c r="AX1319" i="5"/>
  <c r="AX1320" i="5"/>
  <c r="AX1321" i="5"/>
  <c r="AX1322" i="5"/>
  <c r="AX1323" i="5"/>
  <c r="AX1324" i="5"/>
  <c r="AX1325" i="5"/>
  <c r="AX1326" i="5"/>
  <c r="AX1327" i="5"/>
  <c r="AX1328" i="5"/>
  <c r="AX1329" i="5"/>
  <c r="AX1330" i="5"/>
  <c r="AX1331" i="5"/>
  <c r="AX1332" i="5"/>
  <c r="AX1333" i="5"/>
  <c r="AX1334" i="5"/>
  <c r="AX1335" i="5"/>
  <c r="AX1336" i="5"/>
  <c r="AX1337" i="5"/>
  <c r="AX1338" i="5"/>
  <c r="AX1339" i="5"/>
  <c r="AX1340" i="5"/>
  <c r="AX1341" i="5"/>
  <c r="AX1342" i="5"/>
  <c r="AX1343" i="5"/>
  <c r="AX1344" i="5"/>
  <c r="AX1345" i="5"/>
  <c r="AX1346" i="5"/>
  <c r="AX1347" i="5"/>
  <c r="AX1348" i="5"/>
  <c r="AX1349" i="5"/>
  <c r="AX1350" i="5"/>
  <c r="AX1351" i="5"/>
  <c r="AX1352" i="5"/>
  <c r="AX1353" i="5"/>
  <c r="AX1354" i="5"/>
  <c r="AX1355" i="5"/>
  <c r="AX1356" i="5"/>
  <c r="AX1357" i="5"/>
  <c r="AX1358" i="5"/>
  <c r="AX1359" i="5"/>
  <c r="AX1360" i="5"/>
  <c r="AX1361" i="5"/>
  <c r="AX1362" i="5"/>
  <c r="AX1363" i="5"/>
  <c r="AX1364" i="5"/>
  <c r="AX1365" i="5"/>
  <c r="AX1366" i="5"/>
  <c r="AX1367" i="5"/>
  <c r="AX1368" i="5"/>
  <c r="AX1369" i="5"/>
  <c r="AX1370" i="5"/>
  <c r="AX1371" i="5"/>
  <c r="AX1372" i="5"/>
  <c r="AX1373" i="5"/>
  <c r="AX1374" i="5"/>
  <c r="AX1375" i="5"/>
  <c r="AX1376" i="5"/>
  <c r="AX1377" i="5"/>
  <c r="AX1378" i="5"/>
  <c r="AX1379" i="5"/>
  <c r="AX1380" i="5"/>
  <c r="AX1381" i="5"/>
  <c r="AX1382" i="5"/>
  <c r="AX1383" i="5"/>
  <c r="AX1384" i="5"/>
  <c r="AX1385" i="5"/>
  <c r="AX1386" i="5"/>
  <c r="AX1387" i="5"/>
  <c r="AX1388" i="5"/>
  <c r="AX1389" i="5"/>
  <c r="AX1390" i="5"/>
  <c r="AX1391" i="5"/>
  <c r="AX1392" i="5"/>
  <c r="AX1393" i="5"/>
  <c r="AX1394" i="5"/>
  <c r="AX1395" i="5"/>
  <c r="AX1396" i="5"/>
  <c r="AX1397" i="5"/>
  <c r="AX1398" i="5"/>
  <c r="AX1399" i="5"/>
  <c r="AX1400" i="5"/>
  <c r="AX1401" i="5"/>
  <c r="AX1402" i="5"/>
  <c r="AX1403" i="5"/>
  <c r="AX1404" i="5"/>
  <c r="AX1405" i="5"/>
  <c r="AX1406" i="5"/>
  <c r="AX1407" i="5"/>
  <c r="AX1408" i="5"/>
  <c r="AX1409" i="5"/>
  <c r="AX1410" i="5"/>
  <c r="AX1411" i="5"/>
  <c r="AX1412" i="5"/>
  <c r="AX1413" i="5"/>
  <c r="AX1414" i="5"/>
  <c r="AX1415" i="5"/>
  <c r="AX1416" i="5"/>
  <c r="AX1417" i="5"/>
  <c r="AX1418" i="5"/>
  <c r="AX1419" i="5"/>
  <c r="AX1420" i="5"/>
  <c r="AX1421" i="5"/>
  <c r="AX1422" i="5"/>
  <c r="AX1423" i="5"/>
  <c r="AX1424" i="5"/>
  <c r="AX1425" i="5"/>
  <c r="AX1426" i="5"/>
  <c r="AX1427" i="5"/>
  <c r="AX1428" i="5"/>
  <c r="AX1429" i="5"/>
  <c r="AX1430" i="5"/>
  <c r="AX1431" i="5"/>
  <c r="AX1432" i="5"/>
  <c r="AX1433" i="5"/>
  <c r="AX1434" i="5"/>
  <c r="AX1435" i="5"/>
  <c r="AX1436" i="5"/>
  <c r="AX1437" i="5"/>
  <c r="AX1438" i="5"/>
  <c r="AX1439" i="5"/>
  <c r="AX1440" i="5"/>
  <c r="AX1441" i="5"/>
  <c r="AX1442" i="5"/>
  <c r="AX1443" i="5"/>
  <c r="AX1444" i="5"/>
  <c r="AX1445" i="5"/>
  <c r="AX1446" i="5"/>
  <c r="AX1447" i="5"/>
  <c r="AX1448" i="5"/>
  <c r="AX1449" i="5"/>
  <c r="AX1450" i="5"/>
  <c r="AX1451" i="5"/>
  <c r="AX1452" i="5"/>
  <c r="AX1453" i="5"/>
  <c r="AX1454" i="5"/>
  <c r="AX1455" i="5"/>
  <c r="AX1456" i="5"/>
  <c r="AX1457" i="5"/>
  <c r="AX1458" i="5"/>
  <c r="AX1459" i="5"/>
  <c r="AX1460" i="5"/>
  <c r="AX1461" i="5"/>
  <c r="AX1462" i="5"/>
  <c r="AX1463" i="5"/>
  <c r="AX1464" i="5"/>
  <c r="AX1465" i="5"/>
  <c r="AX1466" i="5"/>
  <c r="AX1467" i="5"/>
  <c r="AX1468" i="5"/>
  <c r="AX1469" i="5"/>
  <c r="AX1470" i="5"/>
  <c r="AX1471" i="5"/>
  <c r="AX1472" i="5"/>
  <c r="AX1473" i="5"/>
  <c r="AX1474" i="5"/>
  <c r="AX1475" i="5"/>
  <c r="AX1476" i="5"/>
  <c r="AX1477" i="5"/>
  <c r="AX1478" i="5"/>
  <c r="AX1479" i="5"/>
  <c r="AX1480" i="5"/>
  <c r="AX1481" i="5"/>
  <c r="AX1482" i="5"/>
  <c r="AX1483" i="5"/>
  <c r="AX1484" i="5"/>
  <c r="AX1485" i="5"/>
  <c r="AX1486" i="5"/>
  <c r="AX1487" i="5"/>
  <c r="AX1488" i="5"/>
  <c r="AX1489" i="5"/>
  <c r="AX1490" i="5"/>
  <c r="AX1491" i="5"/>
  <c r="AX1492" i="5"/>
  <c r="AX1493" i="5"/>
  <c r="AX1494" i="5"/>
  <c r="AX1495" i="5"/>
  <c r="AX1496" i="5"/>
  <c r="AX1497" i="5"/>
  <c r="AX1498" i="5"/>
  <c r="AX1499" i="5"/>
  <c r="AX1500" i="5"/>
  <c r="AX1501" i="5"/>
  <c r="AX1502" i="5"/>
  <c r="AX1503" i="5"/>
  <c r="AX1504" i="5"/>
  <c r="AX1505" i="5"/>
  <c r="AX1506" i="5"/>
  <c r="AX1507" i="5"/>
  <c r="AX1508" i="5"/>
  <c r="AX1509" i="5"/>
  <c r="AX1510" i="5"/>
  <c r="AX1511" i="5"/>
  <c r="AX1512" i="5"/>
  <c r="AX1513" i="5"/>
  <c r="AX1514" i="5"/>
  <c r="AX1515" i="5"/>
  <c r="AX1516" i="5"/>
  <c r="AX1517" i="5"/>
  <c r="AX1518" i="5"/>
  <c r="AX1519" i="5"/>
  <c r="AX1520" i="5"/>
  <c r="AX1521" i="5"/>
  <c r="AX1522" i="5"/>
  <c r="AX1523" i="5"/>
  <c r="AX1524" i="5"/>
  <c r="AX1525" i="5"/>
  <c r="AX1526" i="5"/>
  <c r="AX1527" i="5"/>
  <c r="AX1528" i="5"/>
  <c r="AX1529" i="5"/>
  <c r="AX1530" i="5"/>
  <c r="AX1531" i="5"/>
  <c r="AX1532" i="5"/>
  <c r="AX1533" i="5"/>
  <c r="AX1534" i="5"/>
  <c r="AX1535" i="5"/>
  <c r="AX1536" i="5"/>
  <c r="AX1537" i="5"/>
  <c r="AX1538" i="5"/>
  <c r="AX1539" i="5"/>
  <c r="AX1540" i="5"/>
  <c r="AX1541" i="5"/>
  <c r="AX1542" i="5"/>
  <c r="AX1543" i="5"/>
  <c r="AX1544" i="5"/>
  <c r="AX1545" i="5"/>
  <c r="AX1546" i="5"/>
  <c r="AX1547" i="5"/>
  <c r="AX1548" i="5"/>
  <c r="AX1549" i="5"/>
  <c r="AX1550" i="5"/>
  <c r="AX1551" i="5"/>
  <c r="AX1552" i="5"/>
  <c r="AX1553" i="5"/>
  <c r="AX1554" i="5"/>
  <c r="AX1555" i="5"/>
  <c r="AX1556" i="5"/>
  <c r="AX1557" i="5"/>
  <c r="AX1558" i="5"/>
  <c r="AX1559" i="5"/>
  <c r="AX1560" i="5"/>
  <c r="AX1561" i="5"/>
  <c r="AX1562" i="5"/>
  <c r="AX1563" i="5"/>
  <c r="AX1564" i="5"/>
  <c r="AX1565" i="5"/>
  <c r="AX1566" i="5"/>
  <c r="AX1567" i="5"/>
  <c r="AX1568" i="5"/>
  <c r="AX1569" i="5"/>
  <c r="AX1570" i="5"/>
  <c r="AX1571" i="5"/>
  <c r="AX1572" i="5"/>
  <c r="AX1573" i="5"/>
  <c r="AX1574" i="5"/>
  <c r="AX1575" i="5"/>
  <c r="AX1576" i="5"/>
  <c r="AX1577" i="5"/>
  <c r="AX1578" i="5"/>
  <c r="AX1579" i="5"/>
  <c r="AX1580" i="5"/>
  <c r="AX1581" i="5"/>
  <c r="AX1582" i="5"/>
  <c r="AX1583" i="5"/>
  <c r="AX1584" i="5"/>
  <c r="AX1585" i="5"/>
  <c r="AX1586" i="5"/>
  <c r="AX1587" i="5"/>
  <c r="AX1588" i="5"/>
  <c r="AX1589" i="5"/>
  <c r="AX1590" i="5"/>
  <c r="AX1591" i="5"/>
  <c r="AX1592" i="5"/>
  <c r="AX1593" i="5"/>
  <c r="AX1594" i="5"/>
  <c r="AX1595" i="5"/>
  <c r="AX1596" i="5"/>
  <c r="AX1597" i="5"/>
  <c r="AX1598" i="5"/>
  <c r="AX1599" i="5"/>
  <c r="AX1600" i="5"/>
  <c r="AX1601" i="5"/>
  <c r="AX1602" i="5"/>
  <c r="AX1603" i="5"/>
  <c r="AX1604" i="5"/>
  <c r="AX1605" i="5"/>
  <c r="AX1606" i="5"/>
  <c r="AX1607" i="5"/>
  <c r="AX1608" i="5"/>
  <c r="AX1609" i="5"/>
  <c r="AX1610" i="5"/>
  <c r="AX1611" i="5"/>
  <c r="AX1612" i="5"/>
  <c r="AX1613" i="5"/>
  <c r="AX1614" i="5"/>
  <c r="AX1615" i="5"/>
  <c r="AX1616" i="5"/>
  <c r="AX1617" i="5"/>
  <c r="AX1618" i="5"/>
  <c r="AX1619" i="5"/>
  <c r="AX1620" i="5"/>
  <c r="AX1621" i="5"/>
  <c r="AX1622" i="5"/>
  <c r="AX1623" i="5"/>
  <c r="AX1624" i="5"/>
  <c r="AX1625" i="5"/>
  <c r="AX1626" i="5"/>
  <c r="AX1627" i="5"/>
  <c r="AX1628" i="5"/>
  <c r="AX1629" i="5"/>
  <c r="AX1630" i="5"/>
  <c r="AX1631" i="5"/>
  <c r="AX1632" i="5"/>
  <c r="AX1633" i="5"/>
  <c r="AX1634" i="5"/>
  <c r="AX1635" i="5"/>
  <c r="AX1636" i="5"/>
  <c r="AX1637" i="5"/>
  <c r="AX1638" i="5"/>
  <c r="AX1639" i="5"/>
  <c r="AX1640" i="5"/>
  <c r="AX1641" i="5"/>
  <c r="AX1642" i="5"/>
  <c r="AX1643" i="5"/>
  <c r="AX1644" i="5"/>
  <c r="AX1645" i="5"/>
  <c r="AX1646" i="5"/>
  <c r="AX1647" i="5"/>
  <c r="AX1648" i="5"/>
  <c r="AX1649" i="5"/>
  <c r="AX1650" i="5"/>
  <c r="AX1651" i="5"/>
  <c r="AX1652" i="5"/>
  <c r="AX1653" i="5"/>
  <c r="AX1654" i="5"/>
  <c r="AX1655" i="5"/>
  <c r="AX1656" i="5"/>
  <c r="AX1657" i="5"/>
  <c r="AX1658" i="5"/>
  <c r="AX1659" i="5"/>
  <c r="AX1660" i="5"/>
  <c r="AX1661" i="5"/>
  <c r="AX1662" i="5"/>
  <c r="AX1663" i="5"/>
  <c r="AX1664" i="5"/>
  <c r="AX1665" i="5"/>
  <c r="AX1666" i="5"/>
  <c r="AX1667" i="5"/>
  <c r="AX1668" i="5"/>
  <c r="AX1669" i="5"/>
  <c r="AX1670" i="5"/>
  <c r="AX1671" i="5"/>
  <c r="AX1672" i="5"/>
  <c r="AX1673" i="5"/>
  <c r="AX1674" i="5"/>
  <c r="AX1675" i="5"/>
  <c r="AX1676" i="5"/>
  <c r="AX1677" i="5"/>
  <c r="AX1678" i="5"/>
  <c r="AX1679" i="5"/>
  <c r="AX1680" i="5"/>
  <c r="AX1681" i="5"/>
  <c r="AX1682" i="5"/>
  <c r="AX1683" i="5"/>
  <c r="AX1684" i="5"/>
  <c r="AX1685" i="5"/>
  <c r="AX1686" i="5"/>
  <c r="AX1687" i="5"/>
  <c r="AX1688" i="5"/>
  <c r="AX1689" i="5"/>
  <c r="AX1690" i="5"/>
  <c r="AX1691" i="5"/>
  <c r="AX1692" i="5"/>
  <c r="AX1693" i="5"/>
  <c r="AX1694" i="5"/>
  <c r="AX1695" i="5"/>
  <c r="AX1696" i="5"/>
  <c r="AX1697" i="5"/>
  <c r="AX1698" i="5"/>
  <c r="AX1699" i="5"/>
  <c r="AX1700" i="5"/>
  <c r="AX1701" i="5"/>
  <c r="AX1702" i="5"/>
  <c r="AX1703" i="5"/>
  <c r="AX1704" i="5"/>
  <c r="AX1705" i="5"/>
  <c r="AX1706" i="5"/>
  <c r="AX1707" i="5"/>
  <c r="AX1708" i="5"/>
  <c r="AX1709" i="5"/>
  <c r="AX1710" i="5"/>
  <c r="AX1711" i="5"/>
  <c r="AX1712" i="5"/>
  <c r="AX1713" i="5"/>
  <c r="AX1714" i="5"/>
  <c r="AX1715" i="5"/>
  <c r="AX1716" i="5"/>
  <c r="AX1717" i="5"/>
  <c r="AX1718" i="5"/>
  <c r="AX1719" i="5"/>
  <c r="AX1720" i="5"/>
  <c r="AX1721" i="5"/>
  <c r="AX1722" i="5"/>
  <c r="AX1723" i="5"/>
  <c r="AX1724" i="5"/>
  <c r="AX1725" i="5"/>
  <c r="AX1726" i="5"/>
  <c r="AX1727" i="5"/>
  <c r="AX1728" i="5"/>
  <c r="AX1729" i="5"/>
  <c r="AX1730" i="5"/>
  <c r="AX1731" i="5"/>
  <c r="AX1732" i="5"/>
  <c r="AX1733" i="5"/>
  <c r="AX1734" i="5"/>
  <c r="AX1735" i="5"/>
  <c r="AX1736" i="5"/>
  <c r="AX1737" i="5"/>
  <c r="AX1738" i="5"/>
  <c r="AX1739" i="5"/>
  <c r="AX1740" i="5"/>
  <c r="AX1741" i="5"/>
  <c r="AX1742" i="5"/>
  <c r="AX1743" i="5"/>
  <c r="AX1744" i="5"/>
  <c r="AX1745" i="5"/>
  <c r="AX1746" i="5"/>
  <c r="AX1747" i="5"/>
  <c r="AX1748" i="5"/>
  <c r="AX1749" i="5"/>
  <c r="AX1750" i="5"/>
  <c r="AX1751" i="5"/>
  <c r="AX1752" i="5"/>
  <c r="AX1753" i="5"/>
  <c r="AX1754" i="5"/>
  <c r="AX1755" i="5"/>
  <c r="AX1756" i="5"/>
  <c r="AX1757" i="5"/>
  <c r="AX1758" i="5"/>
  <c r="AX1759" i="5"/>
  <c r="AX1760" i="5"/>
  <c r="AX1761" i="5"/>
  <c r="AX1762" i="5"/>
  <c r="AX1763" i="5"/>
  <c r="AX1764" i="5"/>
  <c r="AX1765" i="5"/>
  <c r="AX1766" i="5"/>
  <c r="AX1767" i="5"/>
  <c r="AX1768" i="5"/>
  <c r="AX1769" i="5"/>
  <c r="AX1770" i="5"/>
  <c r="AX1771" i="5"/>
  <c r="AX1772" i="5"/>
  <c r="AX1773" i="5"/>
  <c r="AX1774" i="5"/>
  <c r="AX1775" i="5"/>
  <c r="AX1776" i="5"/>
  <c r="AX1777" i="5"/>
  <c r="AX1778" i="5"/>
  <c r="AX1779" i="5"/>
  <c r="AX1780" i="5"/>
  <c r="AX1781" i="5"/>
  <c r="AX1782" i="5"/>
  <c r="AX1783" i="5"/>
  <c r="AX1784" i="5"/>
  <c r="AX1785" i="5"/>
  <c r="AX1786" i="5"/>
  <c r="AX1787" i="5"/>
  <c r="AX1788" i="5"/>
  <c r="AX1789" i="5"/>
  <c r="AX1790" i="5"/>
  <c r="AX1791" i="5"/>
  <c r="AX1792" i="5"/>
  <c r="AX1793" i="5"/>
  <c r="AX1794" i="5"/>
  <c r="AX1795" i="5"/>
  <c r="AX1796" i="5"/>
  <c r="AX1797" i="5"/>
  <c r="AX1798" i="5"/>
  <c r="AX1799" i="5"/>
  <c r="AX1800" i="5"/>
  <c r="AX1801" i="5"/>
  <c r="AX1802" i="5"/>
  <c r="AX1803" i="5"/>
  <c r="AX1804" i="5"/>
  <c r="AX1805" i="5"/>
  <c r="AX1806" i="5"/>
  <c r="AX1807" i="5"/>
  <c r="AX1808" i="5"/>
  <c r="AX1809" i="5"/>
  <c r="AX1810" i="5"/>
  <c r="AX1811" i="5"/>
  <c r="AX1812" i="5"/>
  <c r="AX1813" i="5"/>
  <c r="AX1814" i="5"/>
  <c r="AX1815" i="5"/>
  <c r="AX1816" i="5"/>
  <c r="AX1817" i="5"/>
  <c r="AX1818" i="5"/>
  <c r="AX1819" i="5"/>
  <c r="AX1820" i="5"/>
  <c r="AX1821" i="5"/>
  <c r="AX1822" i="5"/>
  <c r="AX1823" i="5"/>
  <c r="AX1824" i="5"/>
  <c r="AX1825" i="5"/>
  <c r="AX1826" i="5"/>
  <c r="AX1827" i="5"/>
  <c r="AX1828" i="5"/>
  <c r="AX1829" i="5"/>
  <c r="AX1830" i="5"/>
  <c r="AX1831" i="5"/>
  <c r="AX1832" i="5"/>
  <c r="AX1833" i="5"/>
  <c r="AX1834" i="5"/>
  <c r="AX1835" i="5"/>
  <c r="AX1836" i="5"/>
  <c r="AX1837" i="5"/>
  <c r="AX1838" i="5"/>
  <c r="AX1839" i="5"/>
  <c r="AX1840" i="5"/>
  <c r="AX1841" i="5"/>
  <c r="AX1842" i="5"/>
  <c r="AX1843" i="5"/>
  <c r="AX1844" i="5"/>
  <c r="AX1845" i="5"/>
  <c r="AX1846" i="5"/>
  <c r="AX1847" i="5"/>
  <c r="AX1848" i="5"/>
  <c r="AX1849" i="5"/>
  <c r="AX1850" i="5"/>
  <c r="AX1851" i="5"/>
  <c r="AX1852" i="5"/>
  <c r="AX1853" i="5"/>
  <c r="AX1854" i="5"/>
  <c r="AX1855" i="5"/>
  <c r="AX1856" i="5"/>
  <c r="AX1857" i="5"/>
  <c r="AX1858" i="5"/>
  <c r="AX1859" i="5"/>
  <c r="AX1860" i="5"/>
  <c r="AX1861" i="5"/>
  <c r="AX1862" i="5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<sst xmlns="http://schemas.openxmlformats.org/spreadsheetml/2006/main" count="34082" uniqueCount="8096">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</sst>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500"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494" dataDxfId="493">
  <autoFilter ref="A2:AY1862" xr:uid="{6B7FED29-D1EF-44AD-8CEA-6B36EA57CFDF}"/>
  <tableColumns count="51">
    <tableColumn id="20" xr3:uid="{F0834113-79EB-4DC4-BB50-96E4D3BC9E62}" name="№" dataDxfId="492"/>
    <tableColumn id="1" xr3:uid="{44335108-828B-4B3A-895B-7E65E05994E7}" name="Категория для прайс-листа дилеров" dataDxfId="491"/>
    <tableColumn id="51" xr3:uid="{B6F4BDB1-0B40-402E-8F7C-9BED5A1F482A}" name="Суперкатегория" dataDxfId="490">
      <calculatedColumnFormula>IFERROR(INDEX(Product_Structure[SuperCategory],MATCH(Товары[[#This Row],[SubGroup]],Product_Structure[Subgroup],0)),"")</calculatedColumnFormula>
    </tableColumn>
    <tableColumn id="2" xr3:uid="{00000000-0010-0000-0300-000002000000}" name="Суперкатегория (ENG)" dataDxfId="489">
      <calculatedColumnFormula>IFERROR(INDEX(Product_Structure[SuperCategory Name ENG],MATCH(Товары[[#This Row],[SubGroup]],Product_Structure[Subgroup],0)),"")</calculatedColumnFormula>
    </tableColumn>
    <tableColumn id="3" xr3:uid="{00000000-0010-0000-0300-000003000000}" name="Суперкатегория (RUS)" dataDxfId="488">
      <calculatedColumnFormula>IFERROR(INDEX(Product_Structure[SuperCategory Name RUS],MATCH(Товары[[#This Row],[SubGroup]],Product_Structure[Subgroup],0)),"")</calculatedColumnFormula>
    </tableColumn>
    <tableColumn id="4" xr3:uid="{00000000-0010-0000-0300-000004000000}" name="Продукт группа" dataDxfId="487">
      <calculatedColumnFormula>IFERROR(INDEX(Product_Structure[Product group],MATCH(Товары[[#This Row],[SubGroup]],Product_Structure[Subgroup],0)),"")</calculatedColumnFormula>
    </tableColumn>
    <tableColumn id="5" xr3:uid="{00000000-0010-0000-0300-000005000000}" name="Название продукт группы (ENG)" dataDxfId="486">
      <calculatedColumnFormula>IFERROR(INDEX(Product_Structure[Product group name ENG],MATCH(Товары[[#This Row],[SubGroup]],Product_Structure[Subgroup],0)),"")</calculatedColumnFormula>
    </tableColumn>
    <tableColumn id="6" xr3:uid="{00000000-0010-0000-0300-000006000000}" name="Название продукт группы (RUS)" dataDxfId="485">
      <calculatedColumnFormula>IFERROR(INDEX(Product_Structure[Generic Name (long)3],MATCH(Товары[[#This Row],[SubGroup]],Product_Structure[Subgroup],0)),"")</calculatedColumnFormula>
    </tableColumn>
    <tableColumn id="7" xr3:uid="{00000000-0010-0000-0300-000007000000}" name="SubGroup" dataDxfId="484"/>
    <tableColumn id="50" xr3:uid="{AC4F29A4-006B-4674-A4BB-4326DB08BE6F}" name="Generic Name (long)" dataDxfId="483">
      <calculatedColumnFormula>IFERROR(INDEX(Product_Structure[Generic Name (long)],MATCH(Товары[[#This Row],[SubGroup]],Product_Structure[Subgroup],0)),"")</calculatedColumnFormula>
    </tableColumn>
    <tableColumn id="9" xr3:uid="{00000000-0010-0000-0300-000009000000}" name="Model" dataDxfId="482"/>
    <tableColumn id="10" xr3:uid="{00000000-0010-0000-0300-00000A000000}" name="PNS" dataDxfId="481"/>
    <tableColumn id="11" xr3:uid="{00000000-0010-0000-0300-00000B000000}" name="Артикул" dataDxfId="480"/>
    <tableColumn id="12" xr3:uid="{00000000-0010-0000-0300-00000C000000}" name="Артикул предшественника (если есть)" dataDxfId="479"/>
    <tableColumn id="13" xr3:uid="{00000000-0010-0000-0300-00000D000000}" name="Название артикула (ENG)" dataDxfId="478"/>
    <tableColumn id="14" xr3:uid="{00000000-0010-0000-0300-00000E000000}" name="Название артикула (RUS)" dataDxfId="477"/>
    <tableColumn id="15" xr3:uid="{00000000-0010-0000-0300-00000F000000}" name="Используемый календарь" dataDxfId="476"/>
    <tableColumn id="21" xr3:uid="{22E1A367-1EE8-43BC-814E-457CB0799CE2}" name="to be sold in" dataDxfId="475"/>
    <tableColumn id="22" xr3:uid="{96D0E354-E4F0-4C0D-A215-B5053EDC93D3}" name="Sales Start Date" dataDxfId="474"/>
    <tableColumn id="23" xr3:uid="{8E8FA46F-C4EA-4B11-9002-6C2FB1732F50}" name="Preliminary Elimination Date" dataDxfId="473"/>
    <tableColumn id="24" xr3:uid="{1CD4DFA3-524A-4B3F-B75B-153436EC8505}" name="Elimination Date" dataDxfId="472"/>
    <tableColumn id="25" xr3:uid="{9E91402A-0829-46E3-BCAD-2B3FBD67E8B4}" name="GTIN-13/EAN" dataDxfId="471"/>
    <tableColumn id="26" xr3:uid="{6D670FEE-0EE3-4984-AE03-EE53C5B4F796}" name="Current Producing Factory Entity Reference" dataDxfId="470"/>
    <tableColumn id="27" xr3:uid="{5EE7ABD6-FDA4-4488-802E-A3E44391980C}" name="Country of Origin" dataDxfId="469"/>
    <tableColumn id="28" xr3:uid="{9B515A88-1ED3-4508-B5E0-8006888F9EC2}" name="Unit of measure" dataDxfId="468"/>
    <tableColumn id="29" xr3:uid="{87BE889F-2ABE-4DA6-8E30-3420049514D6}" name="Quantity in Master pack" dataDxfId="467"/>
    <tableColumn id="30" xr3:uid="{47EEE49F-81B7-4FCC-B374-69DEC03ECE66}" name="Article gross weight, preliminary" dataDxfId="466"/>
    <tableColumn id="31" xr3:uid="{EFEF2C58-568B-4F24-9FA2-6034A66D278C}" name="Article gross weight" dataDxfId="465"/>
    <tableColumn id="32" xr3:uid="{D9BFC098-81CC-44FD-9FDE-FE6F58BB8BD6}" name="Article net weight, preliminary" dataDxfId="464"/>
    <tableColumn id="33" xr3:uid="{C47E9D47-775F-4F97-AD61-45CFFC8D6D30}" name="Article net weight" dataDxfId="463"/>
    <tableColumn id="34" xr3:uid="{8FDF5358-549B-4DBC-B8D0-CFC371276F4D}" name="Packaging length" dataDxfId="462"/>
    <tableColumn id="35" xr3:uid="{6E69E3B5-4350-4ABB-89BF-8A6BD2DC4947}" name="Packaging width" dataDxfId="461"/>
    <tableColumn id="36" xr3:uid="{96879B4C-6D27-4389-8B5A-11E1CBC022EA}" name="Packaging height" dataDxfId="460"/>
    <tableColumn id="37" xr3:uid="{170F61C0-2069-494A-A33C-F39311F5A9C7}" name="Packaging volume" dataDxfId="459"/>
    <tableColumn id="38" xr3:uid="{5E3DED34-6BEE-4E8A-AFB4-2CACE6CD1835}" name="Product size length" dataDxfId="458"/>
    <tableColumn id="39" xr3:uid="{FF80A301-50E2-4D81-BB7D-1EE251460E5A}" name="Product size height" dataDxfId="457"/>
    <tableColumn id="40" xr3:uid="{37BA004B-7442-4871-93EF-B13A77E1A917}" name="Product size width" dataDxfId="456"/>
    <tableColumn id="41" xr3:uid="{9C4077D9-3E18-4C57-A4FE-24EC817418FB}" name="Units Per Pallet" dataDxfId="455"/>
    <tableColumn id="16" xr3:uid="{00000000-0010-0000-0300-000010000000}" name="Статус" dataDxfId="5"/>
    <tableColumn id="17" xr3:uid="{00000000-0010-0000-0300-000011000000}" name="Эксклюзив клиента или канала продажи" dataDxfId="4"/>
    <tableColumn id="18" xr3:uid="{00000000-0010-0000-0300-000012000000}" name="Локальный сертификат" dataDxfId="3"/>
    <tableColumn id="43" xr3:uid="{F395E6EB-A30D-4A38-AB3A-7536C9D93B73}" name="IRP, Eur" dataDxfId="454"/>
    <tableColumn id="42" xr3:uid="{05ED5D32-E5CB-4A2F-932D-7E4E79D8C3DB}" name="РРЦ текущий" dataDxfId="453"/>
    <tableColumn id="19" xr3:uid="{942DBC0D-E4D1-4CAE-964C-D4023A4F222C}" name="DIY текущий" dataDxfId="2"/>
    <tableColumn id="44" xr3:uid="{B34018FA-361B-4D7A-BB24-F38CB52B40FF}" name="Процент повышения РРЦ" dataDxfId="0"/>
    <tableColumn id="45" xr3:uid="{74423DE5-1814-4A91-B002-871E2E69DACF}" name="РРЦ расчетная, руб." dataDxfId="1"/>
    <tableColumn id="46" xr3:uid="{254B632A-097C-44FA-9C17-E9B47A344E90}" name="РРЦ финальная, руб." dataDxfId="452"/>
    <tableColumn id="49" xr3:uid="{9DFD32D8-20F7-44F2-9EFD-A1D48FECC173}" name="РРЦ, евро" dataDxfId="451">
      <calculatedColumnFormula>ROUND(Товары[[#This Row],[РРЦ финальная, руб.]]/$AU$1,2)</calculatedColumnFormula>
    </tableColumn>
    <tableColumn id="47" xr3:uid="{274477BF-6DA6-42C0-8813-165D8A99D45E}" name="Индекс IRP" dataDxfId="45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8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7" dataDxfId="446">
  <autoFilter ref="A1:H440" xr:uid="{00000000-0009-0000-0100-00000D000000}"/>
  <tableColumns count="8">
    <tableColumn id="8" xr3:uid="{E2D1A163-1F1A-4C5F-BF19-12C204A54D1C}" name="№" dataDxfId="445"/>
    <tableColumn id="1" xr3:uid="{00000000-0010-0000-0A00-000001000000}" name="GardenaChannel" dataDxfId="444"/>
    <tableColumn id="2" xr3:uid="{00000000-0010-0000-0A00-000002000000}" name="Customer" dataDxfId="443"/>
    <tableColumn id="3" xr3:uid="{00000000-0010-0000-0A00-000003000000}" name="Channel type" dataDxfId="442"/>
    <tableColumn id="4" xr3:uid="{00000000-0010-0000-0A00-000004000000}" name="Customer status" dataDxfId="441"/>
    <tableColumn id="5" xr3:uid="{00000000-0010-0000-0A00-000005000000}" name="Sales manager" dataDxfId="44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9"/>
    <tableColumn id="7" xr3:uid="{00000000-0010-0000-0A00-000007000000}" name="CustomerBudget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Product_Structure" displayName="Product_Structure" ref="A1:K75" totalsRowShown="0">
  <autoFilter ref="A1:K75" xr:uid="{62BFA13E-5256-4F9B-90B6-85DE15909BFF}"/>
  <tableColumns count="11">
    <tableColumn id="9" xr3:uid="{48C4571C-0CEF-46CE-BFF0-BC47BBCCC4FA}" name="Subgroup" dataDxfId="437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6">
  <autoFilter ref="A1:K4" xr:uid="{00000000-0009-0000-0100-00000F000000}"/>
  <tableColumns count="11">
    <tableColumn id="11" xr3:uid="{F724774D-6E5F-421B-8A8A-7AD1541FFA21}" name="№" dataDxfId="435"/>
    <tableColumn id="1" xr3:uid="{00000000-0010-0000-0C00-000001000000}" name="Channel type" dataDxfId="434"/>
    <tableColumn id="2" xr3:uid="{00000000-0010-0000-0C00-000002000000}" name="Customer status" dataDxfId="433"/>
    <tableColumn id="3" xr3:uid="{00000000-0010-0000-0C00-000003000000}" name="Период" dataDxfId="432"/>
    <tableColumn id="4" xr3:uid="{00000000-0010-0000-0C00-000004000000}" name="Оборудование для полива" dataDxfId="431"/>
    <tableColumn id="5" xr3:uid="{00000000-0010-0000-0C00-000005000000}" name="Электрика (Готовая продукция)" dataDxfId="430"/>
    <tableColumn id="6" xr3:uid="{00000000-0010-0000-0C00-000006000000}" name="Газонокосилки-роботы" dataDxfId="429"/>
    <tableColumn id="7" xr3:uid="{00000000-0010-0000-0C00-000007000000}" name="Насосное оборудование" dataDxfId="428"/>
    <tableColumn id="8" xr3:uid="{00000000-0010-0000-0C00-000008000000}" name="Ручные и режущие инструменты" dataDxfId="427"/>
    <tableColumn id="9" xr3:uid="{00000000-0010-0000-0C00-000009000000}" name="Зимние инструменты ClassicLine" dataDxfId="426"/>
    <tableColumn id="10" xr3:uid="{00000000-0010-0000-0C00-00000A000000}" name="Максимальный годовой бонус" dataDxfId="4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746" totalsRowShown="0" headerRowDxfId="421" headerRowBorderDxfId="420" tableBorderDxfId="419">
  <autoFilter ref="A1:F746" xr:uid="{00000000-0009-0000-0100-000009000000}"/>
  <tableColumns count="6">
    <tableColumn id="6" xr3:uid="{2D081CBD-B861-4BD3-904F-4492D5DB2851}" name="№"/>
    <tableColumn id="1" xr3:uid="{00000000-0010-0000-0600-000001000000}" name="Артикул" dataDxfId="418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16"/>
    <tableColumn id="2" xr3:uid="{00000000-0010-0000-0700-000002000000}" name="SubGroup" dataDxfId="415"/>
    <tableColumn id="3" xr3:uid="{00000000-0010-0000-0700-000003000000}" name="Процент от РРЦ, без НДС" dataDxfId="414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3">
  <tableColumns count="122">
    <tableColumn id="1" xr3:uid="{00000000-0010-0000-0D00-000001000000}" name="№" dataDxfId="412"/>
    <tableColumn id="122" xr3:uid="{156887A3-65E5-416F-AD69-59CE1C8980E7}" name="Артикул" dataDxfId="411"/>
    <tableColumn id="2" xr3:uid="{00000000-0010-0000-0D00-000002000000}" name="Channel type" dataDxfId="410"/>
    <tableColumn id="3" xr3:uid="{00000000-0010-0000-0D00-000003000000}" name="Customer status" dataDxfId="409"/>
    <tableColumn id="4" xr3:uid="{00000000-0010-0000-0D00-000004000000}" name="Дата прогноза" dataDxfId="408"/>
    <tableColumn id="5" xr3:uid="{00000000-0010-0000-0D00-000005000000}" name="Данные справочника товаров"/>
    <tableColumn id="6" xr3:uid="{00000000-0010-0000-0D00-000006000000}" name="STK 2.5, руб." dataDxfId="407"/>
    <tableColumn id="7" xr3:uid="{00000000-0010-0000-0D00-000007000000}" name="IRP, Eur" dataDxfId="406"/>
    <tableColumn id="8" xr3:uid="{00000000-0010-0000-0D00-000008000000}" name="РРЦ, руб.с НДС" dataDxfId="405"/>
    <tableColumn id="9" xr3:uid="{00000000-0010-0000-0D00-000009000000}" name="Индекс IRP" dataDxfId="404"/>
    <tableColumn id="10" xr3:uid="{00000000-0010-0000-0D00-00000A000000}" name="DIY price list, руб. без НДС" dataDxfId="403"/>
    <tableColumn id="11" xr3:uid="{00000000-0010-0000-0D00-00000B000000}" name="2 net цена, руб." dataDxfId="402"/>
    <tableColumn id="12" xr3:uid="{00000000-0010-0000-0D00-00000C000000}" name="3 net цена, руб." dataDxfId="401"/>
    <tableColumn id="13" xr3:uid="{00000000-0010-0000-0D00-00000D000000}" name="Transfer цена, руб." dataDxfId="400"/>
    <tableColumn id="14" xr3:uid="{00000000-0010-0000-0D00-00000E000000}" name="Price-list январь" dataDxfId="399"/>
    <tableColumn id="15" xr3:uid="{00000000-0010-0000-0D00-00000F000000}" name="Price-list февраль" dataDxfId="398"/>
    <tableColumn id="16" xr3:uid="{00000000-0010-0000-0D00-000010000000}" name="Price-list март" dataDxfId="397"/>
    <tableColumn id="17" xr3:uid="{00000000-0010-0000-0D00-000011000000}" name="Price-list апрель" dataDxfId="396"/>
    <tableColumn id="18" xr3:uid="{00000000-0010-0000-0D00-000012000000}" name="Price-list май" dataDxfId="395"/>
    <tableColumn id="19" xr3:uid="{00000000-0010-0000-0D00-000013000000}" name="Price-list июнь" dataDxfId="394"/>
    <tableColumn id="20" xr3:uid="{00000000-0010-0000-0D00-000014000000}" name="Price-list июль" dataDxfId="393"/>
    <tableColumn id="21" xr3:uid="{00000000-0010-0000-0D00-000015000000}" name="Price-list август" dataDxfId="392"/>
    <tableColumn id="22" xr3:uid="{00000000-0010-0000-0D00-000016000000}" name="Price-list сентябрь" dataDxfId="391"/>
    <tableColumn id="23" xr3:uid="{00000000-0010-0000-0D00-000017000000}" name="Price-list октябрь" dataDxfId="390"/>
    <tableColumn id="24" xr3:uid="{00000000-0010-0000-0D00-000018000000}" name="Price-list ноябрь" dataDxfId="389"/>
    <tableColumn id="25" xr3:uid="{00000000-0010-0000-0D00-000019000000}" name="Price-list декабрь" dataDxfId="388"/>
    <tableColumn id="26" xr3:uid="{00000000-0010-0000-0D00-00001A000000}" name="Объем продаж январь" dataDxfId="387"/>
    <tableColumn id="27" xr3:uid="{00000000-0010-0000-0D00-00001B000000}" name="Объем продаж февраль" dataDxfId="386"/>
    <tableColumn id="28" xr3:uid="{00000000-0010-0000-0D00-00001C000000}" name="Объем продаж март" dataDxfId="385"/>
    <tableColumn id="29" xr3:uid="{00000000-0010-0000-0D00-00001D000000}" name="Объем продаж апрель" dataDxfId="384"/>
    <tableColumn id="30" xr3:uid="{00000000-0010-0000-0D00-00001E000000}" name="Объем продаж май" dataDxfId="383"/>
    <tableColumn id="31" xr3:uid="{00000000-0010-0000-0D00-00001F000000}" name="Объем продаж июнь" dataDxfId="382"/>
    <tableColumn id="32" xr3:uid="{00000000-0010-0000-0D00-000020000000}" name="Объем продаж июль" dataDxfId="381"/>
    <tableColumn id="33" xr3:uid="{00000000-0010-0000-0D00-000021000000}" name="Объем продаж август" dataDxfId="380"/>
    <tableColumn id="34" xr3:uid="{00000000-0010-0000-0D00-000022000000}" name="Объем продаж сентябрь" dataDxfId="379"/>
    <tableColumn id="35" xr3:uid="{00000000-0010-0000-0D00-000023000000}" name="Объем продаж октябрь" dataDxfId="378"/>
    <tableColumn id="36" xr3:uid="{00000000-0010-0000-0D00-000024000000}" name="Объем продаж ноябрь" dataDxfId="377"/>
    <tableColumn id="37" xr3:uid="{00000000-0010-0000-0D00-000025000000}" name="Объем продаж декабрь" dataDxfId="376"/>
    <tableColumn id="38" xr3:uid="{00000000-0010-0000-0D00-000026000000}" name="GS январь" dataDxfId="375"/>
    <tableColumn id="39" xr3:uid="{00000000-0010-0000-0D00-000027000000}" name="GS февраль" dataDxfId="374"/>
    <tableColumn id="40" xr3:uid="{00000000-0010-0000-0D00-000028000000}" name="GS март" dataDxfId="373"/>
    <tableColumn id="41" xr3:uid="{00000000-0010-0000-0D00-000029000000}" name="GS апрель" dataDxfId="372"/>
    <tableColumn id="42" xr3:uid="{00000000-0010-0000-0D00-00002A000000}" name="GS май" dataDxfId="371"/>
    <tableColumn id="43" xr3:uid="{00000000-0010-0000-0D00-00002B000000}" name="GS июнь" dataDxfId="370"/>
    <tableColumn id="44" xr3:uid="{00000000-0010-0000-0D00-00002C000000}" name="GS июль" dataDxfId="369"/>
    <tableColumn id="45" xr3:uid="{00000000-0010-0000-0D00-00002D000000}" name="GS август" dataDxfId="368"/>
    <tableColumn id="46" xr3:uid="{00000000-0010-0000-0D00-00002E000000}" name="GS сентябрь" dataDxfId="367"/>
    <tableColumn id="47" xr3:uid="{00000000-0010-0000-0D00-00002F000000}" name="GS октябрь" dataDxfId="366"/>
    <tableColumn id="48" xr3:uid="{00000000-0010-0000-0D00-000030000000}" name="GS ноябрь" dataDxfId="365"/>
    <tableColumn id="49" xr3:uid="{00000000-0010-0000-0D00-000031000000}" name="GS декабрь" dataDxfId="364"/>
    <tableColumn id="50" xr3:uid="{00000000-0010-0000-0D00-000032000000}" name="NS Январь" dataDxfId="363"/>
    <tableColumn id="51" xr3:uid="{00000000-0010-0000-0D00-000033000000}" name="NS февраль" dataDxfId="362"/>
    <tableColumn id="52" xr3:uid="{00000000-0010-0000-0D00-000034000000}" name="NS март" dataDxfId="361"/>
    <tableColumn id="53" xr3:uid="{00000000-0010-0000-0D00-000035000000}" name="NS апрель" dataDxfId="360"/>
    <tableColumn id="54" xr3:uid="{00000000-0010-0000-0D00-000036000000}" name="NS май" dataDxfId="359"/>
    <tableColumn id="55" xr3:uid="{00000000-0010-0000-0D00-000037000000}" name="NS июнь" dataDxfId="358"/>
    <tableColumn id="56" xr3:uid="{00000000-0010-0000-0D00-000038000000}" name="NS июль" dataDxfId="357"/>
    <tableColumn id="57" xr3:uid="{00000000-0010-0000-0D00-000039000000}" name="NS август" dataDxfId="356"/>
    <tableColumn id="58" xr3:uid="{00000000-0010-0000-0D00-00003A000000}" name="NS сентябрь" dataDxfId="355"/>
    <tableColumn id="59" xr3:uid="{00000000-0010-0000-0D00-00003B000000}" name="NS октябрь" dataDxfId="354"/>
    <tableColumn id="60" xr3:uid="{00000000-0010-0000-0D00-00003C000000}" name="NS ноябрь" dataDxfId="353"/>
    <tableColumn id="61" xr3:uid="{00000000-0010-0000-0D00-00003D000000}" name="NS декабрь" dataDxfId="352"/>
    <tableColumn id="62" xr3:uid="{00000000-0010-0000-0D00-00003E000000}" name="Promo Price-list январь" dataDxfId="351"/>
    <tableColumn id="63" xr3:uid="{00000000-0010-0000-0D00-00003F000000}" name="Promo Price-list февраль" dataDxfId="350"/>
    <tableColumn id="64" xr3:uid="{00000000-0010-0000-0D00-000040000000}" name="Promo Price-list март" dataDxfId="349"/>
    <tableColumn id="65" xr3:uid="{00000000-0010-0000-0D00-000041000000}" name="Promo Price-list апрель" dataDxfId="348"/>
    <tableColumn id="66" xr3:uid="{00000000-0010-0000-0D00-000042000000}" name="Promo Price-list май" dataDxfId="347"/>
    <tableColumn id="67" xr3:uid="{00000000-0010-0000-0D00-000043000000}" name="Promo Price-list июнь" dataDxfId="346"/>
    <tableColumn id="68" xr3:uid="{00000000-0010-0000-0D00-000044000000}" name="Promo Price-list июль" dataDxfId="345"/>
    <tableColumn id="69" xr3:uid="{00000000-0010-0000-0D00-000045000000}" name="Promo Price-list август" dataDxfId="344"/>
    <tableColumn id="70" xr3:uid="{00000000-0010-0000-0D00-000046000000}" name="Promo Price-list сентябрь" dataDxfId="343"/>
    <tableColumn id="71" xr3:uid="{00000000-0010-0000-0D00-000047000000}" name="Promo Price-list октябрь" dataDxfId="342"/>
    <tableColumn id="72" xr3:uid="{00000000-0010-0000-0D00-000048000000}" name="Promo Price-list ноябрь" dataDxfId="341"/>
    <tableColumn id="73" xr3:uid="{00000000-0010-0000-0D00-000049000000}" name="Promo Price-list декабрь" dataDxfId="340"/>
    <tableColumn id="74" xr3:uid="{00000000-0010-0000-0D00-00004A000000}" name="Promo Объем продаж январь" dataDxfId="339"/>
    <tableColumn id="75" xr3:uid="{00000000-0010-0000-0D00-00004B000000}" name="Promo Объем продаж февраль" dataDxfId="338"/>
    <tableColumn id="76" xr3:uid="{00000000-0010-0000-0D00-00004C000000}" name="Promo Объем продаж март" dataDxfId="337"/>
    <tableColumn id="77" xr3:uid="{00000000-0010-0000-0D00-00004D000000}" name="Promo Объем продаж апрель" dataDxfId="336"/>
    <tableColumn id="78" xr3:uid="{00000000-0010-0000-0D00-00004E000000}" name="Promo Объем май" dataDxfId="335"/>
    <tableColumn id="79" xr3:uid="{00000000-0010-0000-0D00-00004F000000}" name="Promo Объем продаж июнь" dataDxfId="334"/>
    <tableColumn id="80" xr3:uid="{00000000-0010-0000-0D00-000050000000}" name="Promo Объем продаж июль" dataDxfId="333"/>
    <tableColumn id="81" xr3:uid="{00000000-0010-0000-0D00-000051000000}" name="Promo Объем продаж август" dataDxfId="332"/>
    <tableColumn id="82" xr3:uid="{00000000-0010-0000-0D00-000052000000}" name="Promo Объем продаж сентябрь" dataDxfId="331"/>
    <tableColumn id="83" xr3:uid="{00000000-0010-0000-0D00-000053000000}" name="Promo Объем продаж октябрь" dataDxfId="330"/>
    <tableColumn id="84" xr3:uid="{00000000-0010-0000-0D00-000054000000}" name="Promo Объем продаж ноябрь" dataDxfId="329"/>
    <tableColumn id="85" xr3:uid="{00000000-0010-0000-0D00-000055000000}" name="Promo Объем продаж декабрь" dataDxfId="328"/>
    <tableColumn id="86" xr3:uid="{00000000-0010-0000-0D00-000056000000}" name="Promo GS январь" dataDxfId="327"/>
    <tableColumn id="87" xr3:uid="{00000000-0010-0000-0D00-000057000000}" name="Promo GS февраль" dataDxfId="326"/>
    <tableColumn id="88" xr3:uid="{00000000-0010-0000-0D00-000058000000}" name="Promo GS март" dataDxfId="325"/>
    <tableColumn id="89" xr3:uid="{00000000-0010-0000-0D00-000059000000}" name="Promo GS апрель" dataDxfId="324"/>
    <tableColumn id="90" xr3:uid="{00000000-0010-0000-0D00-00005A000000}" name="Promo GS май" dataDxfId="323"/>
    <tableColumn id="91" xr3:uid="{00000000-0010-0000-0D00-00005B000000}" name="Promo GS июнь" dataDxfId="322"/>
    <tableColumn id="92" xr3:uid="{00000000-0010-0000-0D00-00005C000000}" name="Promo GS июль" dataDxfId="321"/>
    <tableColumn id="93" xr3:uid="{00000000-0010-0000-0D00-00005D000000}" name="Promo GS август" dataDxfId="320"/>
    <tableColumn id="94" xr3:uid="{00000000-0010-0000-0D00-00005E000000}" name="Promo GS сентябрь" dataDxfId="319"/>
    <tableColumn id="95" xr3:uid="{00000000-0010-0000-0D00-00005F000000}" name="Promo GS октябрь" dataDxfId="318"/>
    <tableColumn id="96" xr3:uid="{00000000-0010-0000-0D00-000060000000}" name="Promo GS ноябрь" dataDxfId="317"/>
    <tableColumn id="97" xr3:uid="{00000000-0010-0000-0D00-000061000000}" name="Promo GS декабрь" dataDxfId="316"/>
    <tableColumn id="98" xr3:uid="{00000000-0010-0000-0D00-000062000000}" name="Promo NS январь" dataDxfId="315"/>
    <tableColumn id="99" xr3:uid="{00000000-0010-0000-0D00-000063000000}" name="Promo NS февраль" dataDxfId="314"/>
    <tableColumn id="100" xr3:uid="{00000000-0010-0000-0D00-000064000000}" name="Promo NS март" dataDxfId="313"/>
    <tableColumn id="101" xr3:uid="{00000000-0010-0000-0D00-000065000000}" name="Promo NS апрель" dataDxfId="312"/>
    <tableColumn id="102" xr3:uid="{00000000-0010-0000-0D00-000066000000}" name="Promo NS май" dataDxfId="311"/>
    <tableColumn id="103" xr3:uid="{00000000-0010-0000-0D00-000067000000}" name="Promo NS июнь" dataDxfId="310"/>
    <tableColumn id="104" xr3:uid="{00000000-0010-0000-0D00-000068000000}" name="Promo NS июль" dataDxfId="309"/>
    <tableColumn id="105" xr3:uid="{00000000-0010-0000-0D00-000069000000}" name="Promo NS август" dataDxfId="308"/>
    <tableColumn id="106" xr3:uid="{00000000-0010-0000-0D00-00006A000000}" name="Promo NS сентябрь" dataDxfId="307"/>
    <tableColumn id="107" xr3:uid="{00000000-0010-0000-0D00-00006B000000}" name="Promo NS октябрь" dataDxfId="306"/>
    <tableColumn id="108" xr3:uid="{00000000-0010-0000-0D00-00006C000000}" name="Promo NS ноябрь" dataDxfId="305"/>
    <tableColumn id="109" xr3:uid="{00000000-0010-0000-0D00-00006D000000}" name="Promo NS декабрь" dataDxfId="304"/>
    <tableColumn id="110" xr3:uid="{00000000-0010-0000-0D00-00006E000000}" name="GP Value январь" dataDxfId="303"/>
    <tableColumn id="111" xr3:uid="{00000000-0010-0000-0D00-00006F000000}" name="GP Value февраль" dataDxfId="302"/>
    <tableColumn id="112" xr3:uid="{00000000-0010-0000-0D00-000070000000}" name="GP Value март" dataDxfId="301"/>
    <tableColumn id="113" xr3:uid="{00000000-0010-0000-0D00-000071000000}" name="GP Value апрель" dataDxfId="300"/>
    <tableColumn id="114" xr3:uid="{00000000-0010-0000-0D00-000072000000}" name="GP Value май" dataDxfId="299"/>
    <tableColumn id="115" xr3:uid="{00000000-0010-0000-0D00-000073000000}" name="GP Value июнь" dataDxfId="298"/>
    <tableColumn id="116" xr3:uid="{00000000-0010-0000-0D00-000074000000}" name="GP Value июль" dataDxfId="297"/>
    <tableColumn id="117" xr3:uid="{00000000-0010-0000-0D00-000075000000}" name="GP Value август" dataDxfId="296"/>
    <tableColumn id="118" xr3:uid="{00000000-0010-0000-0D00-000076000000}" name="GP Value сентябрь" dataDxfId="295"/>
    <tableColumn id="119" xr3:uid="{00000000-0010-0000-0D00-000077000000}" name="GP Value октябрь" dataDxfId="294"/>
    <tableColumn id="120" xr3:uid="{00000000-0010-0000-0D00-000078000000}" name="GP Value ноябрь" dataDxfId="293"/>
    <tableColumn id="121" xr3:uid="{00000000-0010-0000-0D00-000079000000}" name="GP Value декабрь" dataDxfId="2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1" dataDxfId="290" headerRowCellStyle="Обычный 2" dataCellStyle="Обычный 2">
  <autoFilter ref="A13:V14" xr:uid="{ADF718DD-67AC-4401-B168-AFEE638B048C}"/>
  <tableColumns count="22">
    <tableColumn id="22" xr3:uid="{361E8588-935C-493B-A7CF-935B5D4480B5}" name="Id" dataDxfId="289" dataCellStyle="Обычный 2"/>
    <tableColumn id="1" xr3:uid="{AC1F4D41-C0A8-443D-9E3C-D9C4FF50F830}" name="КАТЕГОРИЯ" dataDxfId="288" dataCellStyle="Обычный 2"/>
    <tableColumn id="2" xr3:uid="{20B689EB-7652-4723-BFAB-8C7C64C8FD7A}" name="Фото продукта" dataDxfId="287" dataCellStyle="Обычный 2"/>
    <tableColumn id="3" xr3:uid="{8821E9F1-B085-4717-B559-CDD126769DA7}" name="Продукт группа - название" dataDxfId="286" dataCellStyle="Обычный 2"/>
    <tableColumn id="4" xr3:uid="{A99D0144-C997-463C-9A1D-9B08CF9140E1}" name="Артикул GARDENA" dataDxfId="285" dataCellStyle="Обычный 2"/>
    <tableColumn id="5" xr3:uid="{ED79FFB3-1BA8-4E97-9A5F-C09EAECD5CB1}" name="Артикул предшествующего продукта (если есть)" dataDxfId="284" dataCellStyle="Обычный 2"/>
    <tableColumn id="6" xr3:uid="{71EF79FE-B1E9-4844-9BB4-A63692EDA3AE}" name="Название" dataDxfId="283" dataCellStyle="Обычный 2"/>
    <tableColumn id="7" xr3:uid="{5A0F710D-9900-48D2-A5A0-EE9A1926CA9F}" name="Описание" dataDxfId="282" dataCellStyle="Обычный 2"/>
    <tableColumn id="8" xr3:uid="{0709C17B-24E7-4283-B7CD-103780E925FD}" name="РРЦ 2020, руб. с НДС" dataDxfId="281" dataCellStyle="Обычный 2"/>
    <tableColumn id="9" xr3:uid="{7346265F-E87E-4F08-A3D6-0027CF43A157}" name="EAN штуки" dataDxfId="280" dataCellStyle="Обычный 2"/>
    <tableColumn id="10" xr3:uid="{2C8CCB7E-EDD1-482F-A1E4-EC04C692D1EA}" name="страна производства" dataDxfId="279" dataCellStyle="Обычный 2"/>
    <tableColumn id="11" xr3:uid="{6995D219-9DF9-4115-8CDC-849E890401E6}" name="единица измерения" dataDxfId="278" dataCellStyle="Обычный 2"/>
    <tableColumn id="12" xr3:uid="{1A1113D4-0FC3-4FC9-8993-94D48C5B7E0B}" name="кол-во в мастер-паке" dataDxfId="277" dataCellStyle="Финансовый 2"/>
    <tableColumn id="13" xr3:uid="{085F48D9-0BB4-48CA-BB0A-E910E6B6C9E8}" name="Вес гросс штуки, финальный" dataDxfId="276" dataCellStyle="Обычный 2"/>
    <tableColumn id="14" xr3:uid="{2834A4E1-0E95-43BB-97C8-392563130CF3}" name="Вес нетто штуки, финальный" dataDxfId="275" dataCellStyle="Обычный 2"/>
    <tableColumn id="15" xr3:uid="{5BEC7C38-B443-4DCB-BE49-1848A79C42F9}" name="Длина упаковки" dataDxfId="274" dataCellStyle="Обычный 2"/>
    <tableColumn id="16" xr3:uid="{7C9AB8E1-B1C6-47E3-9BE8-5A1D1C646B25}" name="Ширина упаковки" dataDxfId="273" dataCellStyle="Обычный 2"/>
    <tableColumn id="17" xr3:uid="{10918133-09A5-4117-B3B1-E785EFE65B4A}" name="Высота упаковки" dataDxfId="272" dataCellStyle="Обычный 2"/>
    <tableColumn id="18" xr3:uid="{DE26A25B-99E8-4A9D-8AFE-A2E1D13A4931}" name="Объем упаковки" dataDxfId="271" dataCellStyle="Обычный 2"/>
    <tableColumn id="19" xr3:uid="{9AF542A1-08A7-49E6-9900-1EB99D7350D1}" name="Кол-во штук на паллете" dataDxfId="270" dataCellStyle="Финансовый 2"/>
    <tableColumn id="20" xr3:uid="{9B215DDF-BCA2-477C-8AFA-BC848C8FF031}" name="Сертификация" dataDxfId="269" dataCellStyle="Обычный 2"/>
    <tableColumn id="21" xr3:uid="{76E684EA-EAE5-44EF-8156-B78DA5E17975}" name="Гарантия" dataDxfId="268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7" dataDxfId="266" tableBorderDxfId="265" headerRowCellStyle="Обычный 2" dataCellStyle="Обычный 2">
  <autoFilter ref="A6:HO7" xr:uid="{42BACFC5-5E64-476B-A3DB-892D30BB8DF2}"/>
  <tableColumns count="223">
    <tableColumn id="214" xr3:uid="{ED363292-9191-4905-92F7-B2A0D9D6DDCB}" name="№" dataDxfId="264" dataCellStyle="Обычный 2"/>
    <tableColumn id="1" xr3:uid="{4545771D-2DE7-4A36-9A9B-05CA9607D752}" name="Артикул" dataDxfId="263" dataCellStyle="Обычный 2"/>
    <tableColumn id="2" xr3:uid="{559CB638-BDA2-4A52-AA4F-7160E63546D4}" name="РРЦ, руб.с НДС" dataDxfId="262" dataCellStyle="Обычный 2"/>
    <tableColumn id="3" xr3:uid="{7D569CF0-F34D-4426-8591-FDEBCF14DE3C}" name="Процент изменения" dataDxfId="261" dataCellStyle="Обычный 2"/>
    <tableColumn id="4" xr3:uid="{1DC3AA0D-D670-4794-8AF1-C04A0A387315}" name="STK 2.5,  Eur" dataDxfId="260" dataCellStyle="Обычный 2"/>
    <tableColumn id="5" xr3:uid="{EE57BC20-AFCE-4EE3-8EDF-7461A2CA0BC6}" name="STK 2.5, руб." dataDxfId="259" dataCellStyle="Обычный 2"/>
    <tableColumn id="6" xr3:uid="{9E61B737-3111-4868-AAD1-89F1AF64D19E}" name="IRP, Eur" dataDxfId="258" dataCellStyle="Обычный 2"/>
    <tableColumn id="7" xr3:uid="{1E5FE8BF-50B0-4274-8735-FDD3DE2A74AB}" name="РРЦ, руб.с НДС2" dataDxfId="257" dataCellStyle="Обычный 2"/>
    <tableColumn id="8" xr3:uid="{68D166DE-1C85-4A99-B4EB-F67E16BF5C59}" name="Индекс IRP" dataDxfId="256" dataCellStyle="Обычный 2"/>
    <tableColumn id="9" xr3:uid="{F6A2BBA5-3D1B-42BB-A99D-100FB259FFF1}" name="DIY price list, руб. без НДС" dataDxfId="255" dataCellStyle="Обычный 2"/>
    <tableColumn id="10" xr3:uid="{A3D06AC1-53DF-47CA-BFF2-88C03E561EC8}" name="Delta, %" dataDxfId="254" dataCellStyle="Обычный 2"/>
    <tableColumn id="11" xr3:uid="{97C7AA4C-785B-49E1-94F1-B25CC649E1D7}" name="2 net цена, руб." dataDxfId="253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2" dataCellStyle="Обычный 2"/>
    <tableColumn id="13" xr3:uid="{70706C25-4209-4C19-981D-B25AB77BD90C}" name="3 net цена, руб." dataDxfId="251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0" dataCellStyle="Обычный 2"/>
    <tableColumn id="15" xr3:uid="{2813B571-CE41-4B60-B0C6-90F21E18F8CB}" name="GS, руб." dataDxfId="249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48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47" dataCellStyle="Обычный 2"/>
    <tableColumn id="18" xr3:uid="{3C62EFF9-B5FA-4914-96F9-EFAAD5645B9F}" name="GP value, руб." dataDxfId="246" dataCellStyle="Обычный 2"/>
    <tableColumn id="19" xr3:uid="{A42219DF-ACAC-4333-93B1-C63C5CF7817B}" name="GP, %" dataDxfId="245" dataCellStyle="Обычный 2"/>
    <tableColumn id="20" xr3:uid="{4470B48C-0BEC-4B12-989F-23716295C070}" name="Transfer цена, руб." dataDxfId="244" dataCellStyle="Обычный 2"/>
    <tableColumn id="21" xr3:uid="{40BBCB9C-8908-41FB-B7AE-3FE5EA62DDE2}" name="ИТОГО Прогноз за год, шт. " dataDxfId="243" dataCellStyle="Обычный 2"/>
    <tableColumn id="22" xr3:uid="{93363778-B12D-444A-A3EE-AD48320856EE}" name="ИТОГО Прогноз январь, шт." dataDxfId="242" dataCellStyle="Обычный 2"/>
    <tableColumn id="23" xr3:uid="{908E10D2-A767-4E2C-AF95-059979DCC14F}" name="ИТОГО Прогноз февраль, шт." dataDxfId="241" dataCellStyle="Обычный 2"/>
    <tableColumn id="24" xr3:uid="{46961975-0E16-49DF-9A93-F9935DD2FBD3}" name="ИТОГО Прогноз март, шт." dataDxfId="240" dataCellStyle="Обычный 2"/>
    <tableColumn id="25" xr3:uid="{BA8488E0-733B-405A-A6AD-229D98321F57}" name="ИТОГО Прогноз апрель, шт." dataDxfId="239" dataCellStyle="Обычный 2"/>
    <tableColumn id="26" xr3:uid="{18260B4F-B440-459B-A635-92661BD0DA3A}" name="ИТОГО Прогноз май, шт." dataDxfId="238" dataCellStyle="Обычный 2"/>
    <tableColumn id="27" xr3:uid="{49D181C0-3DCE-4EA3-B4FD-4BC1814A2E37}" name="ИТОГО Прогноз июнь, шт." dataDxfId="237" dataCellStyle="Обычный 2"/>
    <tableColumn id="28" xr3:uid="{2E7D2C3C-48DF-4C94-B570-077067A3F9A6}" name="ИТОГО Прогноз июль, шт." dataDxfId="236" dataCellStyle="Обычный 2"/>
    <tableColumn id="29" xr3:uid="{2847D38F-2B96-4DAD-B1E0-0399B72CA62E}" name="ИТОГО Прогноз август, шт." dataDxfId="235" dataCellStyle="Обычный 2"/>
    <tableColumn id="30" xr3:uid="{27D0291D-228A-4CA3-AB32-8089F9AAAC19}" name="ИТОГО Прогноз сентябрь, шт." dataDxfId="234" dataCellStyle="Обычный 2"/>
    <tableColumn id="31" xr3:uid="{5A8E85B3-CAE9-4B35-B9EA-737FCC96156C}" name="ИТОГО Прогноз октябрь, шт." dataDxfId="233" dataCellStyle="Обычный 2"/>
    <tableColumn id="32" xr3:uid="{DF850F56-F718-4791-AB77-F6AB637240EE}" name="ИТОГО Прогноз ноябрь, шт." dataDxfId="232" dataCellStyle="Обычный 2"/>
    <tableColumn id="33" xr3:uid="{DEFEFE78-A0FA-4457-8E8E-F1BD5D7517F1}" name="ИТОГО Прогноз декабрь, шт." dataDxfId="231" dataCellStyle="Обычный 2"/>
    <tableColumn id="34" xr3:uid="{03678C77-B1BD-4416-8928-6B0DDFD94F86}" name="ИТОГО GS за год, руб." dataDxfId="230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9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28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27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26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25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4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3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2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21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20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9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18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17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16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15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4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3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2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1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0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9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08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07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06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05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4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3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2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1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0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9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98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97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96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95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94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3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2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1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0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9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88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87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86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85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4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3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82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81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0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9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78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77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76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75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4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3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2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1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0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69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68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67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66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65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4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3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2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1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0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9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58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57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56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55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4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3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2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1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0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9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48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47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46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45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4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43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42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1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0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9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38" dataCellStyle="Обычный 2"/>
    <tableColumn id="121" xr3:uid="{AEBFF562-F492-4939-AD61-FC704C42BB1A}" name="Прогноз за год, шт. " dataDxfId="137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36" dataCellStyle="Обычный 2"/>
    <tableColumn id="123" xr3:uid="{2839AD92-79C7-4E71-86D9-300214B21A9F}" name="Прогноз февраль, шт." dataDxfId="135" dataCellStyle="Обычный 2"/>
    <tableColumn id="124" xr3:uid="{D42301EC-9C8F-4BAE-9D6D-E85D88213C3D}" name="Прогноз март, шт." dataDxfId="134" dataCellStyle="Обычный 2"/>
    <tableColumn id="125" xr3:uid="{70D21021-AF36-448A-9C16-802308CF3A04}" name="Прогноз апрель, шт." dataDxfId="133" dataCellStyle="Обычный 2"/>
    <tableColumn id="126" xr3:uid="{287963E4-1476-42B8-9811-E72429AC5302}" name="Прогноз май, шт." dataDxfId="132" dataCellStyle="Обычный 2"/>
    <tableColumn id="127" xr3:uid="{E05A0901-8206-4D05-A43B-AC909AB7A0DA}" name="Прогноз июнь, шт." dataDxfId="131" dataCellStyle="Обычный 2"/>
    <tableColumn id="128" xr3:uid="{B898803E-8C15-43CB-81B5-B5D48EAEA11C}" name="Прогноз июль, шт." dataDxfId="130" dataCellStyle="Обычный 2"/>
    <tableColumn id="129" xr3:uid="{91354A95-A1CB-444F-97FC-F4DD6D08B671}" name="Прогноз август, шт." dataDxfId="129" dataCellStyle="Обычный 2"/>
    <tableColumn id="130" xr3:uid="{2F35C430-D3FE-496C-A9F9-8092F794A4A3}" name="Прогноз сентябрь, шт." dataDxfId="128" dataCellStyle="Обычный 2"/>
    <tableColumn id="131" xr3:uid="{5642E94C-9632-4B78-B204-7E2258E25461}" name="Прогноз октябрь, шт." dataDxfId="127" dataCellStyle="Обычный 2"/>
    <tableColumn id="132" xr3:uid="{0FD7506A-FCE6-457F-B536-83CFBA0D544B}" name="Прогноз ноябрь, шт." dataDxfId="126" dataCellStyle="Обычный 2"/>
    <tableColumn id="133" xr3:uid="{B9005289-3DFC-4152-9FAE-1A46A1FD427B}" name="Прогноз декабрь, шт." dataDxfId="125" dataCellStyle="Обычный 2"/>
    <tableColumn id="134" xr3:uid="{34CCD620-1AE3-43AA-B1CA-928C73F0C342}" name="Price list цена, руб.2" dataDxfId="124" dataCellStyle="Обычный 2"/>
    <tableColumn id="135" xr3:uid="{18DE723F-7EAE-46E1-BD94-23DDFE848850}" name="Отличие" dataDxfId="123" dataCellStyle="Обычный 2"/>
    <tableColumn id="136" xr3:uid="{07ED3DCB-598E-4755-9D06-B55F6E64C6A8}" name="Скидка от РРЦ, %6" dataDxfId="122" dataCellStyle="Обычный 2"/>
    <tableColumn id="137" xr3:uid="{7745B9F0-FDA3-438D-9CB3-26704906639D}" name="Прогноз за год, шт." dataDxfId="121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0" dataCellStyle="Обычный 2"/>
    <tableColumn id="139" xr3:uid="{8F918225-74A1-40BA-9D1A-68D1E9052381}" name="Прогноз февраль, шт.2" dataDxfId="119" dataCellStyle="Обычный 2"/>
    <tableColumn id="140" xr3:uid="{FB441A4E-5B99-442C-9DF0-5BF7A912AA26}" name="Прогноз март, шт.2" dataDxfId="118" dataCellStyle="Обычный 2"/>
    <tableColumn id="141" xr3:uid="{1D70896F-B896-424A-908E-EB7EE2ED4E4C}" name="Прогноз апрель, шт.2" dataDxfId="117" dataCellStyle="Обычный 2"/>
    <tableColumn id="142" xr3:uid="{1F5F06C9-4AD9-4A32-8F58-B3CC863077A3}" name="Прогноз май, шт.2" dataDxfId="116" dataCellStyle="Обычный 2"/>
    <tableColumn id="143" xr3:uid="{D57F2ED5-3913-4AF3-BE27-B6219DBA160C}" name="Прогноз июнь, шт.2" dataDxfId="115" dataCellStyle="Обычный 2"/>
    <tableColumn id="144" xr3:uid="{C8D040E0-B2C3-41D6-80D8-01EA4F15331B}" name="Прогноз июль, шт.2" dataDxfId="114" dataCellStyle="Обычный 2"/>
    <tableColumn id="145" xr3:uid="{E09D2FAF-B4FE-466A-8EE0-9177DE92B8B0}" name="Прогноз август, шт.2" dataDxfId="113" dataCellStyle="Обычный 2"/>
    <tableColumn id="146" xr3:uid="{B8CAD14D-F7C2-46BE-9BD0-D48769055988}" name="Прогноз сентябрь, шт.2" dataDxfId="112" dataCellStyle="Обычный 2"/>
    <tableColumn id="147" xr3:uid="{3A858A45-F298-49DA-93A0-FA8D96C940A3}" name="Прогноз октябрь, шт.2" dataDxfId="111" dataCellStyle="Обычный 2"/>
    <tableColumn id="148" xr3:uid="{A9A047C5-3BA3-4C24-BAA6-CF870EB4EB1D}" name="Прогноз ноябрь, шт.2" dataDxfId="110" dataCellStyle="Обычный 2"/>
    <tableColumn id="149" xr3:uid="{C0C91EAC-DC10-4FB4-AF3C-C5CB3C52F470}" name="Прогноз декабрь, шт.2" dataDxfId="109" dataCellStyle="Обычный 2"/>
    <tableColumn id="150" xr3:uid="{95720B67-BEFB-46F9-9D7A-EACBE0C27803}" name="GS за год, руб." dataDxfId="108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07" dataCellStyle="Обычный 2"/>
    <tableColumn id="152" xr3:uid="{B154345C-3FA0-4C0F-9F21-B63FAA764159}" name="GS февраль, руб." dataDxfId="106" dataCellStyle="Обычный 2"/>
    <tableColumn id="153" xr3:uid="{047FCAB3-68C1-4141-BEB6-1F17D576B519}" name="GS март, руб." dataDxfId="105" dataCellStyle="Обычный 2"/>
    <tableColumn id="154" xr3:uid="{144321B0-B9C9-4251-BC6E-05C88CBA678E}" name="GS апрель, руб." dataDxfId="104" dataCellStyle="Обычный 2"/>
    <tableColumn id="155" xr3:uid="{282D38BD-530D-413E-B5BC-88C70FA35407}" name="GS май, руб." dataDxfId="103" dataCellStyle="Обычный 2"/>
    <tableColumn id="156" xr3:uid="{39A60F2C-3CE1-4BD0-8204-F53CE0263C23}" name="GS июнь, руб." dataDxfId="102" dataCellStyle="Обычный 2"/>
    <tableColumn id="157" xr3:uid="{A6D6278E-A5A9-44B9-865B-87A7FDE62A61}" name="GS июль, руб." dataDxfId="101" dataCellStyle="Обычный 2"/>
    <tableColumn id="158" xr3:uid="{7539F5C4-7C22-4F45-BCFF-6302D7BD2189}" name="GS август, руб." dataDxfId="100" dataCellStyle="Обычный 2"/>
    <tableColumn id="159" xr3:uid="{8D652B08-AEFA-48ED-A4F8-C6C181C8746E}" name="GS сентябрь, руб." dataDxfId="99" dataCellStyle="Обычный 2"/>
    <tableColumn id="160" xr3:uid="{5F7F7B9E-B71C-4899-A7D9-61B47EB77DCC}" name="GS октябрь, руб." dataDxfId="98" dataCellStyle="Обычный 2"/>
    <tableColumn id="217" xr3:uid="{D3A908E8-1569-49F8-B631-15C0F5978FCF}" name="GS ноябрь, руб." dataDxfId="97" dataCellStyle="Обычный 2"/>
    <tableColumn id="161" xr3:uid="{206E31E0-1F5E-42FE-A4FE-47A5CBD7A439}" name="GS декабрь, руб." dataDxfId="96" dataCellStyle="Обычный 2"/>
    <tableColumn id="162" xr3:uid="{AFB09ECD-C050-4EA7-BD09-6BB5C6A3140F}" name="NS за год, руб." dataDxfId="95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4" dataCellStyle="Обычный 2"/>
    <tableColumn id="164" xr3:uid="{D54B5704-8F04-4DF2-8F35-91A35DFB62AF}" name="NS февраль, руб." dataDxfId="93" dataCellStyle="Обычный 2"/>
    <tableColumn id="165" xr3:uid="{1347DE14-4422-4B27-862F-D4B866C3E2A9}" name="NS март, руб." dataDxfId="92" dataCellStyle="Обычный 2"/>
    <tableColumn id="166" xr3:uid="{A52CB30A-6520-493C-9C46-DFCACC9E4CFF}" name="NS апрель, руб." dataDxfId="91" dataCellStyle="Обычный 2"/>
    <tableColumn id="167" xr3:uid="{4FACDA9F-2874-40F2-8773-8D83A50FB1F6}" name="NS май, руб." dataDxfId="90" dataCellStyle="Обычный 2"/>
    <tableColumn id="168" xr3:uid="{4B4794F3-CE7B-49BF-B94B-C7017A225C3D}" name="NS июнь, руб." dataDxfId="89" dataCellStyle="Обычный 2"/>
    <tableColumn id="169" xr3:uid="{DC7EED99-8803-4798-B203-076E3BD5E593}" name="NS июль, руб." dataDxfId="88" dataCellStyle="Обычный 2"/>
    <tableColumn id="170" xr3:uid="{C1514E80-3555-441E-8C30-9AF8AFAE9A8A}" name="NS август, руб." dataDxfId="87" dataCellStyle="Обычный 2"/>
    <tableColumn id="171" xr3:uid="{7544C462-E994-4D9D-BA94-942FF60B7050}" name="NS сентябрь, руб." dataDxfId="86" dataCellStyle="Обычный 2"/>
    <tableColumn id="172" xr3:uid="{3B004F10-4B0A-42A5-B230-BF575CDE7DDC}" name="NS октябрь, руб." dataDxfId="85" dataCellStyle="Обычный 2"/>
    <tableColumn id="173" xr3:uid="{1F873C73-8E9D-44B4-98C1-6F3B641C65A8}" name="NS ноябрь, руб." dataDxfId="84" dataCellStyle="Обычный 2"/>
    <tableColumn id="174" xr3:uid="{7975EF04-71E5-4B54-99CD-904D7CBBDB3C}" name="NS декабрь, шт." dataDxfId="83" dataCellStyle="Обычный 2"/>
    <tableColumn id="175" xr3:uid="{F1CF01AA-9991-48AF-A677-74B1846236D2}" name="Промо цена, руб." dataDxfId="82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1" dataCellStyle="Обычный 2"/>
    <tableColumn id="177" xr3:uid="{D39B0F7F-FD54-4EAC-A3A5-894EB33CADE4}" name="Промо прогноз за год, шт. " dataDxfId="80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9" dataCellStyle="Обычный 2"/>
    <tableColumn id="179" xr3:uid="{0F88930D-A57D-47EF-AE42-9DFAF94D17BE}" name="Промо прогноз февраль, шт." dataDxfId="78" dataCellStyle="Обычный 2"/>
    <tableColumn id="180" xr3:uid="{C945DC34-6A08-4C5D-A199-143506BF490B}" name="Промо прогноз март, шт." dataDxfId="77" dataCellStyle="Обычный 2"/>
    <tableColumn id="181" xr3:uid="{6661CDAD-6FDA-493A-867A-C46B8CA9B709}" name="Промо прогноз апрель, шт." dataDxfId="76" dataCellStyle="Обычный 2"/>
    <tableColumn id="182" xr3:uid="{F8340B39-63B5-4596-A24E-DA8929E9C81D}" name="Промо прогноз май, шт." dataDxfId="75" dataCellStyle="Обычный 2"/>
    <tableColumn id="183" xr3:uid="{66F0D4F8-0ABB-42EE-8CB1-FEF1BE84D9F0}" name="Промо прогноз июнь, шт." dataDxfId="74" dataCellStyle="Обычный 2"/>
    <tableColumn id="184" xr3:uid="{6E84C991-4323-493F-B846-129CAE7AE021}" name="Промо прогноз июль, шт." dataDxfId="73" dataCellStyle="Обычный 2"/>
    <tableColumn id="185" xr3:uid="{E503C206-2D69-4EA7-B94D-4F8146B5B91F}" name="Промо прогноз август, шт." dataDxfId="72" dataCellStyle="Обычный 2"/>
    <tableColumn id="186" xr3:uid="{7CBFEC54-C246-420A-8A2E-8F940D85414B}" name="Промо прогноз сентябрь, шт." dataDxfId="71" dataCellStyle="Обычный 2"/>
    <tableColumn id="187" xr3:uid="{DA64A246-B583-47DF-87C4-DD4C3D934623}" name="Промо прогноз октябрь, шт." dataDxfId="70" dataCellStyle="Обычный 2"/>
    <tableColumn id="188" xr3:uid="{EFA6D77C-0A52-48C3-9325-6A0345C55136}" name="Промо прогноз ноябрь, шт." dataDxfId="69" dataCellStyle="Обычный 2"/>
    <tableColumn id="189" xr3:uid="{9ECDA3F6-5006-4D02-921F-BBF7A4430342}" name="Промо прогноз декабрь, шт." dataDxfId="68" dataCellStyle="Обычный 2"/>
    <tableColumn id="190" xr3:uid="{2E9B801B-4FA2-4A70-B686-F55613792C7E}" name="Промо GS за год, руб." dataDxfId="67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66" dataCellStyle="Обычный 2"/>
    <tableColumn id="192" xr3:uid="{27E1950D-DEDD-42CB-8B11-530BFB23DA7B}" name="Промо GS февраль, руб." dataDxfId="65" dataCellStyle="Обычный 2"/>
    <tableColumn id="193" xr3:uid="{157C481E-E786-42F1-A5E3-C518C3878114}" name="Промо GS март, руб." dataDxfId="64" dataCellStyle="Обычный 2"/>
    <tableColumn id="194" xr3:uid="{2D7AB503-6E7C-47A0-A13C-95E44A53E45F}" name="Промо GS апрель, руб." dataDxfId="63" dataCellStyle="Обычный 2"/>
    <tableColumn id="195" xr3:uid="{5EEBE0D8-485D-44E6-AB1A-21BC6D54C67C}" name="Промо GS май, руб." dataDxfId="62" dataCellStyle="Обычный 2"/>
    <tableColumn id="196" xr3:uid="{ECA30F18-8263-4C20-9898-F58F3B4C0C61}" name="Промо GS июнь, руб." dataDxfId="61" dataCellStyle="Обычный 2"/>
    <tableColumn id="197" xr3:uid="{C0DA0FC5-FBEB-45F6-A4CD-BCDA7E3200B0}" name="Промо GS июль, руб." dataDxfId="60" dataCellStyle="Обычный 2"/>
    <tableColumn id="198" xr3:uid="{B3915587-754B-4135-B1E8-8145147CE2C7}" name="Промо GS август, руб." dataDxfId="59" dataCellStyle="Обычный 2"/>
    <tableColumn id="199" xr3:uid="{D17DE2C7-DC0C-4950-A166-9025469D6D65}" name="Промо GS сентябрь, руб." dataDxfId="58" dataCellStyle="Обычный 2"/>
    <tableColumn id="200" xr3:uid="{2B2AE1C2-7433-48B7-BA08-11D2F0620A1D}" name="Промо GS октябрь, руб." dataDxfId="57" dataCellStyle="Обычный 2"/>
    <tableColumn id="216" xr3:uid="{354BFC04-1A0F-4B87-8627-44410ED6D43E}" name="Промо GS ноябрь, руб." dataDxfId="56" dataCellStyle="Обычный 2"/>
    <tableColumn id="201" xr3:uid="{9AC442F2-2998-4CAB-AAE7-2B1A21693F5A}" name="Промо GS декабрь, руб." dataDxfId="55" dataCellStyle="Обычный 2"/>
    <tableColumn id="202" xr3:uid="{DAFF80EF-3813-4B72-B3F7-2CAA028854D6}" name="Промо NS за год, руб." dataDxfId="54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3" dataCellStyle="Обычный 2"/>
    <tableColumn id="204" xr3:uid="{35E3D396-28F4-413D-B2B2-0E2BB0585244}" name="Промо NS февраль, руб." dataDxfId="52" dataCellStyle="Обычный 2"/>
    <tableColumn id="205" xr3:uid="{4F318F4D-E885-4D9C-9D9F-CF0A3C2C6BA2}" name="Промо NS март, руб." dataDxfId="51" dataCellStyle="Обычный 2"/>
    <tableColumn id="206" xr3:uid="{99B1517D-168F-4186-89B6-63BF7A239C96}" name="Промо NS апрель, руб." dataDxfId="50" dataCellStyle="Обычный 2"/>
    <tableColumn id="207" xr3:uid="{DBBF432E-D647-43CC-A714-38C9901F1894}" name="Промо NS май, руб." dataDxfId="49" dataCellStyle="Обычный 2"/>
    <tableColumn id="208" xr3:uid="{93A08434-326F-4361-BE56-4A70696F5830}" name="Промо NS июнь, руб." dataDxfId="48" dataCellStyle="Обычный 2"/>
    <tableColumn id="209" xr3:uid="{593FE06D-D4C0-47A8-92DD-754488C80C51}" name="Промо NS июль, руб." dataDxfId="47" dataCellStyle="Обычный 2"/>
    <tableColumn id="210" xr3:uid="{D178C12F-4DB2-4EAA-8EEE-7D7C4BB872E4}" name="Промо NS август, руб." dataDxfId="46" dataCellStyle="Обычный 2"/>
    <tableColumn id="211" xr3:uid="{B41DFE96-B74A-4542-BD55-0B04CFAE9EF2}" name="Промо NS сентябрь, руб." dataDxfId="45" dataCellStyle="Обычный 2"/>
    <tableColumn id="212" xr3:uid="{3163229D-ADBC-40C9-AA76-04B56B188315}" name="Промо NS октябрь, руб." dataDxfId="44" dataCellStyle="Обычный 2"/>
    <tableColumn id="215" xr3:uid="{2F796790-7D20-4A03-8014-43D2CB92CD70}" name="Промо NS ноябрь, руб." dataDxfId="43" dataCellStyle="Обычный 2"/>
    <tableColumn id="213" xr3:uid="{F14CE16E-EA38-415A-819F-EB069FF96078}" name="Промо NS декабрь, руб." dataDxfId="42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5"/>
    <tableColumn id="2" xr3:uid="{00000000-0010-0000-0400-000002000000}" name="Название" dataDxfId="14"/>
    <tableColumn id="3" xr3:uid="{00000000-0010-0000-0400-000003000000}" name="Путь к файлу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41"/>
    <tableColumn id="2" xr3:uid="{00000000-0010-0000-0200-000002000000}" name="Статус" dataDxfId="4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6" dataDxfId="35">
  <autoFilter ref="A1:E9" xr:uid="{00000000-0009-0000-0100-000008000000}"/>
  <tableColumns count="5">
    <tableColumn id="5" xr3:uid="{D948CA53-CDCE-46C5-BE95-D1E2925C758E}" name="№" dataDxfId="34"/>
    <tableColumn id="1" xr3:uid="{00000000-0010-0000-0500-000001000000}" name="Артикул" dataDxfId="33"/>
    <tableColumn id="2" xr3:uid="{00000000-0010-0000-0500-000002000000}" name="STK 2.5, Eur" dataDxfId="32"/>
    <tableColumn id="3" xr3:uid="{00000000-0010-0000-0500-000003000000}" name="STK 2.5, руб." dataDxfId="31"/>
    <tableColumn id="4" xr3:uid="{00000000-0010-0000-0500-000004000000}" name="Дата принятия" dataDxfId="3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29" tableBorderDxfId="28">
  <autoFilter ref="A1:E4" xr:uid="{DC3035BC-C236-433B-901D-B186AA655CF5}"/>
  <tableColumns count="5">
    <tableColumn id="1" xr3:uid="{F6B612F6-B5C5-40EB-8141-8228791959AE}" name="№" dataDxfId="27"/>
    <tableColumn id="2" xr3:uid="{C27650E5-0AD3-4BAB-B2B2-9092D1FE4D79}" name="Дата принятия" dataDxfId="26"/>
    <tableColumn id="3" xr3:uid="{F42351AE-2B5F-47CC-9B75-F7EF9AEC356F}" name="Курс рубля к евро (RUB/EUR)" dataDxfId="25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4"/>
    <tableColumn id="2" xr3:uid="{00000000-0010-0000-0900-000002000000}" name="Эксклюзивность" dataDxfId="2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2">
  <autoFilter ref="A1:C23" xr:uid="{00000000-0009-0000-0100-00000E000000}"/>
  <tableColumns count="3">
    <tableColumn id="1" xr3:uid="{00000000-0010-0000-0B00-000001000000}" name="Код" dataDxfId="21"/>
    <tableColumn id="2" xr3:uid="{00000000-0010-0000-0B00-000002000000}" name="GardenChannel" dataDxfId="20"/>
    <tableColumn id="3" xr3:uid="{00000000-0010-0000-0B00-000003000000}" name="Sales manager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abSelected="1" zoomScaleNormal="100" workbookViewId="0">
      <pane ySplit="2" topLeftCell="A3" activePane="bottomLeft" state="frozen"/>
      <selection pane="bottomLeft" activeCell="AS1" sqref="AS1:AS1048576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7" hidden="1" customWidth="1" outlineLevel="1"/>
    <col min="20" max="20" width="13.28515625" style="47" hidden="1" customWidth="1" outlineLevel="1"/>
    <col min="21" max="21" width="13.140625" style="47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5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27" customHeight="1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</v>
      </c>
      <c r="AN2" s="32" t="s">
        <v>21</v>
      </c>
      <c r="AO2" s="31" t="s">
        <v>22</v>
      </c>
      <c r="AP2" s="31" t="s">
        <v>28</v>
      </c>
      <c r="AQ2" s="31" t="s">
        <v>1212</v>
      </c>
      <c r="AR2" s="31" t="s">
        <v>1213</v>
      </c>
      <c r="AS2" s="116" t="s">
        <v>237</v>
      </c>
      <c r="AT2" s="31" t="s">
        <v>239</v>
      </c>
      <c r="AU2" s="31" t="s">
        <v>238</v>
      </c>
      <c r="AV2" s="31" t="s">
        <v>240</v>
      </c>
      <c r="AW2" s="31" t="s">
        <v>63</v>
      </c>
      <c r="AX2" s="31" t="s">
        <v>243</v>
      </c>
      <c r="AY2" s="31" t="s">
        <v>30</v>
      </c>
    </row>
    <row r="3" spans="1:51" x14ac:dyDescent="0.25">
      <c r="A3" s="34">
        <v>1</v>
      </c>
      <c r="B3" s="34" t="s">
        <v>56</v>
      </c>
      <c r="C3" s="34" t="str">
        <f>IFERROR(INDEX(Product_Structure[SuperCategory],MATCH(Товары[[#This Row],[SubGroup]],Product_Structure[Subgroup],0)),"")</f>
        <v/>
      </c>
      <c r="D3" s="34" t="str">
        <f>IFERROR(INDEX(Product_Structure[SuperCategory Name ENG],MATCH(Товары[[#This Row],[SubGroup]],Product_Structure[Subgroup],0)),"")</f>
        <v/>
      </c>
      <c r="E3" s="34" t="str">
        <f>IFERROR(INDEX(Product_Structure[SuperCategory Name RUS],MATCH(Товары[[#This Row],[SubGroup]],Product_Structure[Subgroup],0)),"")</f>
        <v/>
      </c>
      <c r="F3" s="34" t="str">
        <f>IFERROR(INDEX(Product_Structure[Product group],MATCH(Товары[[#This Row],[SubGroup]],Product_Structure[Subgroup],0)),"")</f>
        <v/>
      </c>
      <c r="G3" s="34" t="str">
        <f>IFERROR(INDEX(Product_Structure[Product group name ENG],MATCH(Товары[[#This Row],[SubGroup]],Product_Structure[Subgroup],0)),"")</f>
        <v/>
      </c>
      <c r="H3" s="34" t="str">
        <f>IFERROR(INDEX(Product_Structure[Generic Name (long)3],MATCH(Товары[[#This Row],[SubGroup]],Product_Structure[Subgroup],0)),"")</f>
        <v/>
      </c>
      <c r="I3" s="36">
        <v>2340</v>
      </c>
      <c r="J3" s="36" t="str">
        <f>IFERROR(INDEX(Product_Structure[Generic Name (long)],MATCH(Товары[[#This Row],[SubGroup]],Product_Structure[Subgroup],0)),"")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Row],[SubGroup]],DIY!$B:$C,2,FALSE),0)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IFERROR(INDEX(Product_Structure[SuperCategory],MATCH(Товары[[#This Row],[SubGroup]],Product_Structure[Subgroup],0)),"")</f>
        <v/>
      </c>
      <c r="D4" s="34" t="str">
        <f>IFERROR(INDEX(Product_Structure[SuperCategory Name ENG],MATCH(Товары[[#This Row],[SubGroup]],Product_Structure[Subgroup],0)),"")</f>
        <v/>
      </c>
      <c r="E4" s="34" t="str">
        <f>IFERROR(INDEX(Product_Structure[SuperCategory Name RUS],MATCH(Товары[[#This Row],[SubGroup]],Product_Structure[Subgroup],0)),"")</f>
        <v/>
      </c>
      <c r="F4" s="34" t="str">
        <f>IFERROR(INDEX(Product_Structure[Product group],MATCH(Товары[[#This Row],[SubGroup]],Product_Structure[Subgroup],0)),"")</f>
        <v/>
      </c>
      <c r="G4" s="34" t="str">
        <f>IFERROR(INDEX(Product_Structure[Product group name ENG],MATCH(Товары[[#This Row],[SubGroup]],Product_Structure[Subgroup],0)),"")</f>
        <v/>
      </c>
      <c r="H4" s="34" t="str">
        <f>IFERROR(INDEX(Product_Structure[Generic Name (long)3],MATCH(Товары[[#This Row],[SubGroup]],Product_Structure[Subgroup],0)),"")</f>
        <v/>
      </c>
      <c r="I4" s="36">
        <v>2340</v>
      </c>
      <c r="J4" s="36" t="str">
        <f>IFERROR(INDEX(Product_Structure[Generic Name (long)],MATCH(Товары[[#This Row],[SubGroup]],Product_Structure[Subgroup],0)),"")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Row],[SubGroup]],DIY!$B:$C,2,FALSE),0)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IFERROR(INDEX(Product_Structure[SuperCategory],MATCH(Товары[[#This Row],[SubGroup]],Product_Structure[Subgroup],0)),"")</f>
        <v/>
      </c>
      <c r="D5" s="34" t="str">
        <f>IFERROR(INDEX(Product_Structure[SuperCategory Name ENG],MATCH(Товары[[#This Row],[SubGroup]],Product_Structure[Subgroup],0)),"")</f>
        <v/>
      </c>
      <c r="E5" s="34" t="str">
        <f>IFERROR(INDEX(Product_Structure[SuperCategory Name RUS],MATCH(Товары[[#This Row],[SubGroup]],Product_Structure[Subgroup],0)),"")</f>
        <v/>
      </c>
      <c r="F5" s="34" t="str">
        <f>IFERROR(INDEX(Product_Structure[Product group],MATCH(Товары[[#This Row],[SubGroup]],Product_Structure[Subgroup],0)),"")</f>
        <v/>
      </c>
      <c r="G5" s="34" t="str">
        <f>IFERROR(INDEX(Product_Structure[Product group name ENG],MATCH(Товары[[#This Row],[SubGroup]],Product_Structure[Subgroup],0)),"")</f>
        <v/>
      </c>
      <c r="H5" s="34" t="str">
        <f>IFERROR(INDEX(Product_Structure[Generic Name (long)3],MATCH(Товары[[#This Row],[SubGroup]],Product_Structure[Subgroup],0)),"")</f>
        <v/>
      </c>
      <c r="I5" s="36">
        <v>2340</v>
      </c>
      <c r="J5" s="36" t="str">
        <f>IFERROR(INDEX(Product_Structure[Generic Name (long)],MATCH(Товары[[#This Row],[SubGroup]],Product_Structure[Subgroup],0)),"")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Row],[SubGroup]],DIY!$B:$C,2,FALSE),0)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IFERROR(INDEX(Product_Structure[SuperCategory],MATCH(Товары[[#This Row],[SubGroup]],Product_Structure[Subgroup],0)),"")</f>
        <v/>
      </c>
      <c r="D6" s="34" t="str">
        <f>IFERROR(INDEX(Product_Structure[SuperCategory Name ENG],MATCH(Товары[[#This Row],[SubGroup]],Product_Structure[Subgroup],0)),"")</f>
        <v/>
      </c>
      <c r="E6" s="34" t="str">
        <f>IFERROR(INDEX(Product_Structure[SuperCategory Name RUS],MATCH(Товары[[#This Row],[SubGroup]],Product_Structure[Subgroup],0)),"")</f>
        <v/>
      </c>
      <c r="F6" s="34" t="str">
        <f>IFERROR(INDEX(Product_Structure[Product group],MATCH(Товары[[#This Row],[SubGroup]],Product_Structure[Subgroup],0)),"")</f>
        <v/>
      </c>
      <c r="G6" s="34" t="str">
        <f>IFERROR(INDEX(Product_Structure[Product group name ENG],MATCH(Товары[[#This Row],[SubGroup]],Product_Structure[Subgroup],0)),"")</f>
        <v/>
      </c>
      <c r="H6" s="34" t="str">
        <f>IFERROR(INDEX(Product_Structure[Generic Name (long)3],MATCH(Товары[[#This Row],[SubGroup]],Product_Structure[Subgroup],0)),"")</f>
        <v/>
      </c>
      <c r="I6" s="36">
        <v>2340</v>
      </c>
      <c r="J6" s="36" t="str">
        <f>IFERROR(INDEX(Product_Structure[Generic Name (long)],MATCH(Товары[[#This Row],[SubGroup]],Product_Structure[Subgroup],0)),"")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Row],[SubGroup]],DIY!$B:$C,2,FALSE),0)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IFERROR(INDEX(Product_Structure[SuperCategory],MATCH(Товары[[#This Row],[SubGroup]],Product_Structure[Subgroup],0)),"")</f>
        <v/>
      </c>
      <c r="D7" s="34" t="str">
        <f>IFERROR(INDEX(Product_Structure[SuperCategory Name ENG],MATCH(Товары[[#This Row],[SubGroup]],Product_Structure[Subgroup],0)),"")</f>
        <v/>
      </c>
      <c r="E7" s="34" t="str">
        <f>IFERROR(INDEX(Product_Structure[SuperCategory Name RUS],MATCH(Товары[[#This Row],[SubGroup]],Product_Structure[Subgroup],0)),"")</f>
        <v/>
      </c>
      <c r="F7" s="34" t="str">
        <f>IFERROR(INDEX(Product_Structure[Product group],MATCH(Товары[[#This Row],[SubGroup]],Product_Structure[Subgroup],0)),"")</f>
        <v/>
      </c>
      <c r="G7" s="34" t="str">
        <f>IFERROR(INDEX(Product_Structure[Product group name ENG],MATCH(Товары[[#This Row],[SubGroup]],Product_Structure[Subgroup],0)),"")</f>
        <v/>
      </c>
      <c r="H7" s="34" t="str">
        <f>IFERROR(INDEX(Product_Structure[Generic Name (long)3],MATCH(Товары[[#This Row],[SubGroup]],Product_Structure[Subgroup],0)),"")</f>
        <v/>
      </c>
      <c r="I7" s="36">
        <v>2340</v>
      </c>
      <c r="J7" s="36" t="str">
        <f>IFERROR(INDEX(Product_Structure[Generic Name (long)],MATCH(Товары[[#This Row],[SubGroup]],Product_Structure[Subgroup],0)),"")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Row],[SubGroup]],DIY!$B:$C,2,FALSE),0)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IFERROR(INDEX(Product_Structure[SuperCategory],MATCH(Товары[[#This Row],[SubGroup]],Product_Structure[Subgroup],0)),"")</f>
        <v/>
      </c>
      <c r="D8" s="34" t="str">
        <f>IFERROR(INDEX(Product_Structure[SuperCategory Name ENG],MATCH(Товары[[#This Row],[SubGroup]],Product_Structure[Subgroup],0)),"")</f>
        <v/>
      </c>
      <c r="E8" s="34" t="str">
        <f>IFERROR(INDEX(Product_Structure[SuperCategory Name RUS],MATCH(Товары[[#This Row],[SubGroup]],Product_Structure[Subgroup],0)),"")</f>
        <v/>
      </c>
      <c r="F8" s="34" t="str">
        <f>IFERROR(INDEX(Product_Structure[Product group],MATCH(Товары[[#This Row],[SubGroup]],Product_Structure[Subgroup],0)),"")</f>
        <v/>
      </c>
      <c r="G8" s="34" t="str">
        <f>IFERROR(INDEX(Product_Structure[Product group name ENG],MATCH(Товары[[#This Row],[SubGroup]],Product_Structure[Subgroup],0)),"")</f>
        <v/>
      </c>
      <c r="H8" s="34" t="str">
        <f>IFERROR(INDEX(Product_Structure[Generic Name (long)3],MATCH(Товары[[#This Row],[SubGroup]],Product_Structure[Subgroup],0)),"")</f>
        <v/>
      </c>
      <c r="I8" s="36">
        <v>2341</v>
      </c>
      <c r="J8" s="36" t="str">
        <f>IFERROR(INDEX(Product_Structure[Generic Name (long)],MATCH(Товары[[#This Row],[SubGroup]],Product_Structure[Subgroup],0)),"")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Row],[SubGroup]],DIY!$B:$C,2,FALSE),0)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IFERROR(INDEX(Product_Structure[SuperCategory],MATCH(Товары[[#This Row],[SubGroup]],Product_Structure[Subgroup],0)),"")</f>
        <v/>
      </c>
      <c r="D9" s="34" t="str">
        <f>IFERROR(INDEX(Product_Structure[SuperCategory Name ENG],MATCH(Товары[[#This Row],[SubGroup]],Product_Structure[Subgroup],0)),"")</f>
        <v/>
      </c>
      <c r="E9" s="34" t="str">
        <f>IFERROR(INDEX(Product_Structure[SuperCategory Name RUS],MATCH(Товары[[#This Row],[SubGroup]],Product_Structure[Subgroup],0)),"")</f>
        <v/>
      </c>
      <c r="F9" s="34" t="str">
        <f>IFERROR(INDEX(Product_Structure[Product group],MATCH(Товары[[#This Row],[SubGroup]],Product_Structure[Subgroup],0)),"")</f>
        <v/>
      </c>
      <c r="G9" s="34" t="str">
        <f>IFERROR(INDEX(Product_Structure[Product group name ENG],MATCH(Товары[[#This Row],[SubGroup]],Product_Structure[Subgroup],0)),"")</f>
        <v/>
      </c>
      <c r="H9" s="34" t="str">
        <f>IFERROR(INDEX(Product_Structure[Generic Name (long)3],MATCH(Товары[[#This Row],[SubGroup]],Product_Structure[Subgroup],0)),"")</f>
        <v/>
      </c>
      <c r="I9" s="36">
        <v>2341</v>
      </c>
      <c r="J9" s="36" t="str">
        <f>IFERROR(INDEX(Product_Structure[Generic Name (long)],MATCH(Товары[[#This Row],[SubGroup]],Product_Structure[Subgroup],0)),"")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Row],[SubGroup]],DIY!$B:$C,2,FALSE),0)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IFERROR(INDEX(Product_Structure[SuperCategory],MATCH(Товары[[#This Row],[SubGroup]],Product_Structure[Subgroup],0)),"")</f>
        <v/>
      </c>
      <c r="D10" s="34" t="str">
        <f>IFERROR(INDEX(Product_Structure[SuperCategory Name ENG],MATCH(Товары[[#This Row],[SubGroup]],Product_Structure[Subgroup],0)),"")</f>
        <v/>
      </c>
      <c r="E10" s="34" t="str">
        <f>IFERROR(INDEX(Product_Structure[SuperCategory Name RUS],MATCH(Товары[[#This Row],[SubGroup]],Product_Structure[Subgroup],0)),"")</f>
        <v/>
      </c>
      <c r="F10" s="34" t="str">
        <f>IFERROR(INDEX(Product_Structure[Product group],MATCH(Товары[[#This Row],[SubGroup]],Product_Structure[Subgroup],0)),"")</f>
        <v/>
      </c>
      <c r="G10" s="34" t="str">
        <f>IFERROR(INDEX(Product_Structure[Product group name ENG],MATCH(Товары[[#This Row],[SubGroup]],Product_Structure[Subgroup],0)),"")</f>
        <v/>
      </c>
      <c r="H10" s="34" t="str">
        <f>IFERROR(INDEX(Product_Structure[Generic Name (long)3],MATCH(Товары[[#This Row],[SubGroup]],Product_Structure[Subgroup],0)),"")</f>
        <v/>
      </c>
      <c r="I10" s="36">
        <v>2341</v>
      </c>
      <c r="J10" s="36" t="str">
        <f>IFERROR(INDEX(Product_Structure[Generic Name (long)],MATCH(Товары[[#This Row],[SubGroup]],Product_Structure[Subgroup],0)),"")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Row],[SubGroup]],DIY!$B:$C,2,FALSE),0)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3" t="str">
        <f>IFERROR(INDEX(Product_Structure[SuperCategory],MATCH(Товары[[#This Row],[SubGroup]],Product_Structure[Subgroup],0)),"")</f>
        <v>H</v>
      </c>
      <c r="D11" s="113" t="str">
        <f>IFERROR(INDEX(Product_Structure[SuperCategory Name ENG],MATCH(Товары[[#This Row],[SubGroup]],Product_Structure[Subgroup],0)),"")</f>
        <v>HandHeld (electric, battery) + spare parts</v>
      </c>
      <c r="E11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11" s="34" t="str">
        <f>IFERROR(INDEX(Product_Structure[Product group],MATCH(Товары[[#This Row],[SubGroup]],Product_Structure[Subgroup],0)),"")</f>
        <v>HSP_C</v>
      </c>
      <c r="G11" s="113" t="str">
        <f>IFERROR(INDEX(Product_Structure[Product group name ENG],MATCH(Товары[[#This Row],[SubGroup]],Product_Structure[Subgroup],0)),"")</f>
        <v>Handheld, Spare Parts</v>
      </c>
      <c r="H11" s="113" t="str">
        <f>IFERROR(INDEX(Product_Structure[Generic Name (long)3],MATCH(Товары[[#This Row],[SubGroup]],Product_Structure[Subgroup],0)),"")</f>
        <v>Сменные ножи и лезвия</v>
      </c>
      <c r="I11" s="36">
        <v>2604</v>
      </c>
      <c r="J11" s="36" t="str">
        <f>IFERROR(INDEX(Product_Structure[Generic Name (long)],MATCH(Товары[[#This Row],[SubGroup]],Product_Structure[Subgroup],0)),"")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Row],[SubGroup]],DIY!$B:$C,2,FALSE),0)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3" t="str">
        <f>IFERROR(INDEX(Product_Structure[SuperCategory],MATCH(Товары[[#This Row],[SubGroup]],Product_Structure[Subgroup],0)),"")</f>
        <v>R</v>
      </c>
      <c r="D12" s="113" t="str">
        <f>IFERROR(INDEX(Product_Structure[SuperCategory Name ENG],MATCH(Товары[[#This Row],[SubGroup]],Product_Structure[Subgroup],0)),"")</f>
        <v>Robotic&amp;Accsessories + spare parts for robotic</v>
      </c>
      <c r="E12" s="113" t="str">
        <f>IFERROR(INDEX(Product_Structure[SuperCategory Name RUS],MATCH(Товары[[#This Row],[SubGroup]],Product_Structure[Subgroup],0)),"")</f>
        <v>Газонокосилки-роботы + зап.части</v>
      </c>
      <c r="F12" s="34" t="str">
        <f>IFERROR(INDEX(Product_Structure[Product group],MATCH(Товары[[#This Row],[SubGroup]],Product_Structure[Subgroup],0)),"")</f>
        <v>LSP_C</v>
      </c>
      <c r="G12" s="113">
        <f>IFERROR(INDEX(Product_Structure[Product group name ENG],MATCH(Товары[[#This Row],[SubGroup]],Product_Structure[Subgroup],0)),"")</f>
        <v>0</v>
      </c>
      <c r="H12" s="113" t="str">
        <f>IFERROR(INDEX(Product_Structure[Generic Name (long)3],MATCH(Товары[[#This Row],[SubGroup]],Product_Structure[Subgroup],0)),"")</f>
        <v>Зап.части для газонокосилок-роботов</v>
      </c>
      <c r="I12" s="36">
        <v>7898</v>
      </c>
      <c r="J12" s="36" t="str">
        <f>IFERROR(INDEX(Product_Structure[Generic Name (long)],MATCH(Товары[[#This Row],[SubGroup]],Product_Structure[Subgroup],0)),"")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Row],[SubGroup]],DIY!$B:$C,2,FALSE),0)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3" t="str">
        <f>IFERROR(INDEX(Product_Structure[SuperCategory],MATCH(Товары[[#This Row],[SubGroup]],Product_Structure[Subgroup],0)),"")</f>
        <v>R</v>
      </c>
      <c r="D13" s="113" t="str">
        <f>IFERROR(INDEX(Product_Structure[SuperCategory Name ENG],MATCH(Товары[[#This Row],[SubGroup]],Product_Structure[Subgroup],0)),"")</f>
        <v>Robotic&amp;Accsessories + spare parts for robotic</v>
      </c>
      <c r="E13" s="113" t="str">
        <f>IFERROR(INDEX(Product_Structure[SuperCategory Name RUS],MATCH(Товары[[#This Row],[SubGroup]],Product_Structure[Subgroup],0)),"")</f>
        <v>Газонокосилки-роботы + зап.части</v>
      </c>
      <c r="F13" s="34" t="str">
        <f>IFERROR(INDEX(Product_Structure[Product group],MATCH(Товары[[#This Row],[SubGroup]],Product_Structure[Subgroup],0)),"")</f>
        <v>LSP_C</v>
      </c>
      <c r="G13" s="113">
        <f>IFERROR(INDEX(Product_Structure[Product group name ENG],MATCH(Товары[[#This Row],[SubGroup]],Product_Structure[Subgroup],0)),"")</f>
        <v>0</v>
      </c>
      <c r="H13" s="113" t="str">
        <f>IFERROR(INDEX(Product_Structure[Generic Name (long)3],MATCH(Товары[[#This Row],[SubGroup]],Product_Structure[Subgroup],0)),"")</f>
        <v>Зап.части для газонокосилок-роботов</v>
      </c>
      <c r="I13" s="36">
        <v>7898</v>
      </c>
      <c r="J13" s="36" t="str">
        <f>IFERROR(INDEX(Product_Structure[Generic Name (long)],MATCH(Товары[[#This Row],[SubGroup]],Product_Structure[Subgroup],0)),"")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Row],[SubGroup]],DIY!$B:$C,2,FALSE),0)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3" t="str">
        <f>IFERROR(INDEX(Product_Structure[SuperCategory],MATCH(Товары[[#This Row],[SubGroup]],Product_Structure[Subgroup],0)),"")</f>
        <v>H</v>
      </c>
      <c r="D14" s="113" t="str">
        <f>IFERROR(INDEX(Product_Structure[SuperCategory Name ENG],MATCH(Товары[[#This Row],[SubGroup]],Product_Structure[Subgroup],0)),"")</f>
        <v>HandHeld (electric, battery) + spare parts</v>
      </c>
      <c r="E14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14" s="34" t="str">
        <f>IFERROR(INDEX(Product_Structure[Product group],MATCH(Товары[[#This Row],[SubGroup]],Product_Structure[Subgroup],0)),"")</f>
        <v>HSP_C</v>
      </c>
      <c r="G14" s="113" t="str">
        <f>IFERROR(INDEX(Product_Structure[Product group name ENG],MATCH(Товары[[#This Row],[SubGroup]],Product_Structure[Subgroup],0)),"")</f>
        <v>Handheld, Spare Parts</v>
      </c>
      <c r="H14" s="113" t="str">
        <f>IFERROR(INDEX(Product_Structure[Generic Name (long)3],MATCH(Товары[[#This Row],[SubGroup]],Product_Structure[Subgroup],0)),"")</f>
        <v>Сменные ножи и лезвия</v>
      </c>
      <c r="I14" s="36">
        <v>2604</v>
      </c>
      <c r="J14" s="36" t="str">
        <f>IFERROR(INDEX(Product_Structure[Generic Name (long)],MATCH(Товары[[#This Row],[SubGroup]],Product_Structure[Subgroup],0)),"")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Row],[SubGroup]],DIY!$B:$C,2,FALSE),0)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3" t="str">
        <f>IFERROR(INDEX(Product_Structure[SuperCategory],MATCH(Товары[[#This Row],[SubGroup]],Product_Structure[Subgroup],0)),"")</f>
        <v/>
      </c>
      <c r="D15" s="113" t="str">
        <f>IFERROR(INDEX(Product_Structure[SuperCategory Name ENG],MATCH(Товары[[#This Row],[SubGroup]],Product_Structure[Subgroup],0)),"")</f>
        <v/>
      </c>
      <c r="E15" s="113" t="str">
        <f>IFERROR(INDEX(Product_Structure[SuperCategory Name RUS],MATCH(Товары[[#This Row],[SubGroup]],Product_Structure[Subgroup],0)),"")</f>
        <v/>
      </c>
      <c r="F15" s="34" t="str">
        <f>IFERROR(INDEX(Product_Structure[Product group],MATCH(Товары[[#This Row],[SubGroup]],Product_Structure[Subgroup],0)),"")</f>
        <v/>
      </c>
      <c r="G15" s="113" t="str">
        <f>IFERROR(INDEX(Product_Structure[Product group name ENG],MATCH(Товары[[#This Row],[SubGroup]],Product_Structure[Subgroup],0)),"")</f>
        <v/>
      </c>
      <c r="H15" s="113" t="str">
        <f>IFERROR(INDEX(Product_Structure[Generic Name (long)3],MATCH(Товары[[#This Row],[SubGroup]],Product_Structure[Subgroup],0)),"")</f>
        <v/>
      </c>
      <c r="J15" s="36" t="str">
        <f>IFERROR(INDEX(Product_Structure[Generic Name (long)],MATCH(Товары[[#This Row],[SubGroup]],Product_Structure[Subgroup],0)),"")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Row],[SubGroup]],DIY!$B:$C,2,FALSE),0)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3" t="str">
        <f>IFERROR(INDEX(Product_Structure[SuperCategory],MATCH(Товары[[#This Row],[SubGroup]],Product_Structure[Subgroup],0)),"")</f>
        <v>H</v>
      </c>
      <c r="D16" s="113" t="str">
        <f>IFERROR(INDEX(Product_Structure[SuperCategory Name ENG],MATCH(Товары[[#This Row],[SubGroup]],Product_Structure[Subgroup],0)),"")</f>
        <v>HandHeld (electric, battery) + spare parts</v>
      </c>
      <c r="E1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16" s="34" t="str">
        <f>IFERROR(INDEX(Product_Structure[Product group],MATCH(Товары[[#This Row],[SubGroup]],Product_Structure[Subgroup],0)),"")</f>
        <v>AET_P</v>
      </c>
      <c r="G16" s="113" t="str">
        <f>IFERROR(INDEX(Product_Structure[Product group name ENG],MATCH(Товары[[#This Row],[SubGroup]],Product_Structure[Subgroup],0)),"")</f>
        <v>Grass&amp;Shrub shears, Battery</v>
      </c>
      <c r="H16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16" s="36">
        <v>9323</v>
      </c>
      <c r="J16" s="36" t="str">
        <f>IFERROR(INDEX(Product_Structure[Generic Name (long)],MATCH(Товары[[#This Row],[SubGroup]],Product_Structure[Subgroup],0)),"")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Row],[SubGroup]],DIY!$B:$C,2,FALSE),0)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3" t="str">
        <f>IFERROR(INDEX(Product_Structure[SuperCategory],MATCH(Товары[[#This Row],[SubGroup]],Product_Structure[Subgroup],0)),"")</f>
        <v>H</v>
      </c>
      <c r="D17" s="113" t="str">
        <f>IFERROR(INDEX(Product_Structure[SuperCategory Name ENG],MATCH(Товары[[#This Row],[SubGroup]],Product_Structure[Subgroup],0)),"")</f>
        <v>HandHeld (electric, battery) + spare parts</v>
      </c>
      <c r="E1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17" s="34" t="str">
        <f>IFERROR(INDEX(Product_Structure[Product group],MATCH(Товары[[#This Row],[SubGroup]],Product_Structure[Subgroup],0)),"")</f>
        <v>AET_P</v>
      </c>
      <c r="G17" s="113" t="str">
        <f>IFERROR(INDEX(Product_Structure[Product group name ENG],MATCH(Товары[[#This Row],[SubGroup]],Product_Structure[Subgroup],0)),"")</f>
        <v>Grass&amp;Shrub shears, Battery</v>
      </c>
      <c r="H17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17" s="36">
        <v>9323</v>
      </c>
      <c r="J17" s="36" t="str">
        <f>IFERROR(INDEX(Product_Structure[Generic Name (long)],MATCH(Товары[[#This Row],[SubGroup]],Product_Structure[Subgroup],0)),"")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Row],[SubGroup]],DIY!$B:$C,2,FALSE),0)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3" t="str">
        <f>IFERROR(INDEX(Product_Structure[SuperCategory],MATCH(Товары[[#This Row],[SubGroup]],Product_Structure[Subgroup],0)),"")</f>
        <v>H</v>
      </c>
      <c r="D18" s="113" t="str">
        <f>IFERROR(INDEX(Product_Structure[SuperCategory Name ENG],MATCH(Товары[[#This Row],[SubGroup]],Product_Structure[Subgroup],0)),"")</f>
        <v>HandHeld (electric, battery) + spare parts</v>
      </c>
      <c r="E1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18" s="34" t="str">
        <f>IFERROR(INDEX(Product_Structure[Product group],MATCH(Товары[[#This Row],[SubGroup]],Product_Structure[Subgroup],0)),"")</f>
        <v>AET_P</v>
      </c>
      <c r="G18" s="113" t="str">
        <f>IFERROR(INDEX(Product_Structure[Product group name ENG],MATCH(Товары[[#This Row],[SubGroup]],Product_Structure[Subgroup],0)),"")</f>
        <v>Grass&amp;Shrub shears, Battery</v>
      </c>
      <c r="H18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18" s="36">
        <v>9323</v>
      </c>
      <c r="J18" s="36" t="str">
        <f>IFERROR(INDEX(Product_Structure[Generic Name (long)],MATCH(Товары[[#This Row],[SubGroup]],Product_Structure[Subgroup],0)),"")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5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Row],[SubGroup]],DIY!$B:$C,2,FALSE),0)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3" t="str">
        <f>IFERROR(INDEX(Product_Structure[SuperCategory],MATCH(Товары[[#This Row],[SubGroup]],Product_Structure[Subgroup],0)),"")</f>
        <v>H</v>
      </c>
      <c r="D19" s="113" t="str">
        <f>IFERROR(INDEX(Product_Structure[SuperCategory Name ENG],MATCH(Товары[[#This Row],[SubGroup]],Product_Structure[Subgroup],0)),"")</f>
        <v>HandHeld (electric, battery) + spare parts</v>
      </c>
      <c r="E1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19" s="34" t="str">
        <f>IFERROR(INDEX(Product_Structure[Product group],MATCH(Товары[[#This Row],[SubGroup]],Product_Structure[Subgroup],0)),"")</f>
        <v>AET_P</v>
      </c>
      <c r="G19" s="113" t="str">
        <f>IFERROR(INDEX(Product_Structure[Product group name ENG],MATCH(Товары[[#This Row],[SubGroup]],Product_Structure[Subgroup],0)),"")</f>
        <v>Grass&amp;Shrub shears, Battery</v>
      </c>
      <c r="H19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19" s="36">
        <v>9323</v>
      </c>
      <c r="J19" s="36" t="str">
        <f>IFERROR(INDEX(Product_Structure[Generic Name (long)],MATCH(Товары[[#This Row],[SubGroup]],Product_Structure[Subgroup],0)),"")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Row],[SubGroup]],DIY!$B:$C,2,FALSE),0)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3" t="str">
        <f>IFERROR(INDEX(Product_Structure[SuperCategory],MATCH(Товары[[#This Row],[SubGroup]],Product_Structure[Subgroup],0)),"")</f>
        <v>H</v>
      </c>
      <c r="D20" s="113" t="str">
        <f>IFERROR(INDEX(Product_Structure[SuperCategory Name ENG],MATCH(Товары[[#This Row],[SubGroup]],Product_Structure[Subgroup],0)),"")</f>
        <v>HandHeld (electric, battery) + spare parts</v>
      </c>
      <c r="E2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0" s="113" t="str">
        <f>IFERROR(INDEX(Product_Structure[Product group],MATCH(Товары[[#This Row],[SubGroup]],Product_Structure[Subgroup],0)),"")</f>
        <v>AET_P</v>
      </c>
      <c r="G20" s="113" t="str">
        <f>IFERROR(INDEX(Product_Structure[Product group name ENG],MATCH(Товары[[#This Row],[SubGroup]],Product_Structure[Subgroup],0)),"")</f>
        <v>Grass&amp;Shrub shears, Battery</v>
      </c>
      <c r="H20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0" s="36">
        <v>9323</v>
      </c>
      <c r="J20" s="36" t="str">
        <f>IFERROR(INDEX(Product_Structure[Generic Name (long)],MATCH(Товары[[#This Row],[SubGroup]],Product_Structure[Subgroup],0)),"")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Row],[SubGroup]],DIY!$B:$C,2,FALSE),0)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3" t="str">
        <f>IFERROR(INDEX(Product_Structure[SuperCategory],MATCH(Товары[[#This Row],[SubGroup]],Product_Structure[Subgroup],0)),"")</f>
        <v>H</v>
      </c>
      <c r="D21" s="113" t="str">
        <f>IFERROR(INDEX(Product_Structure[SuperCategory Name ENG],MATCH(Товары[[#This Row],[SubGroup]],Product_Structure[Subgroup],0)),"")</f>
        <v>HandHeld (electric, battery) + spare parts</v>
      </c>
      <c r="E2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1" s="113" t="str">
        <f>IFERROR(INDEX(Product_Structure[Product group],MATCH(Товары[[#This Row],[SubGroup]],Product_Structure[Subgroup],0)),"")</f>
        <v>AET_P</v>
      </c>
      <c r="G21" s="113" t="str">
        <f>IFERROR(INDEX(Product_Structure[Product group name ENG],MATCH(Товары[[#This Row],[SubGroup]],Product_Structure[Subgroup],0)),"")</f>
        <v>Grass&amp;Shrub shears, Battery</v>
      </c>
      <c r="H21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1" s="36">
        <v>9323</v>
      </c>
      <c r="J21" s="36" t="str">
        <f>IFERROR(INDEX(Product_Structure[Generic Name (long)],MATCH(Товары[[#This Row],[SubGroup]],Product_Structure[Subgroup],0)),"")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Row],[SubGroup]],DIY!$B:$C,2,FALSE),0)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3" t="str">
        <f>IFERROR(INDEX(Product_Structure[SuperCategory],MATCH(Товары[[#This Row],[SubGroup]],Product_Structure[Subgroup],0)),"")</f>
        <v>H</v>
      </c>
      <c r="D22" s="113" t="str">
        <f>IFERROR(INDEX(Product_Structure[SuperCategory Name ENG],MATCH(Товары[[#This Row],[SubGroup]],Product_Structure[Subgroup],0)),"")</f>
        <v>HandHeld (electric, battery) + spare parts</v>
      </c>
      <c r="E2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2" s="113" t="str">
        <f>IFERROR(INDEX(Product_Structure[Product group],MATCH(Товары[[#This Row],[SubGroup]],Product_Structure[Subgroup],0)),"")</f>
        <v>AET_P</v>
      </c>
      <c r="G22" s="113" t="str">
        <f>IFERROR(INDEX(Product_Structure[Product group name ENG],MATCH(Товары[[#This Row],[SubGroup]],Product_Structure[Subgroup],0)),"")</f>
        <v>Grass&amp;Shrub shears, Battery</v>
      </c>
      <c r="H22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2" s="36">
        <v>9323</v>
      </c>
      <c r="J22" s="36" t="str">
        <f>IFERROR(INDEX(Product_Structure[Generic Name (long)],MATCH(Товары[[#This Row],[SubGroup]],Product_Structure[Subgroup],0)),"")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Row],[SubGroup]],DIY!$B:$C,2,FALSE),0)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3" t="str">
        <f>IFERROR(INDEX(Product_Structure[SuperCategory],MATCH(Товары[[#This Row],[SubGroup]],Product_Structure[Subgroup],0)),"")</f>
        <v>H</v>
      </c>
      <c r="D23" s="113" t="str">
        <f>IFERROR(INDEX(Product_Structure[SuperCategory Name ENG],MATCH(Товары[[#This Row],[SubGroup]],Product_Structure[Subgroup],0)),"")</f>
        <v>HandHeld (electric, battery) + spare parts</v>
      </c>
      <c r="E2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3" s="113" t="str">
        <f>IFERROR(INDEX(Product_Structure[Product group],MATCH(Товары[[#This Row],[SubGroup]],Product_Structure[Subgroup],0)),"")</f>
        <v>AET_P</v>
      </c>
      <c r="G23" s="113" t="str">
        <f>IFERROR(INDEX(Product_Structure[Product group name ENG],MATCH(Товары[[#This Row],[SubGroup]],Product_Structure[Subgroup],0)),"")</f>
        <v>Grass&amp;Shrub shears, Battery</v>
      </c>
      <c r="H23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3" s="36">
        <v>9323</v>
      </c>
      <c r="J23" s="36" t="str">
        <f>IFERROR(INDEX(Product_Structure[Generic Name (long)],MATCH(Товары[[#This Row],[SubGroup]],Product_Structure[Subgroup],0)),"")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Row],[SubGroup]],DIY!$B:$C,2,FALSE),0)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3" t="str">
        <f>IFERROR(INDEX(Product_Structure[SuperCategory],MATCH(Товары[[#This Row],[SubGroup]],Product_Structure[Subgroup],0)),"")</f>
        <v>H</v>
      </c>
      <c r="D24" s="113" t="str">
        <f>IFERROR(INDEX(Product_Structure[SuperCategory Name ENG],MATCH(Товары[[#This Row],[SubGroup]],Product_Structure[Subgroup],0)),"")</f>
        <v>HandHeld (electric, battery) + spare parts</v>
      </c>
      <c r="E2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4" s="113" t="str">
        <f>IFERROR(INDEX(Product_Structure[Product group],MATCH(Товары[[#This Row],[SubGroup]],Product_Structure[Subgroup],0)),"")</f>
        <v>AET_P</v>
      </c>
      <c r="G24" s="113" t="str">
        <f>IFERROR(INDEX(Product_Structure[Product group name ENG],MATCH(Товары[[#This Row],[SubGroup]],Product_Structure[Subgroup],0)),"")</f>
        <v>Grass&amp;Shrub shears, Battery</v>
      </c>
      <c r="H24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4" s="36">
        <v>9323</v>
      </c>
      <c r="J24" s="36" t="str">
        <f>IFERROR(INDEX(Product_Structure[Generic Name (long)],MATCH(Товары[[#This Row],[SubGroup]],Product_Structure[Subgroup],0)),"")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Row],[SubGroup]],DIY!$B:$C,2,FALSE),0)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3" t="str">
        <f>IFERROR(INDEX(Product_Structure[SuperCategory],MATCH(Товары[[#This Row],[SubGroup]],Product_Structure[Subgroup],0)),"")</f>
        <v>H</v>
      </c>
      <c r="D25" s="113" t="str">
        <f>IFERROR(INDEX(Product_Structure[SuperCategory Name ENG],MATCH(Товары[[#This Row],[SubGroup]],Product_Structure[Subgroup],0)),"")</f>
        <v>HandHeld (electric, battery) + spare parts</v>
      </c>
      <c r="E2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5" s="113" t="str">
        <f>IFERROR(INDEX(Product_Structure[Product group],MATCH(Товары[[#This Row],[SubGroup]],Product_Structure[Subgroup],0)),"")</f>
        <v>AET_P</v>
      </c>
      <c r="G25" s="113" t="str">
        <f>IFERROR(INDEX(Product_Structure[Product group name ENG],MATCH(Товары[[#This Row],[SubGroup]],Product_Structure[Subgroup],0)),"")</f>
        <v>Grass&amp;Shrub shears, Battery</v>
      </c>
      <c r="H25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5" s="36">
        <v>9323</v>
      </c>
      <c r="J25" s="36" t="str">
        <f>IFERROR(INDEX(Product_Structure[Generic Name (long)],MATCH(Товары[[#This Row],[SubGroup]],Product_Structure[Subgroup],0)),"")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Row],[SubGroup]],DIY!$B:$C,2,FALSE),0)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3" t="str">
        <f>IFERROR(INDEX(Product_Structure[SuperCategory],MATCH(Товары[[#This Row],[SubGroup]],Product_Structure[Subgroup],0)),"")</f>
        <v>H</v>
      </c>
      <c r="D26" s="113" t="str">
        <f>IFERROR(INDEX(Product_Structure[SuperCategory Name ENG],MATCH(Товары[[#This Row],[SubGroup]],Product_Structure[Subgroup],0)),"")</f>
        <v>HandHeld (electric, battery) + spare parts</v>
      </c>
      <c r="E2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6" s="113" t="str">
        <f>IFERROR(INDEX(Product_Structure[Product group],MATCH(Товары[[#This Row],[SubGroup]],Product_Structure[Subgroup],0)),"")</f>
        <v>AET_P</v>
      </c>
      <c r="G26" s="113" t="str">
        <f>IFERROR(INDEX(Product_Structure[Product group name ENG],MATCH(Товары[[#This Row],[SubGroup]],Product_Structure[Subgroup],0)),"")</f>
        <v>Grass&amp;Shrub shears, Battery</v>
      </c>
      <c r="H26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6" s="36">
        <v>9323</v>
      </c>
      <c r="J26" s="36" t="str">
        <f>IFERROR(INDEX(Product_Structure[Generic Name (long)],MATCH(Товары[[#This Row],[SubGroup]],Product_Structure[Subgroup],0)),"")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Row],[SubGroup]],DIY!$B:$C,2,FALSE),0)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3" t="str">
        <f>IFERROR(INDEX(Product_Structure[SuperCategory],MATCH(Товары[[#This Row],[SubGroup]],Product_Structure[Subgroup],0)),"")</f>
        <v>H</v>
      </c>
      <c r="D27" s="113" t="str">
        <f>IFERROR(INDEX(Product_Structure[SuperCategory Name ENG],MATCH(Товары[[#This Row],[SubGroup]],Product_Structure[Subgroup],0)),"")</f>
        <v>HandHeld (electric, battery) + spare parts</v>
      </c>
      <c r="E2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7" s="113" t="str">
        <f>IFERROR(INDEX(Product_Structure[Product group],MATCH(Товары[[#This Row],[SubGroup]],Product_Structure[Subgroup],0)),"")</f>
        <v>AET_P</v>
      </c>
      <c r="G27" s="113" t="str">
        <f>IFERROR(INDEX(Product_Structure[Product group name ENG],MATCH(Товары[[#This Row],[SubGroup]],Product_Structure[Subgroup],0)),"")</f>
        <v>Grass&amp;Shrub shears, Battery</v>
      </c>
      <c r="H27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7" s="36">
        <v>9323</v>
      </c>
      <c r="J27" s="36" t="str">
        <f>IFERROR(INDEX(Product_Structure[Generic Name (long)],MATCH(Товары[[#This Row],[SubGroup]],Product_Structure[Subgroup],0)),"")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Row],[SubGroup]],DIY!$B:$C,2,FALSE),0)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3" t="str">
        <f>IFERROR(INDEX(Product_Structure[SuperCategory],MATCH(Товары[[#This Row],[SubGroup]],Product_Structure[Subgroup],0)),"")</f>
        <v>H</v>
      </c>
      <c r="D28" s="113" t="str">
        <f>IFERROR(INDEX(Product_Structure[SuperCategory Name ENG],MATCH(Товары[[#This Row],[SubGroup]],Product_Structure[Subgroup],0)),"")</f>
        <v>HandHeld (electric, battery) + spare parts</v>
      </c>
      <c r="E2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8" s="113" t="str">
        <f>IFERROR(INDEX(Product_Structure[Product group],MATCH(Товары[[#This Row],[SubGroup]],Product_Structure[Subgroup],0)),"")</f>
        <v>AET_P</v>
      </c>
      <c r="G28" s="113" t="str">
        <f>IFERROR(INDEX(Product_Structure[Product group name ENG],MATCH(Товары[[#This Row],[SubGroup]],Product_Structure[Subgroup],0)),"")</f>
        <v>Grass&amp;Shrub shears, Battery</v>
      </c>
      <c r="H28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8" s="36">
        <v>9323</v>
      </c>
      <c r="J28" s="36" t="str">
        <f>IFERROR(INDEX(Product_Structure[Generic Name (long)],MATCH(Товары[[#This Row],[SubGroup]],Product_Structure[Subgroup],0)),"")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Row],[SubGroup]],DIY!$B:$C,2,FALSE),0)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3" t="str">
        <f>IFERROR(INDEX(Product_Structure[SuperCategory],MATCH(Товары[[#This Row],[SubGroup]],Product_Structure[Subgroup],0)),"")</f>
        <v>H</v>
      </c>
      <c r="D29" s="113" t="str">
        <f>IFERROR(INDEX(Product_Structure[SuperCategory Name ENG],MATCH(Товары[[#This Row],[SubGroup]],Product_Structure[Subgroup],0)),"")</f>
        <v>HandHeld (electric, battery) + spare parts</v>
      </c>
      <c r="E2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29" s="113" t="str">
        <f>IFERROR(INDEX(Product_Structure[Product group],MATCH(Товары[[#This Row],[SubGroup]],Product_Structure[Subgroup],0)),"")</f>
        <v>AET_P</v>
      </c>
      <c r="G29" s="113" t="str">
        <f>IFERROR(INDEX(Product_Structure[Product group name ENG],MATCH(Товары[[#This Row],[SubGroup]],Product_Structure[Subgroup],0)),"")</f>
        <v>Grass&amp;Shrub shears, Battery</v>
      </c>
      <c r="H29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29" s="36">
        <v>9323</v>
      </c>
      <c r="J29" s="36" t="str">
        <f>IFERROR(INDEX(Product_Structure[Generic Name (long)],MATCH(Товары[[#This Row],[SubGroup]],Product_Structure[Subgroup],0)),"")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Row],[SubGroup]],DIY!$B:$C,2,FALSE),0)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3" t="str">
        <f>IFERROR(INDEX(Product_Structure[SuperCategory],MATCH(Товары[[#This Row],[SubGroup]],Product_Structure[Subgroup],0)),"")</f>
        <v>H</v>
      </c>
      <c r="D30" s="113" t="str">
        <f>IFERROR(INDEX(Product_Structure[SuperCategory Name ENG],MATCH(Товары[[#This Row],[SubGroup]],Product_Structure[Subgroup],0)),"")</f>
        <v>HandHeld (electric, battery) + spare parts</v>
      </c>
      <c r="E3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0" s="113" t="str">
        <f>IFERROR(INDEX(Product_Structure[Product group],MATCH(Товары[[#This Row],[SubGroup]],Product_Structure[Subgroup],0)),"")</f>
        <v>AET_P</v>
      </c>
      <c r="G30" s="113" t="str">
        <f>IFERROR(INDEX(Product_Structure[Product group name ENG],MATCH(Товары[[#This Row],[SubGroup]],Product_Structure[Subgroup],0)),"")</f>
        <v>Grass&amp;Shrub shears, Battery</v>
      </c>
      <c r="H30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0" s="36">
        <v>9323</v>
      </c>
      <c r="J30" s="36" t="str">
        <f>IFERROR(INDEX(Product_Structure[Generic Name (long)],MATCH(Товары[[#This Row],[SubGroup]],Product_Structure[Subgroup],0)),"")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Row],[SubGroup]],DIY!$B:$C,2,FALSE),0)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3" t="str">
        <f>IFERROR(INDEX(Product_Structure[SuperCategory],MATCH(Товары[[#This Row],[SubGroup]],Product_Structure[Subgroup],0)),"")</f>
        <v>H</v>
      </c>
      <c r="D31" s="113" t="str">
        <f>IFERROR(INDEX(Product_Structure[SuperCategory Name ENG],MATCH(Товары[[#This Row],[SubGroup]],Product_Structure[Subgroup],0)),"")</f>
        <v>HandHeld (electric, battery) + spare parts</v>
      </c>
      <c r="E3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1" s="113" t="str">
        <f>IFERROR(INDEX(Product_Structure[Product group],MATCH(Товары[[#This Row],[SubGroup]],Product_Structure[Subgroup],0)),"")</f>
        <v>AET_P</v>
      </c>
      <c r="G31" s="113" t="str">
        <f>IFERROR(INDEX(Product_Structure[Product group name ENG],MATCH(Товары[[#This Row],[SubGroup]],Product_Structure[Subgroup],0)),"")</f>
        <v>Grass&amp;Shrub shears, Battery</v>
      </c>
      <c r="H31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1" s="36">
        <v>9323</v>
      </c>
      <c r="J31" s="36" t="str">
        <f>IFERROR(INDEX(Product_Structure[Generic Name (long)],MATCH(Товары[[#This Row],[SubGroup]],Product_Structure[Subgroup],0)),"")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Row],[SubGroup]],DIY!$B:$C,2,FALSE),0)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3" t="str">
        <f>IFERROR(INDEX(Product_Structure[SuperCategory],MATCH(Товары[[#This Row],[SubGroup]],Product_Structure[Subgroup],0)),"")</f>
        <v>H</v>
      </c>
      <c r="D32" s="113" t="str">
        <f>IFERROR(INDEX(Product_Structure[SuperCategory Name ENG],MATCH(Товары[[#This Row],[SubGroup]],Product_Structure[Subgroup],0)),"")</f>
        <v>HandHeld (electric, battery) + spare parts</v>
      </c>
      <c r="E3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2" s="113" t="str">
        <f>IFERROR(INDEX(Product_Structure[Product group],MATCH(Товары[[#This Row],[SubGroup]],Product_Structure[Subgroup],0)),"")</f>
        <v>AET_P</v>
      </c>
      <c r="G32" s="113" t="str">
        <f>IFERROR(INDEX(Product_Structure[Product group name ENG],MATCH(Товары[[#This Row],[SubGroup]],Product_Structure[Subgroup],0)),"")</f>
        <v>Grass&amp;Shrub shears, Battery</v>
      </c>
      <c r="H32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2" s="36">
        <v>9323</v>
      </c>
      <c r="J32" s="36" t="str">
        <f>IFERROR(INDEX(Product_Structure[Generic Name (long)],MATCH(Товары[[#This Row],[SubGroup]],Product_Structure[Subgroup],0)),"")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Row],[SubGroup]],DIY!$B:$C,2,FALSE),0)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3" t="str">
        <f>IFERROR(INDEX(Product_Structure[SuperCategory],MATCH(Товары[[#This Row],[SubGroup]],Product_Structure[Subgroup],0)),"")</f>
        <v>H</v>
      </c>
      <c r="D33" s="113" t="str">
        <f>IFERROR(INDEX(Product_Structure[SuperCategory Name ENG],MATCH(Товары[[#This Row],[SubGroup]],Product_Structure[Subgroup],0)),"")</f>
        <v>HandHeld (electric, battery) + spare parts</v>
      </c>
      <c r="E3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3" s="113" t="str">
        <f>IFERROR(INDEX(Product_Structure[Product group],MATCH(Товары[[#This Row],[SubGroup]],Product_Structure[Subgroup],0)),"")</f>
        <v>AET_P</v>
      </c>
      <c r="G33" s="113" t="str">
        <f>IFERROR(INDEX(Product_Structure[Product group name ENG],MATCH(Товары[[#This Row],[SubGroup]],Product_Structure[Subgroup],0)),"")</f>
        <v>Grass&amp;Shrub shears, Battery</v>
      </c>
      <c r="H33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3" s="36">
        <v>9323</v>
      </c>
      <c r="J33" s="36" t="str">
        <f>IFERROR(INDEX(Product_Structure[Generic Name (long)],MATCH(Товары[[#This Row],[SubGroup]],Product_Structure[Subgroup],0)),"")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Row],[SubGroup]],DIY!$B:$C,2,FALSE),0)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3" t="str">
        <f>IFERROR(INDEX(Product_Structure[SuperCategory],MATCH(Товары[[#This Row],[SubGroup]],Product_Structure[Subgroup],0)),"")</f>
        <v>H</v>
      </c>
      <c r="D34" s="113" t="str">
        <f>IFERROR(INDEX(Product_Structure[SuperCategory Name ENG],MATCH(Товары[[#This Row],[SubGroup]],Product_Structure[Subgroup],0)),"")</f>
        <v>HandHeld (electric, battery) + spare parts</v>
      </c>
      <c r="E3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4" s="113" t="str">
        <f>IFERROR(INDEX(Product_Structure[Product group],MATCH(Товары[[#This Row],[SubGroup]],Product_Structure[Subgroup],0)),"")</f>
        <v>AET_P</v>
      </c>
      <c r="G34" s="113" t="str">
        <f>IFERROR(INDEX(Product_Structure[Product group name ENG],MATCH(Товары[[#This Row],[SubGroup]],Product_Structure[Subgroup],0)),"")</f>
        <v>Grass&amp;Shrub shears, Battery</v>
      </c>
      <c r="H34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4" s="36">
        <v>9323</v>
      </c>
      <c r="J34" s="36" t="str">
        <f>IFERROR(INDEX(Product_Structure[Generic Name (long)],MATCH(Товары[[#This Row],[SubGroup]],Product_Structure[Subgroup],0)),"")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Row],[SubGroup]],DIY!$B:$C,2,FALSE),0)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3" t="str">
        <f>IFERROR(INDEX(Product_Structure[SuperCategory],MATCH(Товары[[#This Row],[SubGroup]],Product_Structure[Subgroup],0)),"")</f>
        <v>H</v>
      </c>
      <c r="D35" s="113" t="str">
        <f>IFERROR(INDEX(Product_Structure[SuperCategory Name ENG],MATCH(Товары[[#This Row],[SubGroup]],Product_Structure[Subgroup],0)),"")</f>
        <v>HandHeld (electric, battery) + spare parts</v>
      </c>
      <c r="E3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5" s="113" t="str">
        <f>IFERROR(INDEX(Product_Structure[Product group],MATCH(Товары[[#This Row],[SubGroup]],Product_Structure[Subgroup],0)),"")</f>
        <v>AET_P</v>
      </c>
      <c r="G35" s="113" t="str">
        <f>IFERROR(INDEX(Product_Structure[Product group name ENG],MATCH(Товары[[#This Row],[SubGroup]],Product_Structure[Subgroup],0)),"")</f>
        <v>Grass&amp;Shrub shears, Battery</v>
      </c>
      <c r="H35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5" s="36">
        <v>9323</v>
      </c>
      <c r="J35" s="36" t="str">
        <f>IFERROR(INDEX(Product_Structure[Generic Name (long)],MATCH(Товары[[#This Row],[SubGroup]],Product_Structure[Subgroup],0)),"")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Row],[SubGroup]],DIY!$B:$C,2,FALSE),0)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3" t="str">
        <f>IFERROR(INDEX(Product_Structure[SuperCategory],MATCH(Товары[[#This Row],[SubGroup]],Product_Structure[Subgroup],0)),"")</f>
        <v>H</v>
      </c>
      <c r="D36" s="113" t="str">
        <f>IFERROR(INDEX(Product_Structure[SuperCategory Name ENG],MATCH(Товары[[#This Row],[SubGroup]],Product_Structure[Subgroup],0)),"")</f>
        <v>HandHeld (electric, battery) + spare parts</v>
      </c>
      <c r="E3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6" s="113" t="str">
        <f>IFERROR(INDEX(Product_Structure[Product group],MATCH(Товары[[#This Row],[SubGroup]],Product_Structure[Subgroup],0)),"")</f>
        <v>AET_P</v>
      </c>
      <c r="G36" s="113" t="str">
        <f>IFERROR(INDEX(Product_Structure[Product group name ENG],MATCH(Товары[[#This Row],[SubGroup]],Product_Structure[Subgroup],0)),"")</f>
        <v>Grass&amp;Shrub shears, Battery</v>
      </c>
      <c r="H36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6" s="36">
        <v>9323</v>
      </c>
      <c r="J36" s="36" t="str">
        <f>IFERROR(INDEX(Product_Structure[Generic Name (long)],MATCH(Товары[[#This Row],[SubGroup]],Product_Structure[Subgroup],0)),"")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Row],[SubGroup]],DIY!$B:$C,2,FALSE),0)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3" t="str">
        <f>IFERROR(INDEX(Product_Structure[SuperCategory],MATCH(Товары[[#This Row],[SubGroup]],Product_Structure[Subgroup],0)),"")</f>
        <v>H</v>
      </c>
      <c r="D37" s="113" t="str">
        <f>IFERROR(INDEX(Product_Structure[SuperCategory Name ENG],MATCH(Товары[[#This Row],[SubGroup]],Product_Structure[Subgroup],0)),"")</f>
        <v>HandHeld (electric, battery) + spare parts</v>
      </c>
      <c r="E3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7" s="113" t="str">
        <f>IFERROR(INDEX(Product_Structure[Product group],MATCH(Товары[[#This Row],[SubGroup]],Product_Structure[Subgroup],0)),"")</f>
        <v>AET_P</v>
      </c>
      <c r="G37" s="113" t="str">
        <f>IFERROR(INDEX(Product_Structure[Product group name ENG],MATCH(Товары[[#This Row],[SubGroup]],Product_Structure[Subgroup],0)),"")</f>
        <v>Grass&amp;Shrub shears, Battery</v>
      </c>
      <c r="H37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7" s="36">
        <v>9323</v>
      </c>
      <c r="J37" s="36" t="str">
        <f>IFERROR(INDEX(Product_Structure[Generic Name (long)],MATCH(Товары[[#This Row],[SubGroup]],Product_Structure[Subgroup],0)),"")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Row],[SubGroup]],DIY!$B:$C,2,FALSE),0)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3" t="str">
        <f>IFERROR(INDEX(Product_Structure[SuperCategory],MATCH(Товары[[#This Row],[SubGroup]],Product_Structure[Subgroup],0)),"")</f>
        <v>H</v>
      </c>
      <c r="D38" s="113" t="str">
        <f>IFERROR(INDEX(Product_Structure[SuperCategory Name ENG],MATCH(Товары[[#This Row],[SubGroup]],Product_Structure[Subgroup],0)),"")</f>
        <v>HandHeld (electric, battery) + spare parts</v>
      </c>
      <c r="E3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8" s="113" t="str">
        <f>IFERROR(INDEX(Product_Structure[Product group],MATCH(Товары[[#This Row],[SubGroup]],Product_Structure[Subgroup],0)),"")</f>
        <v>AET_P</v>
      </c>
      <c r="G38" s="113" t="str">
        <f>IFERROR(INDEX(Product_Structure[Product group name ENG],MATCH(Товары[[#This Row],[SubGroup]],Product_Structure[Subgroup],0)),"")</f>
        <v>Grass&amp;Shrub shears, Battery</v>
      </c>
      <c r="H38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8" s="36">
        <v>9323</v>
      </c>
      <c r="J38" s="36" t="str">
        <f>IFERROR(INDEX(Product_Structure[Generic Name (long)],MATCH(Товары[[#This Row],[SubGroup]],Product_Structure[Subgroup],0)),"")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Row],[SubGroup]],DIY!$B:$C,2,FALSE),0)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3" t="str">
        <f>IFERROR(INDEX(Product_Structure[SuperCategory],MATCH(Товары[[#This Row],[SubGroup]],Product_Structure[Subgroup],0)),"")</f>
        <v>H</v>
      </c>
      <c r="D39" s="113" t="str">
        <f>IFERROR(INDEX(Product_Structure[SuperCategory Name ENG],MATCH(Товары[[#This Row],[SubGroup]],Product_Structure[Subgroup],0)),"")</f>
        <v>HandHeld (electric, battery) + spare parts</v>
      </c>
      <c r="E3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39" s="113" t="str">
        <f>IFERROR(INDEX(Product_Structure[Product group],MATCH(Товары[[#This Row],[SubGroup]],Product_Structure[Subgroup],0)),"")</f>
        <v>AET_P</v>
      </c>
      <c r="G39" s="113" t="str">
        <f>IFERROR(INDEX(Product_Structure[Product group name ENG],MATCH(Товары[[#This Row],[SubGroup]],Product_Structure[Subgroup],0)),"")</f>
        <v>Grass&amp;Shrub shears, Battery</v>
      </c>
      <c r="H39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39" s="36">
        <v>9323</v>
      </c>
      <c r="J39" s="36" t="str">
        <f>IFERROR(INDEX(Product_Structure[Generic Name (long)],MATCH(Товары[[#This Row],[SubGroup]],Product_Structure[Subgroup],0)),"")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Row],[SubGroup]],DIY!$B:$C,2,FALSE),0)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3" t="str">
        <f>IFERROR(INDEX(Product_Structure[SuperCategory],MATCH(Товары[[#This Row],[SubGroup]],Product_Structure[Subgroup],0)),"")</f>
        <v>H</v>
      </c>
      <c r="D40" s="113" t="str">
        <f>IFERROR(INDEX(Product_Structure[SuperCategory Name ENG],MATCH(Товары[[#This Row],[SubGroup]],Product_Structure[Subgroup],0)),"")</f>
        <v>HandHeld (electric, battery) + spare parts</v>
      </c>
      <c r="E4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40" s="113" t="str">
        <f>IFERROR(INDEX(Product_Structure[Product group],MATCH(Товары[[#This Row],[SubGroup]],Product_Structure[Subgroup],0)),"")</f>
        <v>AET_P</v>
      </c>
      <c r="G40" s="113" t="str">
        <f>IFERROR(INDEX(Product_Structure[Product group name ENG],MATCH(Товары[[#This Row],[SubGroup]],Product_Structure[Subgroup],0)),"")</f>
        <v>Grass&amp;Shrub shears, Battery</v>
      </c>
      <c r="H40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40" s="36">
        <v>9323</v>
      </c>
      <c r="J40" s="36" t="str">
        <f>IFERROR(INDEX(Product_Structure[Generic Name (long)],MATCH(Товары[[#This Row],[SubGroup]],Product_Structure[Subgroup],0)),"")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Row],[SubGroup]],DIY!$B:$C,2,FALSE),0)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3" t="str">
        <f>IFERROR(INDEX(Product_Structure[SuperCategory],MATCH(Товары[[#This Row],[SubGroup]],Product_Structure[Subgroup],0)),"")</f>
        <v>A</v>
      </c>
      <c r="D41" s="113" t="str">
        <f>IFERROR(INDEX(Product_Structure[SuperCategory Name ENG],MATCH(Товары[[#This Row],[SubGroup]],Product_Structure[Subgroup],0)),"")</f>
        <v>Hand&amp;Cutting tools, Accessories</v>
      </c>
      <c r="E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" s="113" t="str">
        <f>IFERROR(INDEX(Product_Structure[Product group],MATCH(Товары[[#This Row],[SubGroup]],Product_Structure[Subgroup],0)),"")</f>
        <v>AMA_C</v>
      </c>
      <c r="G41" s="113" t="str">
        <f>IFERROR(INDEX(Product_Structure[Product group name ENG],MATCH(Товары[[#This Row],[SubGroup]],Product_Structure[Subgroup],0)),"")</f>
        <v>Accessories, Manual, Accessories</v>
      </c>
      <c r="H41" s="113" t="str">
        <f>IFERROR(INDEX(Product_Structure[Generic Name (long)3],MATCH(Товары[[#This Row],[SubGroup]],Product_Structure[Subgroup],0)),"")</f>
        <v>Перчатки садовые</v>
      </c>
      <c r="I41" s="36">
        <v>9242</v>
      </c>
      <c r="J41" s="36" t="str">
        <f>IFERROR(INDEX(Product_Structure[Generic Name (long)],MATCH(Товары[[#This Row],[SubGroup]],Product_Structure[Subgroup],0)),"")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Row],[SubGroup]],DIY!$B:$C,2,FALSE),0)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3" t="str">
        <f>IFERROR(INDEX(Product_Structure[SuperCategory],MATCH(Товары[[#This Row],[SubGroup]],Product_Structure[Subgroup],0)),"")</f>
        <v>A</v>
      </c>
      <c r="D42" s="113" t="str">
        <f>IFERROR(INDEX(Product_Structure[SuperCategory Name ENG],MATCH(Товары[[#This Row],[SubGroup]],Product_Structure[Subgroup],0)),"")</f>
        <v>Hand&amp;Cutting tools, Accessories</v>
      </c>
      <c r="E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" s="113" t="str">
        <f>IFERROR(INDEX(Product_Structure[Product group],MATCH(Товары[[#This Row],[SubGroup]],Product_Structure[Subgroup],0)),"")</f>
        <v>AMA_C</v>
      </c>
      <c r="G42" s="113" t="str">
        <f>IFERROR(INDEX(Product_Structure[Product group name ENG],MATCH(Товары[[#This Row],[SubGroup]],Product_Structure[Subgroup],0)),"")</f>
        <v>Accessories, Manual, Accessories</v>
      </c>
      <c r="H42" s="113" t="str">
        <f>IFERROR(INDEX(Product_Structure[Generic Name (long)3],MATCH(Товары[[#This Row],[SubGroup]],Product_Structure[Subgroup],0)),"")</f>
        <v>Перчатки садовые</v>
      </c>
      <c r="I42" s="36">
        <v>9242</v>
      </c>
      <c r="J42" s="36" t="str">
        <f>IFERROR(INDEX(Product_Structure[Generic Name (long)],MATCH(Товары[[#This Row],[SubGroup]],Product_Structure[Subgroup],0)),"")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Row],[SubGroup]],DIY!$B:$C,2,FALSE),0)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3" t="str">
        <f>IFERROR(INDEX(Product_Structure[SuperCategory],MATCH(Товары[[#This Row],[SubGroup]],Product_Structure[Subgroup],0)),"")</f>
        <v>A</v>
      </c>
      <c r="D43" s="113" t="str">
        <f>IFERROR(INDEX(Product_Structure[SuperCategory Name ENG],MATCH(Товары[[#This Row],[SubGroup]],Product_Structure[Subgroup],0)),"")</f>
        <v>Hand&amp;Cutting tools, Accessories</v>
      </c>
      <c r="E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" s="113" t="str">
        <f>IFERROR(INDEX(Product_Structure[Product group],MATCH(Товары[[#This Row],[SubGroup]],Product_Structure[Subgroup],0)),"")</f>
        <v>AMA_C</v>
      </c>
      <c r="G43" s="113" t="str">
        <f>IFERROR(INDEX(Product_Structure[Product group name ENG],MATCH(Товары[[#This Row],[SubGroup]],Product_Structure[Subgroup],0)),"")</f>
        <v>Accessories, Manual, Accessories</v>
      </c>
      <c r="H43" s="113" t="str">
        <f>IFERROR(INDEX(Product_Structure[Generic Name (long)3],MATCH(Товары[[#This Row],[SubGroup]],Product_Structure[Subgroup],0)),"")</f>
        <v>Перчатки садовые</v>
      </c>
      <c r="I43" s="36">
        <v>9242</v>
      </c>
      <c r="J43" s="36" t="str">
        <f>IFERROR(INDEX(Product_Structure[Generic Name (long)],MATCH(Товары[[#This Row],[SubGroup]],Product_Structure[Subgroup],0)),"")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Row],[SubGroup]],DIY!$B:$C,2,FALSE),0)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3" t="str">
        <f>IFERROR(INDEX(Product_Structure[SuperCategory],MATCH(Товары[[#This Row],[SubGroup]],Product_Structure[Subgroup],0)),"")</f>
        <v>A</v>
      </c>
      <c r="D44" s="113" t="str">
        <f>IFERROR(INDEX(Product_Structure[SuperCategory Name ENG],MATCH(Товары[[#This Row],[SubGroup]],Product_Structure[Subgroup],0)),"")</f>
        <v>Hand&amp;Cutting tools, Accessories</v>
      </c>
      <c r="E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" s="113" t="str">
        <f>IFERROR(INDEX(Product_Structure[Product group],MATCH(Товары[[#This Row],[SubGroup]],Product_Structure[Subgroup],0)),"")</f>
        <v>AMA_C</v>
      </c>
      <c r="G44" s="113" t="str">
        <f>IFERROR(INDEX(Product_Structure[Product group name ENG],MATCH(Товары[[#This Row],[SubGroup]],Product_Structure[Subgroup],0)),"")</f>
        <v>Accessories, Manual, Accessories</v>
      </c>
      <c r="H44" s="113" t="str">
        <f>IFERROR(INDEX(Product_Structure[Generic Name (long)3],MATCH(Товары[[#This Row],[SubGroup]],Product_Structure[Subgroup],0)),"")</f>
        <v>Перчатки садовые</v>
      </c>
      <c r="I44" s="36">
        <v>9242</v>
      </c>
      <c r="J44" s="36" t="str">
        <f>IFERROR(INDEX(Product_Structure[Generic Name (long)],MATCH(Товары[[#This Row],[SubGroup]],Product_Structure[Subgroup],0)),"")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Row],[SubGroup]],DIY!$B:$C,2,FALSE),0)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3" t="str">
        <f>IFERROR(INDEX(Product_Structure[SuperCategory],MATCH(Товары[[#This Row],[SubGroup]],Product_Structure[Subgroup],0)),"")</f>
        <v>A</v>
      </c>
      <c r="D45" s="113" t="str">
        <f>IFERROR(INDEX(Product_Structure[SuperCategory Name ENG],MATCH(Товары[[#This Row],[SubGroup]],Product_Structure[Subgroup],0)),"")</f>
        <v>Hand&amp;Cutting tools, Accessories</v>
      </c>
      <c r="E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" s="113" t="str">
        <f>IFERROR(INDEX(Product_Structure[Product group],MATCH(Товары[[#This Row],[SubGroup]],Product_Structure[Subgroup],0)),"")</f>
        <v>AMA_C</v>
      </c>
      <c r="G45" s="113" t="str">
        <f>IFERROR(INDEX(Product_Structure[Product group name ENG],MATCH(Товары[[#This Row],[SubGroup]],Product_Structure[Subgroup],0)),"")</f>
        <v>Accessories, Manual, Accessories</v>
      </c>
      <c r="H45" s="113" t="str">
        <f>IFERROR(INDEX(Product_Structure[Generic Name (long)3],MATCH(Товары[[#This Row],[SubGroup]],Product_Structure[Subgroup],0)),"")</f>
        <v>Перчатки садовые</v>
      </c>
      <c r="I45" s="36">
        <v>9242</v>
      </c>
      <c r="J45" s="36" t="str">
        <f>IFERROR(INDEX(Product_Structure[Generic Name (long)],MATCH(Товары[[#This Row],[SubGroup]],Product_Structure[Subgroup],0)),"")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Row],[SubGroup]],DIY!$B:$C,2,FALSE),0)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3" t="str">
        <f>IFERROR(INDEX(Product_Structure[SuperCategory],MATCH(Товары[[#This Row],[SubGroup]],Product_Structure[Subgroup],0)),"")</f>
        <v>A</v>
      </c>
      <c r="D46" s="113" t="str">
        <f>IFERROR(INDEX(Product_Structure[SuperCategory Name ENG],MATCH(Товары[[#This Row],[SubGroup]],Product_Structure[Subgroup],0)),"")</f>
        <v>Hand&amp;Cutting tools, Accessories</v>
      </c>
      <c r="E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" s="113" t="str">
        <f>IFERROR(INDEX(Product_Structure[Product group],MATCH(Товары[[#This Row],[SubGroup]],Product_Structure[Subgroup],0)),"")</f>
        <v>AMA_C</v>
      </c>
      <c r="G46" s="113" t="str">
        <f>IFERROR(INDEX(Product_Structure[Product group name ENG],MATCH(Товары[[#This Row],[SubGroup]],Product_Structure[Subgroup],0)),"")</f>
        <v>Accessories, Manual, Accessories</v>
      </c>
      <c r="H46" s="113" t="str">
        <f>IFERROR(INDEX(Product_Structure[Generic Name (long)3],MATCH(Товары[[#This Row],[SubGroup]],Product_Structure[Subgroup],0)),"")</f>
        <v>Перчатки садовые</v>
      </c>
      <c r="I46" s="36">
        <v>9242</v>
      </c>
      <c r="J46" s="36" t="str">
        <f>IFERROR(INDEX(Product_Structure[Generic Name (long)],MATCH(Товары[[#This Row],[SubGroup]],Product_Structure[Subgroup],0)),"")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Row],[SubGroup]],DIY!$B:$C,2,FALSE),0)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3" t="str">
        <f>IFERROR(INDEX(Product_Structure[SuperCategory],MATCH(Товары[[#This Row],[SubGroup]],Product_Structure[Subgroup],0)),"")</f>
        <v>A</v>
      </c>
      <c r="D47" s="113" t="str">
        <f>IFERROR(INDEX(Product_Structure[SuperCategory Name ENG],MATCH(Товары[[#This Row],[SubGroup]],Product_Structure[Subgroup],0)),"")</f>
        <v>Hand&amp;Cutting tools, Accessories</v>
      </c>
      <c r="E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" s="113" t="str">
        <f>IFERROR(INDEX(Product_Structure[Product group],MATCH(Товары[[#This Row],[SubGroup]],Product_Structure[Subgroup],0)),"")</f>
        <v>AMA_C</v>
      </c>
      <c r="G47" s="113" t="str">
        <f>IFERROR(INDEX(Product_Structure[Product group name ENG],MATCH(Товары[[#This Row],[SubGroup]],Product_Structure[Subgroup],0)),"")</f>
        <v>Accessories, Manual, Accessories</v>
      </c>
      <c r="H47" s="113" t="str">
        <f>IFERROR(INDEX(Product_Structure[Generic Name (long)3],MATCH(Товары[[#This Row],[SubGroup]],Product_Structure[Subgroup],0)),"")</f>
        <v>Перчатки садовые</v>
      </c>
      <c r="I47" s="36">
        <v>9242</v>
      </c>
      <c r="J47" s="36" t="str">
        <f>IFERROR(INDEX(Product_Structure[Generic Name (long)],MATCH(Товары[[#This Row],[SubGroup]],Product_Structure[Subgroup],0)),"")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Row],[SubGroup]],DIY!$B:$C,2,FALSE),0)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3" t="str">
        <f>IFERROR(INDEX(Product_Structure[SuperCategory],MATCH(Товары[[#This Row],[SubGroup]],Product_Structure[Subgroup],0)),"")</f>
        <v>A</v>
      </c>
      <c r="D48" s="113" t="str">
        <f>IFERROR(INDEX(Product_Structure[SuperCategory Name ENG],MATCH(Товары[[#This Row],[SubGroup]],Product_Structure[Subgroup],0)),"")</f>
        <v>Hand&amp;Cutting tools, Accessories</v>
      </c>
      <c r="E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" s="113" t="str">
        <f>IFERROR(INDEX(Product_Structure[Product group],MATCH(Товары[[#This Row],[SubGroup]],Product_Structure[Subgroup],0)),"")</f>
        <v>AMA_C</v>
      </c>
      <c r="G48" s="113" t="str">
        <f>IFERROR(INDEX(Product_Structure[Product group name ENG],MATCH(Товары[[#This Row],[SubGroup]],Product_Structure[Subgroup],0)),"")</f>
        <v>Accessories, Manual, Accessories</v>
      </c>
      <c r="H48" s="113" t="str">
        <f>IFERROR(INDEX(Product_Structure[Generic Name (long)3],MATCH(Товары[[#This Row],[SubGroup]],Product_Structure[Subgroup],0)),"")</f>
        <v>Перчатки садовые</v>
      </c>
      <c r="I48" s="36">
        <v>9242</v>
      </c>
      <c r="J48" s="36" t="str">
        <f>IFERROR(INDEX(Product_Structure[Generic Name (long)],MATCH(Товары[[#This Row],[SubGroup]],Product_Structure[Subgroup],0)),"")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Row],[SubGroup]],DIY!$B:$C,2,FALSE),0)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3" t="str">
        <f>IFERROR(INDEX(Product_Structure[SuperCategory],MATCH(Товары[[#This Row],[SubGroup]],Product_Structure[Subgroup],0)),"")</f>
        <v>A</v>
      </c>
      <c r="D49" s="113" t="str">
        <f>IFERROR(INDEX(Product_Structure[SuperCategory Name ENG],MATCH(Товары[[#This Row],[SubGroup]],Product_Structure[Subgroup],0)),"")</f>
        <v>Hand&amp;Cutting tools, Accessories</v>
      </c>
      <c r="E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" s="113" t="str">
        <f>IFERROR(INDEX(Product_Structure[Product group],MATCH(Товары[[#This Row],[SubGroup]],Product_Structure[Subgroup],0)),"")</f>
        <v>AMA_C</v>
      </c>
      <c r="G49" s="113" t="str">
        <f>IFERROR(INDEX(Product_Structure[Product group name ENG],MATCH(Товары[[#This Row],[SubGroup]],Product_Structure[Subgroup],0)),"")</f>
        <v>Accessories, Manual, Accessories</v>
      </c>
      <c r="H49" s="113" t="str">
        <f>IFERROR(INDEX(Product_Structure[Generic Name (long)3],MATCH(Товары[[#This Row],[SubGroup]],Product_Structure[Subgroup],0)),"")</f>
        <v>Перчатки садовые</v>
      </c>
      <c r="I49" s="36">
        <v>9242</v>
      </c>
      <c r="J49" s="36" t="str">
        <f>IFERROR(INDEX(Product_Structure[Generic Name (long)],MATCH(Товары[[#This Row],[SubGroup]],Product_Structure[Subgroup],0)),"")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Row],[SubGroup]],DIY!$B:$C,2,FALSE),0)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3" t="str">
        <f>IFERROR(INDEX(Product_Structure[SuperCategory],MATCH(Товары[[#This Row],[SubGroup]],Product_Structure[Subgroup],0)),"")</f>
        <v>A</v>
      </c>
      <c r="D50" s="113" t="str">
        <f>IFERROR(INDEX(Product_Structure[SuperCategory Name ENG],MATCH(Товары[[#This Row],[SubGroup]],Product_Structure[Subgroup],0)),"")</f>
        <v>Hand&amp;Cutting tools, Accessories</v>
      </c>
      <c r="E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" s="113" t="str">
        <f>IFERROR(INDEX(Product_Structure[Product group],MATCH(Товары[[#This Row],[SubGroup]],Product_Structure[Subgroup],0)),"")</f>
        <v>AMA_C</v>
      </c>
      <c r="G50" s="113" t="str">
        <f>IFERROR(INDEX(Product_Structure[Product group name ENG],MATCH(Товары[[#This Row],[SubGroup]],Product_Structure[Subgroup],0)),"")</f>
        <v>Accessories, Manual, Accessories</v>
      </c>
      <c r="H50" s="113" t="str">
        <f>IFERROR(INDEX(Product_Structure[Generic Name (long)3],MATCH(Товары[[#This Row],[SubGroup]],Product_Structure[Subgroup],0)),"")</f>
        <v>Перчатки садовые</v>
      </c>
      <c r="I50" s="36">
        <v>9242</v>
      </c>
      <c r="J50" s="36" t="str">
        <f>IFERROR(INDEX(Product_Structure[Generic Name (long)],MATCH(Товары[[#This Row],[SubGroup]],Product_Structure[Subgroup],0)),"")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Row],[SubGroup]],DIY!$B:$C,2,FALSE),0)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3" t="str">
        <f>IFERROR(INDEX(Product_Structure[SuperCategory],MATCH(Товары[[#This Row],[SubGroup]],Product_Structure[Subgroup],0)),"")</f>
        <v>A</v>
      </c>
      <c r="D51" s="113" t="str">
        <f>IFERROR(INDEX(Product_Structure[SuperCategory Name ENG],MATCH(Товары[[#This Row],[SubGroup]],Product_Structure[Subgroup],0)),"")</f>
        <v>Hand&amp;Cutting tools, Accessories</v>
      </c>
      <c r="E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" s="113" t="str">
        <f>IFERROR(INDEX(Product_Structure[Product group],MATCH(Товары[[#This Row],[SubGroup]],Product_Structure[Subgroup],0)),"")</f>
        <v>AMA_C</v>
      </c>
      <c r="G51" s="113" t="str">
        <f>IFERROR(INDEX(Product_Structure[Product group name ENG],MATCH(Товары[[#This Row],[SubGroup]],Product_Structure[Subgroup],0)),"")</f>
        <v>Accessories, Manual, Accessories</v>
      </c>
      <c r="H51" s="113" t="str">
        <f>IFERROR(INDEX(Product_Structure[Generic Name (long)3],MATCH(Товары[[#This Row],[SubGroup]],Product_Structure[Subgroup],0)),"")</f>
        <v>Перчатки садовые</v>
      </c>
      <c r="I51" s="36">
        <v>9242</v>
      </c>
      <c r="J51" s="36" t="str">
        <f>IFERROR(INDEX(Product_Structure[Generic Name (long)],MATCH(Товары[[#This Row],[SubGroup]],Product_Structure[Subgroup],0)),"")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Row],[SubGroup]],DIY!$B:$C,2,FALSE),0)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3" t="str">
        <f>IFERROR(INDEX(Product_Structure[SuperCategory],MATCH(Товары[[#This Row],[SubGroup]],Product_Structure[Subgroup],0)),"")</f>
        <v>A</v>
      </c>
      <c r="D52" s="113" t="str">
        <f>IFERROR(INDEX(Product_Structure[SuperCategory Name ENG],MATCH(Товары[[#This Row],[SubGroup]],Product_Structure[Subgroup],0)),"")</f>
        <v>Hand&amp;Cutting tools, Accessories</v>
      </c>
      <c r="E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" s="113" t="str">
        <f>IFERROR(INDEX(Product_Structure[Product group],MATCH(Товары[[#This Row],[SubGroup]],Product_Structure[Subgroup],0)),"")</f>
        <v>AMA_C</v>
      </c>
      <c r="G52" s="113" t="str">
        <f>IFERROR(INDEX(Product_Structure[Product group name ENG],MATCH(Товары[[#This Row],[SubGroup]],Product_Structure[Subgroup],0)),"")</f>
        <v>Accessories, Manual, Accessories</v>
      </c>
      <c r="H52" s="113" t="str">
        <f>IFERROR(INDEX(Product_Structure[Generic Name (long)3],MATCH(Товары[[#This Row],[SubGroup]],Product_Structure[Subgroup],0)),"")</f>
        <v>Перчатки садовые</v>
      </c>
      <c r="I52" s="36">
        <v>9242</v>
      </c>
      <c r="J52" s="36" t="str">
        <f>IFERROR(INDEX(Product_Structure[Generic Name (long)],MATCH(Товары[[#This Row],[SubGroup]],Product_Structure[Subgroup],0)),"")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Row],[SubGroup]],DIY!$B:$C,2,FALSE),0)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3" t="str">
        <f>IFERROR(INDEX(Product_Structure[SuperCategory],MATCH(Товары[[#This Row],[SubGroup]],Product_Structure[Subgroup],0)),"")</f>
        <v>A</v>
      </c>
      <c r="D53" s="113" t="str">
        <f>IFERROR(INDEX(Product_Structure[SuperCategory Name ENG],MATCH(Товары[[#This Row],[SubGroup]],Product_Structure[Subgroup],0)),"")</f>
        <v>Hand&amp;Cutting tools, Accessories</v>
      </c>
      <c r="E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" s="113" t="str">
        <f>IFERROR(INDEX(Product_Structure[Product group],MATCH(Товары[[#This Row],[SubGroup]],Product_Structure[Subgroup],0)),"")</f>
        <v>AMA_C</v>
      </c>
      <c r="G53" s="113" t="str">
        <f>IFERROR(INDEX(Product_Structure[Product group name ENG],MATCH(Товары[[#This Row],[SubGroup]],Product_Structure[Subgroup],0)),"")</f>
        <v>Accessories, Manual, Accessories</v>
      </c>
      <c r="H53" s="113" t="str">
        <f>IFERROR(INDEX(Product_Structure[Generic Name (long)3],MATCH(Товары[[#This Row],[SubGroup]],Product_Structure[Subgroup],0)),"")</f>
        <v>Перчатки садовые</v>
      </c>
      <c r="I53" s="36">
        <v>9242</v>
      </c>
      <c r="J53" s="36" t="str">
        <f>IFERROR(INDEX(Product_Structure[Generic Name (long)],MATCH(Товары[[#This Row],[SubGroup]],Product_Structure[Subgroup],0)),"")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Row],[SubGroup]],DIY!$B:$C,2,FALSE),0)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3" t="str">
        <f>IFERROR(INDEX(Product_Structure[SuperCategory],MATCH(Товары[[#This Row],[SubGroup]],Product_Structure[Subgroup],0)),"")</f>
        <v>A</v>
      </c>
      <c r="D54" s="113" t="str">
        <f>IFERROR(INDEX(Product_Structure[SuperCategory Name ENG],MATCH(Товары[[#This Row],[SubGroup]],Product_Structure[Subgroup],0)),"")</f>
        <v>Hand&amp;Cutting tools, Accessories</v>
      </c>
      <c r="E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" s="113" t="str">
        <f>IFERROR(INDEX(Product_Structure[Product group],MATCH(Товары[[#This Row],[SubGroup]],Product_Structure[Subgroup],0)),"")</f>
        <v>AMA_C</v>
      </c>
      <c r="G54" s="113" t="str">
        <f>IFERROR(INDEX(Product_Structure[Product group name ENG],MATCH(Товары[[#This Row],[SubGroup]],Product_Structure[Subgroup],0)),"")</f>
        <v>Accessories, Manual, Accessories</v>
      </c>
      <c r="H54" s="113" t="str">
        <f>IFERROR(INDEX(Product_Structure[Generic Name (long)3],MATCH(Товары[[#This Row],[SubGroup]],Product_Structure[Subgroup],0)),"")</f>
        <v>Перчатки садовые</v>
      </c>
      <c r="I54" s="36">
        <v>9242</v>
      </c>
      <c r="J54" s="36" t="str">
        <f>IFERROR(INDEX(Product_Structure[Generic Name (long)],MATCH(Товары[[#This Row],[SubGroup]],Product_Structure[Subgroup],0)),"")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Row],[SubGroup]],DIY!$B:$C,2,FALSE),0)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3" t="str">
        <f>IFERROR(INDEX(Product_Structure[SuperCategory],MATCH(Товары[[#This Row],[SubGroup]],Product_Structure[Subgroup],0)),"")</f>
        <v>A</v>
      </c>
      <c r="D55" s="113" t="str">
        <f>IFERROR(INDEX(Product_Structure[SuperCategory Name ENG],MATCH(Товары[[#This Row],[SubGroup]],Product_Structure[Subgroup],0)),"")</f>
        <v>Hand&amp;Cutting tools, Accessories</v>
      </c>
      <c r="E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" s="113" t="str">
        <f>IFERROR(INDEX(Product_Structure[Product group],MATCH(Товары[[#This Row],[SubGroup]],Product_Structure[Subgroup],0)),"")</f>
        <v>AMA_C</v>
      </c>
      <c r="G55" s="113" t="str">
        <f>IFERROR(INDEX(Product_Structure[Product group name ENG],MATCH(Товары[[#This Row],[SubGroup]],Product_Structure[Subgroup],0)),"")</f>
        <v>Accessories, Manual, Accessories</v>
      </c>
      <c r="H55" s="113" t="str">
        <f>IFERROR(INDEX(Product_Structure[Generic Name (long)3],MATCH(Товары[[#This Row],[SubGroup]],Product_Structure[Subgroup],0)),"")</f>
        <v>Перчатки садовые</v>
      </c>
      <c r="I55" s="36">
        <v>9242</v>
      </c>
      <c r="J55" s="36" t="str">
        <f>IFERROR(INDEX(Product_Structure[Generic Name (long)],MATCH(Товары[[#This Row],[SubGroup]],Product_Structure[Subgroup],0)),"")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Row],[SubGroup]],DIY!$B:$C,2,FALSE),0)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3" t="str">
        <f>IFERROR(INDEX(Product_Structure[SuperCategory],MATCH(Товары[[#This Row],[SubGroup]],Product_Structure[Subgroup],0)),"")</f>
        <v>A</v>
      </c>
      <c r="D56" s="113" t="str">
        <f>IFERROR(INDEX(Product_Structure[SuperCategory Name ENG],MATCH(Товары[[#This Row],[SubGroup]],Product_Structure[Subgroup],0)),"")</f>
        <v>Hand&amp;Cutting tools, Accessories</v>
      </c>
      <c r="E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6" s="113" t="str">
        <f>IFERROR(INDEX(Product_Structure[Product group],MATCH(Товары[[#This Row],[SubGroup]],Product_Structure[Subgroup],0)),"")</f>
        <v>AMA_C</v>
      </c>
      <c r="G56" s="113" t="str">
        <f>IFERROR(INDEX(Product_Structure[Product group name ENG],MATCH(Товары[[#This Row],[SubGroup]],Product_Structure[Subgroup],0)),"")</f>
        <v>Accessories, Manual, Accessories</v>
      </c>
      <c r="H56" s="113" t="str">
        <f>IFERROR(INDEX(Product_Structure[Generic Name (long)3],MATCH(Товары[[#This Row],[SubGroup]],Product_Structure[Subgroup],0)),"")</f>
        <v>Перчатки садовые</v>
      </c>
      <c r="I56" s="36">
        <v>9242</v>
      </c>
      <c r="J56" s="36" t="str">
        <f>IFERROR(INDEX(Product_Structure[Generic Name (long)],MATCH(Товары[[#This Row],[SubGroup]],Product_Structure[Subgroup],0)),"")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Row],[SubGroup]],DIY!$B:$C,2,FALSE),0)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3" t="str">
        <f>IFERROR(INDEX(Product_Structure[SuperCategory],MATCH(Товары[[#This Row],[SubGroup]],Product_Structure[Subgroup],0)),"")</f>
        <v>A</v>
      </c>
      <c r="D57" s="113" t="str">
        <f>IFERROR(INDEX(Product_Structure[SuperCategory Name ENG],MATCH(Товары[[#This Row],[SubGroup]],Product_Structure[Subgroup],0)),"")</f>
        <v>Hand&amp;Cutting tools, Accessories</v>
      </c>
      <c r="E5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7" s="113" t="str">
        <f>IFERROR(INDEX(Product_Structure[Product group],MATCH(Товары[[#This Row],[SubGroup]],Product_Structure[Subgroup],0)),"")</f>
        <v>AMA_C</v>
      </c>
      <c r="G57" s="113" t="str">
        <f>IFERROR(INDEX(Product_Structure[Product group name ENG],MATCH(Товары[[#This Row],[SubGroup]],Product_Structure[Subgroup],0)),"")</f>
        <v>Accessories, Manual, Accessories</v>
      </c>
      <c r="H57" s="113" t="str">
        <f>IFERROR(INDEX(Product_Structure[Generic Name (long)3],MATCH(Товары[[#This Row],[SubGroup]],Product_Structure[Subgroup],0)),"")</f>
        <v>Перчатки садовые</v>
      </c>
      <c r="I57" s="36">
        <v>9242</v>
      </c>
      <c r="J57" s="36" t="str">
        <f>IFERROR(INDEX(Product_Structure[Generic Name (long)],MATCH(Товары[[#This Row],[SubGroup]],Product_Structure[Subgroup],0)),"")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Row],[SubGroup]],DIY!$B:$C,2,FALSE),0)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3" t="str">
        <f>IFERROR(INDEX(Product_Structure[SuperCategory],MATCH(Товары[[#This Row],[SubGroup]],Product_Structure[Subgroup],0)),"")</f>
        <v>A</v>
      </c>
      <c r="D58" s="113" t="str">
        <f>IFERROR(INDEX(Product_Structure[SuperCategory Name ENG],MATCH(Товары[[#This Row],[SubGroup]],Product_Structure[Subgroup],0)),"")</f>
        <v>Hand&amp;Cutting tools, Accessories</v>
      </c>
      <c r="E5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8" s="113" t="str">
        <f>IFERROR(INDEX(Product_Structure[Product group],MATCH(Товары[[#This Row],[SubGroup]],Product_Structure[Subgroup],0)),"")</f>
        <v>AMA_C</v>
      </c>
      <c r="G58" s="113" t="str">
        <f>IFERROR(INDEX(Product_Structure[Product group name ENG],MATCH(Товары[[#This Row],[SubGroup]],Product_Structure[Subgroup],0)),"")</f>
        <v>Accessories, Manual, Accessories</v>
      </c>
      <c r="H58" s="113" t="str">
        <f>IFERROR(INDEX(Product_Structure[Generic Name (long)3],MATCH(Товары[[#This Row],[SubGroup]],Product_Structure[Subgroup],0)),"")</f>
        <v>Перчатки садовые</v>
      </c>
      <c r="I58" s="36">
        <v>9242</v>
      </c>
      <c r="J58" s="36" t="str">
        <f>IFERROR(INDEX(Product_Structure[Generic Name (long)],MATCH(Товары[[#This Row],[SubGroup]],Product_Structure[Subgroup],0)),"")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Row],[SubGroup]],DIY!$B:$C,2,FALSE),0)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3" t="str">
        <f>IFERROR(INDEX(Product_Structure[SuperCategory],MATCH(Товары[[#This Row],[SubGroup]],Product_Structure[Subgroup],0)),"")</f>
        <v>A</v>
      </c>
      <c r="D59" s="113" t="str">
        <f>IFERROR(INDEX(Product_Structure[SuperCategory Name ENG],MATCH(Товары[[#This Row],[SubGroup]],Product_Structure[Subgroup],0)),"")</f>
        <v>Hand&amp;Cutting tools, Accessories</v>
      </c>
      <c r="E5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9" s="113" t="str">
        <f>IFERROR(INDEX(Product_Structure[Product group],MATCH(Товары[[#This Row],[SubGroup]],Product_Structure[Subgroup],0)),"")</f>
        <v>AMA_C</v>
      </c>
      <c r="G59" s="113" t="str">
        <f>IFERROR(INDEX(Product_Structure[Product group name ENG],MATCH(Товары[[#This Row],[SubGroup]],Product_Structure[Subgroup],0)),"")</f>
        <v>Accessories, Manual, Accessories</v>
      </c>
      <c r="H59" s="113" t="str">
        <f>IFERROR(INDEX(Product_Structure[Generic Name (long)3],MATCH(Товары[[#This Row],[SubGroup]],Product_Structure[Subgroup],0)),"")</f>
        <v>Перчатки садовые</v>
      </c>
      <c r="I59" s="36">
        <v>9242</v>
      </c>
      <c r="J59" s="36" t="str">
        <f>IFERROR(INDEX(Product_Structure[Generic Name (long)],MATCH(Товары[[#This Row],[SubGroup]],Product_Structure[Subgroup],0)),"")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Row],[SubGroup]],DIY!$B:$C,2,FALSE),0)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3" t="str">
        <f>IFERROR(INDEX(Product_Structure[SuperCategory],MATCH(Товары[[#This Row],[SubGroup]],Product_Structure[Subgroup],0)),"")</f>
        <v>A</v>
      </c>
      <c r="D60" s="113" t="str">
        <f>IFERROR(INDEX(Product_Structure[SuperCategory Name ENG],MATCH(Товары[[#This Row],[SubGroup]],Product_Structure[Subgroup],0)),"")</f>
        <v>Hand&amp;Cutting tools, Accessories</v>
      </c>
      <c r="E6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0" s="113" t="str">
        <f>IFERROR(INDEX(Product_Structure[Product group],MATCH(Товары[[#This Row],[SubGroup]],Product_Structure[Subgroup],0)),"")</f>
        <v>AMA_C</v>
      </c>
      <c r="G60" s="113" t="str">
        <f>IFERROR(INDEX(Product_Structure[Product group name ENG],MATCH(Товары[[#This Row],[SubGroup]],Product_Structure[Subgroup],0)),"")</f>
        <v>Accessories, Manual, Accessories</v>
      </c>
      <c r="H60" s="113" t="str">
        <f>IFERROR(INDEX(Product_Structure[Generic Name (long)3],MATCH(Товары[[#This Row],[SubGroup]],Product_Structure[Subgroup],0)),"")</f>
        <v>Перчатки садовые</v>
      </c>
      <c r="I60" s="36">
        <v>9242</v>
      </c>
      <c r="J60" s="36" t="str">
        <f>IFERROR(INDEX(Product_Structure[Generic Name (long)],MATCH(Товары[[#This Row],[SubGroup]],Product_Structure[Subgroup],0)),"")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Row],[SubGroup]],DIY!$B:$C,2,FALSE),0)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3" t="str">
        <f>IFERROR(INDEX(Product_Structure[SuperCategory],MATCH(Товары[[#This Row],[SubGroup]],Product_Structure[Subgroup],0)),"")</f>
        <v>A</v>
      </c>
      <c r="D61" s="113" t="str">
        <f>IFERROR(INDEX(Product_Structure[SuperCategory Name ENG],MATCH(Товары[[#This Row],[SubGroup]],Product_Structure[Subgroup],0)),"")</f>
        <v>Hand&amp;Cutting tools, Accessories</v>
      </c>
      <c r="E6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1" s="113" t="str">
        <f>IFERROR(INDEX(Product_Structure[Product group],MATCH(Товары[[#This Row],[SubGroup]],Product_Structure[Subgroup],0)),"")</f>
        <v>AMA_C</v>
      </c>
      <c r="G61" s="113" t="str">
        <f>IFERROR(INDEX(Product_Structure[Product group name ENG],MATCH(Товары[[#This Row],[SubGroup]],Product_Structure[Subgroup],0)),"")</f>
        <v>Accessories, Manual, Accessories</v>
      </c>
      <c r="H61" s="113" t="str">
        <f>IFERROR(INDEX(Product_Structure[Generic Name (long)3],MATCH(Товары[[#This Row],[SubGroup]],Product_Structure[Subgroup],0)),"")</f>
        <v>Перчатки садовые</v>
      </c>
      <c r="I61" s="36">
        <v>9242</v>
      </c>
      <c r="J61" s="36" t="str">
        <f>IFERROR(INDEX(Product_Structure[Generic Name (long)],MATCH(Товары[[#This Row],[SubGroup]],Product_Structure[Subgroup],0)),"")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Row],[SubGroup]],DIY!$B:$C,2,FALSE),0)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3" t="str">
        <f>IFERROR(INDEX(Product_Structure[SuperCategory],MATCH(Товары[[#This Row],[SubGroup]],Product_Structure[Subgroup],0)),"")</f>
        <v>A</v>
      </c>
      <c r="D62" s="113" t="str">
        <f>IFERROR(INDEX(Product_Structure[SuperCategory Name ENG],MATCH(Товары[[#This Row],[SubGroup]],Product_Structure[Subgroup],0)),"")</f>
        <v>Hand&amp;Cutting tools, Accessories</v>
      </c>
      <c r="E6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2" s="113" t="str">
        <f>IFERROR(INDEX(Product_Structure[Product group],MATCH(Товары[[#This Row],[SubGroup]],Product_Structure[Subgroup],0)),"")</f>
        <v>AMA_C</v>
      </c>
      <c r="G62" s="113" t="str">
        <f>IFERROR(INDEX(Product_Structure[Product group name ENG],MATCH(Товары[[#This Row],[SubGroup]],Product_Structure[Subgroup],0)),"")</f>
        <v>Accessories, Manual, Accessories</v>
      </c>
      <c r="H62" s="113" t="str">
        <f>IFERROR(INDEX(Product_Structure[Generic Name (long)3],MATCH(Товары[[#This Row],[SubGroup]],Product_Structure[Subgroup],0)),"")</f>
        <v>Перчатки садовые</v>
      </c>
      <c r="I62" s="36">
        <v>9242</v>
      </c>
      <c r="J62" s="36" t="str">
        <f>IFERROR(INDEX(Product_Structure[Generic Name (long)],MATCH(Товары[[#This Row],[SubGroup]],Product_Structure[Subgroup],0)),"")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Row],[SubGroup]],DIY!$B:$C,2,FALSE),0)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3" t="str">
        <f>IFERROR(INDEX(Product_Structure[SuperCategory],MATCH(Товары[[#This Row],[SubGroup]],Product_Structure[Subgroup],0)),"")</f>
        <v>A</v>
      </c>
      <c r="D63" s="113" t="str">
        <f>IFERROR(INDEX(Product_Structure[SuperCategory Name ENG],MATCH(Товары[[#This Row],[SubGroup]],Product_Structure[Subgroup],0)),"")</f>
        <v>Hand&amp;Cutting tools, Accessories</v>
      </c>
      <c r="E6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3" s="113" t="str">
        <f>IFERROR(INDEX(Product_Structure[Product group],MATCH(Товары[[#This Row],[SubGroup]],Product_Structure[Subgroup],0)),"")</f>
        <v>AMA_C</v>
      </c>
      <c r="G63" s="113" t="str">
        <f>IFERROR(INDEX(Product_Structure[Product group name ENG],MATCH(Товары[[#This Row],[SubGroup]],Product_Structure[Subgroup],0)),"")</f>
        <v>Accessories, Manual, Accessories</v>
      </c>
      <c r="H63" s="113" t="str">
        <f>IFERROR(INDEX(Product_Structure[Generic Name (long)3],MATCH(Товары[[#This Row],[SubGroup]],Product_Structure[Subgroup],0)),"")</f>
        <v>Перчатки садовые</v>
      </c>
      <c r="I63" s="36">
        <v>9242</v>
      </c>
      <c r="J63" s="36" t="str">
        <f>IFERROR(INDEX(Product_Structure[Generic Name (long)],MATCH(Товары[[#This Row],[SubGroup]],Product_Structure[Subgroup],0)),"")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Row],[SubGroup]],DIY!$B:$C,2,FALSE),0)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3" t="str">
        <f>IFERROR(INDEX(Product_Structure[SuperCategory],MATCH(Товары[[#This Row],[SubGroup]],Product_Structure[Subgroup],0)),"")</f>
        <v>A</v>
      </c>
      <c r="D64" s="113" t="str">
        <f>IFERROR(INDEX(Product_Structure[SuperCategory Name ENG],MATCH(Товары[[#This Row],[SubGroup]],Product_Structure[Subgroup],0)),"")</f>
        <v>Hand&amp;Cutting tools, Accessories</v>
      </c>
      <c r="E6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4" s="113" t="str">
        <f>IFERROR(INDEX(Product_Structure[Product group],MATCH(Товары[[#This Row],[SubGroup]],Product_Structure[Subgroup],0)),"")</f>
        <v>AMA_C</v>
      </c>
      <c r="G64" s="113" t="str">
        <f>IFERROR(INDEX(Product_Structure[Product group name ENG],MATCH(Товары[[#This Row],[SubGroup]],Product_Structure[Subgroup],0)),"")</f>
        <v>Accessories, Manual, Accessories</v>
      </c>
      <c r="H64" s="113" t="str">
        <f>IFERROR(INDEX(Product_Structure[Generic Name (long)3],MATCH(Товары[[#This Row],[SubGroup]],Product_Structure[Subgroup],0)),"")</f>
        <v>Перчатки садовые</v>
      </c>
      <c r="I64" s="36">
        <v>9242</v>
      </c>
      <c r="J64" s="36" t="str">
        <f>IFERROR(INDEX(Product_Structure[Generic Name (long)],MATCH(Товары[[#This Row],[SubGroup]],Product_Structure[Subgroup],0)),"")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Row],[SubGroup]],DIY!$B:$C,2,FALSE),0)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3" t="str">
        <f>IFERROR(INDEX(Product_Structure[SuperCategory],MATCH(Товары[[#This Row],[SubGroup]],Product_Structure[Subgroup],0)),"")</f>
        <v>A</v>
      </c>
      <c r="D65" s="113" t="str">
        <f>IFERROR(INDEX(Product_Structure[SuperCategory Name ENG],MATCH(Товары[[#This Row],[SubGroup]],Product_Structure[Subgroup],0)),"")</f>
        <v>Hand&amp;Cutting tools, Accessories</v>
      </c>
      <c r="E6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5" s="113" t="str">
        <f>IFERROR(INDEX(Product_Structure[Product group],MATCH(Товары[[#This Row],[SubGroup]],Product_Structure[Subgroup],0)),"")</f>
        <v>AMA_C</v>
      </c>
      <c r="G65" s="113" t="str">
        <f>IFERROR(INDEX(Product_Structure[Product group name ENG],MATCH(Товары[[#This Row],[SubGroup]],Product_Structure[Subgroup],0)),"")</f>
        <v>Accessories, Manual, Accessories</v>
      </c>
      <c r="H65" s="113" t="str">
        <f>IFERROR(INDEX(Product_Structure[Generic Name (long)3],MATCH(Товары[[#This Row],[SubGroup]],Product_Structure[Subgroup],0)),"")</f>
        <v>Перчатки садовые</v>
      </c>
      <c r="I65" s="36">
        <v>9242</v>
      </c>
      <c r="J65" s="36" t="str">
        <f>IFERROR(INDEX(Product_Structure[Generic Name (long)],MATCH(Товары[[#This Row],[SubGroup]],Product_Structure[Subgroup],0)),"")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Row],[SubGroup]],DIY!$B:$C,2,FALSE),0)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3" t="str">
        <f>IFERROR(INDEX(Product_Structure[SuperCategory],MATCH(Товары[[#This Row],[SubGroup]],Product_Structure[Subgroup],0)),"")</f>
        <v>A</v>
      </c>
      <c r="D66" s="113" t="str">
        <f>IFERROR(INDEX(Product_Structure[SuperCategory Name ENG],MATCH(Товары[[#This Row],[SubGroup]],Product_Structure[Subgroup],0)),"")</f>
        <v>Hand&amp;Cutting tools, Accessories</v>
      </c>
      <c r="E6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6" s="113" t="str">
        <f>IFERROR(INDEX(Product_Structure[Product group],MATCH(Товары[[#This Row],[SubGroup]],Product_Structure[Subgroup],0)),"")</f>
        <v>AMA_C</v>
      </c>
      <c r="G66" s="113" t="str">
        <f>IFERROR(INDEX(Product_Structure[Product group name ENG],MATCH(Товары[[#This Row],[SubGroup]],Product_Structure[Subgroup],0)),"")</f>
        <v>Accessories, Manual, Accessories</v>
      </c>
      <c r="H66" s="113" t="str">
        <f>IFERROR(INDEX(Product_Structure[Generic Name (long)3],MATCH(Товары[[#This Row],[SubGroup]],Product_Structure[Subgroup],0)),"")</f>
        <v>Перчатки садовые</v>
      </c>
      <c r="I66" s="36">
        <v>9242</v>
      </c>
      <c r="J66" s="36" t="str">
        <f>IFERROR(INDEX(Product_Structure[Generic Name (long)],MATCH(Товары[[#This Row],[SubGroup]],Product_Structure[Subgroup],0)),"")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Row],[SubGroup]],DIY!$B:$C,2,FALSE),0)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3" t="str">
        <f>IFERROR(INDEX(Product_Structure[SuperCategory],MATCH(Товары[[#This Row],[SubGroup]],Product_Structure[Subgroup],0)),"")</f>
        <v>A</v>
      </c>
      <c r="D67" s="113" t="str">
        <f>IFERROR(INDEX(Product_Structure[SuperCategory Name ENG],MATCH(Товары[[#This Row],[SubGroup]],Product_Structure[Subgroup],0)),"")</f>
        <v>Hand&amp;Cutting tools, Accessories</v>
      </c>
      <c r="E6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7" s="113" t="str">
        <f>IFERROR(INDEX(Product_Structure[Product group],MATCH(Товары[[#This Row],[SubGroup]],Product_Structure[Subgroup],0)),"")</f>
        <v>AMA_C</v>
      </c>
      <c r="G67" s="113" t="str">
        <f>IFERROR(INDEX(Product_Structure[Product group name ENG],MATCH(Товары[[#This Row],[SubGroup]],Product_Structure[Subgroup],0)),"")</f>
        <v>Accessories, Manual, Accessories</v>
      </c>
      <c r="H67" s="113" t="str">
        <f>IFERROR(INDEX(Product_Structure[Generic Name (long)3],MATCH(Товары[[#This Row],[SubGroup]],Product_Structure[Subgroup],0)),"")</f>
        <v>Перчатки садовые</v>
      </c>
      <c r="I67" s="36">
        <v>9242</v>
      </c>
      <c r="J67" s="36" t="str">
        <f>IFERROR(INDEX(Product_Structure[Generic Name (long)],MATCH(Товары[[#This Row],[SubGroup]],Product_Structure[Subgroup],0)),"")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Row],[SubGroup]],DIY!$B:$C,2,FALSE),0)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3" t="str">
        <f>IFERROR(INDEX(Product_Structure[SuperCategory],MATCH(Товары[[#This Row],[SubGroup]],Product_Structure[Subgroup],0)),"")</f>
        <v>A</v>
      </c>
      <c r="D68" s="113" t="str">
        <f>IFERROR(INDEX(Product_Structure[SuperCategory Name ENG],MATCH(Товары[[#This Row],[SubGroup]],Product_Structure[Subgroup],0)),"")</f>
        <v>Hand&amp;Cutting tools, Accessories</v>
      </c>
      <c r="E6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8" s="113" t="str">
        <f>IFERROR(INDEX(Product_Structure[Product group],MATCH(Товары[[#This Row],[SubGroup]],Product_Structure[Subgroup],0)),"")</f>
        <v>AMA_C</v>
      </c>
      <c r="G68" s="113" t="str">
        <f>IFERROR(INDEX(Product_Structure[Product group name ENG],MATCH(Товары[[#This Row],[SubGroup]],Product_Structure[Subgroup],0)),"")</f>
        <v>Accessories, Manual, Accessories</v>
      </c>
      <c r="H68" s="113" t="str">
        <f>IFERROR(INDEX(Product_Structure[Generic Name (long)3],MATCH(Товары[[#This Row],[SubGroup]],Product_Structure[Subgroup],0)),"")</f>
        <v>Пружины</v>
      </c>
      <c r="I68" s="36">
        <v>9291</v>
      </c>
      <c r="J68" s="36" t="str">
        <f>IFERROR(INDEX(Product_Structure[Generic Name (long)],MATCH(Товары[[#This Row],[SubGroup]],Product_Structure[Subgroup],0)),"")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Row],[SubGroup]],DIY!$B:$C,2,FALSE),0)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3" t="str">
        <f>IFERROR(INDEX(Product_Structure[SuperCategory],MATCH(Товары[[#This Row],[SubGroup]],Product_Structure[Subgroup],0)),"")</f>
        <v>A</v>
      </c>
      <c r="D69" s="113" t="str">
        <f>IFERROR(INDEX(Product_Structure[SuperCategory Name ENG],MATCH(Товары[[#This Row],[SubGroup]],Product_Structure[Subgroup],0)),"")</f>
        <v>Hand&amp;Cutting tools, Accessories</v>
      </c>
      <c r="E6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69" s="113" t="str">
        <f>IFERROR(INDEX(Product_Structure[Product group],MATCH(Товары[[#This Row],[SubGroup]],Product_Structure[Subgroup],0)),"")</f>
        <v>AMA_C</v>
      </c>
      <c r="G69" s="113" t="str">
        <f>IFERROR(INDEX(Product_Structure[Product group name ENG],MATCH(Товары[[#This Row],[SubGroup]],Product_Structure[Subgroup],0)),"")</f>
        <v>Accessories, Manual, Accessories</v>
      </c>
      <c r="H69" s="113" t="str">
        <f>IFERROR(INDEX(Product_Structure[Generic Name (long)3],MATCH(Товары[[#This Row],[SubGroup]],Product_Structure[Subgroup],0)),"")</f>
        <v>Пружины</v>
      </c>
      <c r="I69" s="36">
        <v>9291</v>
      </c>
      <c r="J69" s="36" t="str">
        <f>IFERROR(INDEX(Product_Structure[Generic Name (long)],MATCH(Товары[[#This Row],[SubGroup]],Product_Structure[Subgroup],0)),"")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Row],[SubGroup]],DIY!$B:$C,2,FALSE),0)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3" t="str">
        <f>IFERROR(INDEX(Product_Structure[SuperCategory],MATCH(Товары[[#This Row],[SubGroup]],Product_Structure[Subgroup],0)),"")</f>
        <v>A</v>
      </c>
      <c r="D70" s="113" t="str">
        <f>IFERROR(INDEX(Product_Structure[SuperCategory Name ENG],MATCH(Товары[[#This Row],[SubGroup]],Product_Structure[Subgroup],0)),"")</f>
        <v>Hand&amp;Cutting tools, Accessories</v>
      </c>
      <c r="E7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0" s="113" t="str">
        <f>IFERROR(INDEX(Product_Structure[Product group],MATCH(Товары[[#This Row],[SubGroup]],Product_Structure[Subgroup],0)),"")</f>
        <v>AMA_C</v>
      </c>
      <c r="G70" s="113" t="str">
        <f>IFERROR(INDEX(Product_Structure[Product group name ENG],MATCH(Товары[[#This Row],[SubGroup]],Product_Structure[Subgroup],0)),"")</f>
        <v>Accessories, Manual, Accessories</v>
      </c>
      <c r="H70" s="113" t="str">
        <f>IFERROR(INDEX(Product_Structure[Generic Name (long)3],MATCH(Товары[[#This Row],[SubGroup]],Product_Structure[Subgroup],0)),"")</f>
        <v>Пружины</v>
      </c>
      <c r="I70" s="36">
        <v>9291</v>
      </c>
      <c r="J70" s="36" t="str">
        <f>IFERROR(INDEX(Product_Structure[Generic Name (long)],MATCH(Товары[[#This Row],[SubGroup]],Product_Structure[Subgroup],0)),"")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Row],[SubGroup]],DIY!$B:$C,2,FALSE),0)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3" t="str">
        <f>IFERROR(INDEX(Product_Structure[SuperCategory],MATCH(Товары[[#This Row],[SubGroup]],Product_Structure[Subgroup],0)),"")</f>
        <v>A</v>
      </c>
      <c r="D71" s="113" t="str">
        <f>IFERROR(INDEX(Product_Structure[SuperCategory Name ENG],MATCH(Товары[[#This Row],[SubGroup]],Product_Structure[Subgroup],0)),"")</f>
        <v>Hand&amp;Cutting tools, Accessories</v>
      </c>
      <c r="E7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1" s="113" t="str">
        <f>IFERROR(INDEX(Product_Structure[Product group],MATCH(Товары[[#This Row],[SubGroup]],Product_Structure[Subgroup],0)),"")</f>
        <v>AMA_C</v>
      </c>
      <c r="G71" s="113" t="str">
        <f>IFERROR(INDEX(Product_Structure[Product group name ENG],MATCH(Товары[[#This Row],[SubGroup]],Product_Structure[Subgroup],0)),"")</f>
        <v>Accessories, Manual, Accessories</v>
      </c>
      <c r="H71" s="113" t="str">
        <f>IFERROR(INDEX(Product_Structure[Generic Name (long)3],MATCH(Товары[[#This Row],[SubGroup]],Product_Structure[Subgroup],0)),"")</f>
        <v>Пружины</v>
      </c>
      <c r="I71" s="36">
        <v>9291</v>
      </c>
      <c r="J71" s="36" t="str">
        <f>IFERROR(INDEX(Product_Structure[Generic Name (long)],MATCH(Товары[[#This Row],[SubGroup]],Product_Structure[Subgroup],0)),"")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Row],[SubGroup]],DIY!$B:$C,2,FALSE),0)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3" t="str">
        <f>IFERROR(INDEX(Product_Structure[SuperCategory],MATCH(Товары[[#This Row],[SubGroup]],Product_Structure[Subgroup],0)),"")</f>
        <v>A</v>
      </c>
      <c r="D72" s="113" t="str">
        <f>IFERROR(INDEX(Product_Structure[SuperCategory Name ENG],MATCH(Товары[[#This Row],[SubGroup]],Product_Structure[Subgroup],0)),"")</f>
        <v>Hand&amp;Cutting tools, Accessories</v>
      </c>
      <c r="E7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2" s="113" t="str">
        <f>IFERROR(INDEX(Product_Structure[Product group],MATCH(Товары[[#This Row],[SubGroup]],Product_Structure[Subgroup],0)),"")</f>
        <v>AMA_C</v>
      </c>
      <c r="G72" s="113" t="str">
        <f>IFERROR(INDEX(Product_Structure[Product group name ENG],MATCH(Товары[[#This Row],[SubGroup]],Product_Structure[Subgroup],0)),"")</f>
        <v>Accessories, Manual, Accessories</v>
      </c>
      <c r="H72" s="113" t="str">
        <f>IFERROR(INDEX(Product_Structure[Generic Name (long)3],MATCH(Товары[[#This Row],[SubGroup]],Product_Structure[Subgroup],0)),"")</f>
        <v>Пружины</v>
      </c>
      <c r="I72" s="36">
        <v>9291</v>
      </c>
      <c r="J72" s="36" t="str">
        <f>IFERROR(INDEX(Product_Structure[Generic Name (long)],MATCH(Товары[[#This Row],[SubGroup]],Product_Structure[Subgroup],0)),"")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Row],[SubGroup]],DIY!$B:$C,2,FALSE),0)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3" t="str">
        <f>IFERROR(INDEX(Product_Structure[SuperCategory],MATCH(Товары[[#This Row],[SubGroup]],Product_Structure[Subgroup],0)),"")</f>
        <v>A</v>
      </c>
      <c r="D73" s="113" t="str">
        <f>IFERROR(INDEX(Product_Structure[SuperCategory Name ENG],MATCH(Товары[[#This Row],[SubGroup]],Product_Structure[Subgroup],0)),"")</f>
        <v>Hand&amp;Cutting tools, Accessories</v>
      </c>
      <c r="E7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3" s="113" t="str">
        <f>IFERROR(INDEX(Product_Structure[Product group],MATCH(Товары[[#This Row],[SubGroup]],Product_Structure[Subgroup],0)),"")</f>
        <v>AMA_C</v>
      </c>
      <c r="G73" s="113" t="str">
        <f>IFERROR(INDEX(Product_Structure[Product group name ENG],MATCH(Товары[[#This Row],[SubGroup]],Product_Structure[Subgroup],0)),"")</f>
        <v>Accessories, Manual, Accessories</v>
      </c>
      <c r="H73" s="113" t="str">
        <f>IFERROR(INDEX(Product_Structure[Generic Name (long)3],MATCH(Товары[[#This Row],[SubGroup]],Product_Structure[Subgroup],0)),"")</f>
        <v>Пружины</v>
      </c>
      <c r="I73" s="36">
        <v>9291</v>
      </c>
      <c r="J73" s="36" t="str">
        <f>IFERROR(INDEX(Product_Structure[Generic Name (long)],MATCH(Товары[[#This Row],[SubGroup]],Product_Structure[Subgroup],0)),"")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Row],[SubGroup]],DIY!$B:$C,2,FALSE),0)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3" t="str">
        <f>IFERROR(INDEX(Product_Structure[SuperCategory],MATCH(Товары[[#This Row],[SubGroup]],Product_Structure[Subgroup],0)),"")</f>
        <v>A</v>
      </c>
      <c r="D74" s="113" t="str">
        <f>IFERROR(INDEX(Product_Structure[SuperCategory Name ENG],MATCH(Товары[[#This Row],[SubGroup]],Product_Structure[Subgroup],0)),"")</f>
        <v>Hand&amp;Cutting tools, Accessories</v>
      </c>
      <c r="E7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4" s="113" t="str">
        <f>IFERROR(INDEX(Product_Structure[Product group],MATCH(Товары[[#This Row],[SubGroup]],Product_Structure[Subgroup],0)),"")</f>
        <v>AMA_C</v>
      </c>
      <c r="G74" s="113" t="str">
        <f>IFERROR(INDEX(Product_Structure[Product group name ENG],MATCH(Товары[[#This Row],[SubGroup]],Product_Structure[Subgroup],0)),"")</f>
        <v>Accessories, Manual, Accessories</v>
      </c>
      <c r="H74" s="113" t="str">
        <f>IFERROR(INDEX(Product_Structure[Generic Name (long)3],MATCH(Товары[[#This Row],[SubGroup]],Product_Structure[Subgroup],0)),"")</f>
        <v>Пружины</v>
      </c>
      <c r="I74" s="36">
        <v>9291</v>
      </c>
      <c r="J74" s="36" t="str">
        <f>IFERROR(INDEX(Product_Structure[Generic Name (long)],MATCH(Товары[[#This Row],[SubGroup]],Product_Structure[Subgroup],0)),"")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Row],[SubGroup]],DIY!$B:$C,2,FALSE),0)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3" t="str">
        <f>IFERROR(INDEX(Product_Structure[SuperCategory],MATCH(Товары[[#This Row],[SubGroup]],Product_Structure[Subgroup],0)),"")</f>
        <v>A</v>
      </c>
      <c r="D75" s="113" t="str">
        <f>IFERROR(INDEX(Product_Structure[SuperCategory Name ENG],MATCH(Товары[[#This Row],[SubGroup]],Product_Structure[Subgroup],0)),"")</f>
        <v>Hand&amp;Cutting tools, Accessories</v>
      </c>
      <c r="E7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5" s="113" t="str">
        <f>IFERROR(INDEX(Product_Structure[Product group],MATCH(Товары[[#This Row],[SubGroup]],Product_Structure[Subgroup],0)),"")</f>
        <v>AMA_C</v>
      </c>
      <c r="G75" s="113" t="str">
        <f>IFERROR(INDEX(Product_Structure[Product group name ENG],MATCH(Товары[[#This Row],[SubGroup]],Product_Structure[Subgroup],0)),"")</f>
        <v>Accessories, Manual, Accessories</v>
      </c>
      <c r="H75" s="113" t="str">
        <f>IFERROR(INDEX(Product_Structure[Generic Name (long)3],MATCH(Товары[[#This Row],[SubGroup]],Product_Structure[Subgroup],0)),"")</f>
        <v>Пружины</v>
      </c>
      <c r="I75" s="36">
        <v>9291</v>
      </c>
      <c r="J75" s="36" t="str">
        <f>IFERROR(INDEX(Product_Structure[Generic Name (long)],MATCH(Товары[[#This Row],[SubGroup]],Product_Structure[Subgroup],0)),"")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Row],[SubGroup]],DIY!$B:$C,2,FALSE),0)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3" t="str">
        <f>IFERROR(INDEX(Product_Structure[SuperCategory],MATCH(Товары[[#This Row],[SubGroup]],Product_Structure[Subgroup],0)),"")</f>
        <v>A</v>
      </c>
      <c r="D76" s="113" t="str">
        <f>IFERROR(INDEX(Product_Structure[SuperCategory Name ENG],MATCH(Товары[[#This Row],[SubGroup]],Product_Structure[Subgroup],0)),"")</f>
        <v>Hand&amp;Cutting tools, Accessories</v>
      </c>
      <c r="E7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6" s="113" t="str">
        <f>IFERROR(INDEX(Product_Structure[Product group],MATCH(Товары[[#This Row],[SubGroup]],Product_Structure[Subgroup],0)),"")</f>
        <v>AMA_C</v>
      </c>
      <c r="G76" s="113" t="str">
        <f>IFERROR(INDEX(Product_Structure[Product group name ENG],MATCH(Товары[[#This Row],[SubGroup]],Product_Structure[Subgroup],0)),"")</f>
        <v>Accessories, Manual, Accessories</v>
      </c>
      <c r="H76" s="113" t="str">
        <f>IFERROR(INDEX(Product_Structure[Generic Name (long)3],MATCH(Товары[[#This Row],[SubGroup]],Product_Structure[Subgroup],0)),"")</f>
        <v>Пружины</v>
      </c>
      <c r="I76" s="36">
        <v>9291</v>
      </c>
      <c r="J76" s="36" t="str">
        <f>IFERROR(INDEX(Product_Structure[Generic Name (long)],MATCH(Товары[[#This Row],[SubGroup]],Product_Structure[Subgroup],0)),"")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Row],[SubGroup]],DIY!$B:$C,2,FALSE),0)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3" t="str">
        <f>IFERROR(INDEX(Product_Structure[SuperCategory],MATCH(Товары[[#This Row],[SubGroup]],Product_Structure[Subgroup],0)),"")</f>
        <v>A</v>
      </c>
      <c r="D77" s="113" t="str">
        <f>IFERROR(INDEX(Product_Structure[SuperCategory Name ENG],MATCH(Товары[[#This Row],[SubGroup]],Product_Structure[Subgroup],0)),"")</f>
        <v>Hand&amp;Cutting tools, Accessories</v>
      </c>
      <c r="E7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7" s="113" t="str">
        <f>IFERROR(INDEX(Product_Structure[Product group],MATCH(Товары[[#This Row],[SubGroup]],Product_Structure[Subgroup],0)),"")</f>
        <v>AMA_C</v>
      </c>
      <c r="G77" s="113" t="str">
        <f>IFERROR(INDEX(Product_Structure[Product group name ENG],MATCH(Товары[[#This Row],[SubGroup]],Product_Structure[Subgroup],0)),"")</f>
        <v>Accessories, Manual, Accessories</v>
      </c>
      <c r="H77" s="113" t="str">
        <f>IFERROR(INDEX(Product_Structure[Generic Name (long)3],MATCH(Товары[[#This Row],[SubGroup]],Product_Structure[Subgroup],0)),"")</f>
        <v>Пружины</v>
      </c>
      <c r="I77" s="36">
        <v>9291</v>
      </c>
      <c r="J77" s="36" t="str">
        <f>IFERROR(INDEX(Product_Structure[Generic Name (long)],MATCH(Товары[[#This Row],[SubGroup]],Product_Structure[Subgroup],0)),"")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Row],[SubGroup]],DIY!$B:$C,2,FALSE),0)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3" t="str">
        <f>IFERROR(INDEX(Product_Structure[SuperCategory],MATCH(Товары[[#This Row],[SubGroup]],Product_Structure[Subgroup],0)),"")</f>
        <v>A</v>
      </c>
      <c r="D78" s="113" t="str">
        <f>IFERROR(INDEX(Product_Structure[SuperCategory Name ENG],MATCH(Товары[[#This Row],[SubGroup]],Product_Structure[Subgroup],0)),"")</f>
        <v>Hand&amp;Cutting tools, Accessories</v>
      </c>
      <c r="E7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8" s="113" t="str">
        <f>IFERROR(INDEX(Product_Structure[Product group],MATCH(Товары[[#This Row],[SubGroup]],Product_Structure[Subgroup],0)),"")</f>
        <v>AMA_C</v>
      </c>
      <c r="G78" s="113" t="str">
        <f>IFERROR(INDEX(Product_Structure[Product group name ENG],MATCH(Товары[[#This Row],[SubGroup]],Product_Structure[Subgroup],0)),"")</f>
        <v>Accessories, Manual, Accessories</v>
      </c>
      <c r="H78" s="113" t="str">
        <f>IFERROR(INDEX(Product_Structure[Generic Name (long)3],MATCH(Товары[[#This Row],[SubGroup]],Product_Structure[Subgroup],0)),"")</f>
        <v>Разбрасыватели-сеялки</v>
      </c>
      <c r="I78" s="36">
        <v>9232</v>
      </c>
      <c r="J78" s="36" t="str">
        <f>IFERROR(INDEX(Product_Structure[Generic Name (long)],MATCH(Товары[[#This Row],[SubGroup]],Product_Structure[Subgroup],0)),"")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Row],[SubGroup]],DIY!$B:$C,2,FALSE),0)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3" t="str">
        <f>IFERROR(INDEX(Product_Structure[SuperCategory],MATCH(Товары[[#This Row],[SubGroup]],Product_Structure[Subgroup],0)),"")</f>
        <v>A</v>
      </c>
      <c r="D79" s="113" t="str">
        <f>IFERROR(INDEX(Product_Structure[SuperCategory Name ENG],MATCH(Товары[[#This Row],[SubGroup]],Product_Structure[Subgroup],0)),"")</f>
        <v>Hand&amp;Cutting tools, Accessories</v>
      </c>
      <c r="E7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9" s="113" t="str">
        <f>IFERROR(INDEX(Product_Structure[Product group],MATCH(Товары[[#This Row],[SubGroup]],Product_Structure[Subgroup],0)),"")</f>
        <v>AMA_C</v>
      </c>
      <c r="G79" s="113" t="str">
        <f>IFERROR(INDEX(Product_Structure[Product group name ENG],MATCH(Товары[[#This Row],[SubGroup]],Product_Structure[Subgroup],0)),"")</f>
        <v>Accessories, Manual, Accessories</v>
      </c>
      <c r="H79" s="113" t="str">
        <f>IFERROR(INDEX(Product_Structure[Generic Name (long)3],MATCH(Товары[[#This Row],[SubGroup]],Product_Structure[Subgroup],0)),"")</f>
        <v>Разбрасыватели-сеялки</v>
      </c>
      <c r="I79" s="36">
        <v>9232</v>
      </c>
      <c r="J79" s="36" t="str">
        <f>IFERROR(INDEX(Product_Structure[Generic Name (long)],MATCH(Товары[[#This Row],[SubGroup]],Product_Structure[Subgroup],0)),"")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Row],[SubGroup]],DIY!$B:$C,2,FALSE),0)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3" t="str">
        <f>IFERROR(INDEX(Product_Structure[SuperCategory],MATCH(Товары[[#This Row],[SubGroup]],Product_Structure[Subgroup],0)),"")</f>
        <v>A</v>
      </c>
      <c r="D80" s="113" t="str">
        <f>IFERROR(INDEX(Product_Structure[SuperCategory Name ENG],MATCH(Товары[[#This Row],[SubGroup]],Product_Structure[Subgroup],0)),"")</f>
        <v>Hand&amp;Cutting tools, Accessories</v>
      </c>
      <c r="E8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0" s="113" t="str">
        <f>IFERROR(INDEX(Product_Structure[Product group],MATCH(Товары[[#This Row],[SubGroup]],Product_Structure[Subgroup],0)),"")</f>
        <v>AMA_C</v>
      </c>
      <c r="G80" s="113" t="str">
        <f>IFERROR(INDEX(Product_Structure[Product group name ENG],MATCH(Товары[[#This Row],[SubGroup]],Product_Structure[Subgroup],0)),"")</f>
        <v>Accessories, Manual, Accessories</v>
      </c>
      <c r="H80" s="113" t="str">
        <f>IFERROR(INDEX(Product_Structure[Generic Name (long)3],MATCH(Товары[[#This Row],[SubGroup]],Product_Structure[Subgroup],0)),"")</f>
        <v>Разбрасыватели-сеялки</v>
      </c>
      <c r="I80" s="36">
        <v>9232</v>
      </c>
      <c r="J80" s="36" t="str">
        <f>IFERROR(INDEX(Product_Structure[Generic Name (long)],MATCH(Товары[[#This Row],[SubGroup]],Product_Structure[Subgroup],0)),"")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Row],[SubGroup]],DIY!$B:$C,2,FALSE),0)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3" t="str">
        <f>IFERROR(INDEX(Product_Structure[SuperCategory],MATCH(Товары[[#This Row],[SubGroup]],Product_Structure[Subgroup],0)),"")</f>
        <v>A</v>
      </c>
      <c r="D81" s="113" t="str">
        <f>IFERROR(INDEX(Product_Structure[SuperCategory Name ENG],MATCH(Товары[[#This Row],[SubGroup]],Product_Structure[Subgroup],0)),"")</f>
        <v>Hand&amp;Cutting tools, Accessories</v>
      </c>
      <c r="E8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1" s="113" t="str">
        <f>IFERROR(INDEX(Product_Structure[Product group],MATCH(Товары[[#This Row],[SubGroup]],Product_Structure[Subgroup],0)),"")</f>
        <v>AMA_C</v>
      </c>
      <c r="G81" s="113" t="str">
        <f>IFERROR(INDEX(Product_Structure[Product group name ENG],MATCH(Товары[[#This Row],[SubGroup]],Product_Structure[Subgroup],0)),"")</f>
        <v>Accessories, Manual, Accessories</v>
      </c>
      <c r="H81" s="113" t="str">
        <f>IFERROR(INDEX(Product_Structure[Generic Name (long)3],MATCH(Товары[[#This Row],[SubGroup]],Product_Structure[Subgroup],0)),"")</f>
        <v>Разбрасыватели-сеялки</v>
      </c>
      <c r="I81" s="36">
        <v>9232</v>
      </c>
      <c r="J81" s="36" t="str">
        <f>IFERROR(INDEX(Product_Structure[Generic Name (long)],MATCH(Товары[[#This Row],[SubGroup]],Product_Structure[Subgroup],0)),"")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Row],[SubGroup]],DIY!$B:$C,2,FALSE),0)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3" t="str">
        <f>IFERROR(INDEX(Product_Structure[SuperCategory],MATCH(Товары[[#This Row],[SubGroup]],Product_Structure[Subgroup],0)),"")</f>
        <v>A</v>
      </c>
      <c r="D82" s="113" t="str">
        <f>IFERROR(INDEX(Product_Structure[SuperCategory Name ENG],MATCH(Товары[[#This Row],[SubGroup]],Product_Structure[Subgroup],0)),"")</f>
        <v>Hand&amp;Cutting tools, Accessories</v>
      </c>
      <c r="E8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2" s="113" t="str">
        <f>IFERROR(INDEX(Product_Structure[Product group],MATCH(Товары[[#This Row],[SubGroup]],Product_Structure[Subgroup],0)),"")</f>
        <v>AMA_C</v>
      </c>
      <c r="G82" s="113" t="str">
        <f>IFERROR(INDEX(Product_Structure[Product group name ENG],MATCH(Товары[[#This Row],[SubGroup]],Product_Structure[Subgroup],0)),"")</f>
        <v>Accessories, Manual, Accessories</v>
      </c>
      <c r="H82" s="113" t="str">
        <f>IFERROR(INDEX(Product_Structure[Generic Name (long)3],MATCH(Товары[[#This Row],[SubGroup]],Product_Structure[Subgroup],0)),"")</f>
        <v>Разбрасыватели-сеялки</v>
      </c>
      <c r="I82" s="36">
        <v>9232</v>
      </c>
      <c r="J82" s="36" t="str">
        <f>IFERROR(INDEX(Product_Structure[Generic Name (long)],MATCH(Товары[[#This Row],[SubGroup]],Product_Structure[Subgroup],0)),"")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Row],[SubGroup]],DIY!$B:$C,2,FALSE),0)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3" t="str">
        <f>IFERROR(INDEX(Product_Structure[SuperCategory],MATCH(Товары[[#This Row],[SubGroup]],Product_Structure[Subgroup],0)),"")</f>
        <v>A</v>
      </c>
      <c r="D83" s="113" t="str">
        <f>IFERROR(INDEX(Product_Structure[SuperCategory Name ENG],MATCH(Товары[[#This Row],[SubGroup]],Product_Structure[Subgroup],0)),"")</f>
        <v>Hand&amp;Cutting tools, Accessories</v>
      </c>
      <c r="E8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3" s="113" t="str">
        <f>IFERROR(INDEX(Product_Structure[Product group],MATCH(Товары[[#This Row],[SubGroup]],Product_Structure[Subgroup],0)),"")</f>
        <v>AMA_C</v>
      </c>
      <c r="G83" s="113" t="str">
        <f>IFERROR(INDEX(Product_Structure[Product group name ENG],MATCH(Товары[[#This Row],[SubGroup]],Product_Structure[Subgroup],0)),"")</f>
        <v>Accessories, Manual, Accessories</v>
      </c>
      <c r="H83" s="113" t="str">
        <f>IFERROR(INDEX(Product_Structure[Generic Name (long)3],MATCH(Товары[[#This Row],[SubGroup]],Product_Structure[Subgroup],0)),"")</f>
        <v>Разбрасыватели-сеялки</v>
      </c>
      <c r="I83" s="36">
        <v>9232</v>
      </c>
      <c r="J83" s="36" t="str">
        <f>IFERROR(INDEX(Product_Structure[Generic Name (long)],MATCH(Товары[[#This Row],[SubGroup]],Product_Structure[Subgroup],0)),"")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Row],[SubGroup]],DIY!$B:$C,2,FALSE),0)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3" t="str">
        <f>IFERROR(INDEX(Product_Structure[SuperCategory],MATCH(Товары[[#This Row],[SubGroup]],Product_Structure[Subgroup],0)),"")</f>
        <v>A</v>
      </c>
      <c r="D84" s="113" t="str">
        <f>IFERROR(INDEX(Product_Structure[SuperCategory Name ENG],MATCH(Товары[[#This Row],[SubGroup]],Product_Structure[Subgroup],0)),"")</f>
        <v>Hand&amp;Cutting tools, Accessories</v>
      </c>
      <c r="E8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4" s="113" t="str">
        <f>IFERROR(INDEX(Product_Structure[Product group],MATCH(Товары[[#This Row],[SubGroup]],Product_Structure[Subgroup],0)),"")</f>
        <v>AMA_C</v>
      </c>
      <c r="G84" s="113" t="str">
        <f>IFERROR(INDEX(Product_Structure[Product group name ENG],MATCH(Товары[[#This Row],[SubGroup]],Product_Structure[Subgroup],0)),"")</f>
        <v>Accessories, Manual, Accessories</v>
      </c>
      <c r="H84" s="113" t="str">
        <f>IFERROR(INDEX(Product_Structure[Generic Name (long)3],MATCH(Товары[[#This Row],[SubGroup]],Product_Structure[Subgroup],0)),"")</f>
        <v>Разбрасыватели-сеялки</v>
      </c>
      <c r="I84" s="36">
        <v>9232</v>
      </c>
      <c r="J84" s="36" t="str">
        <f>IFERROR(INDEX(Product_Structure[Generic Name (long)],MATCH(Товары[[#This Row],[SubGroup]],Product_Structure[Subgroup],0)),"")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Row],[SubGroup]],DIY!$B:$C,2,FALSE),0)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3" t="str">
        <f>IFERROR(INDEX(Product_Structure[SuperCategory],MATCH(Товары[[#This Row],[SubGroup]],Product_Structure[Subgroup],0)),"")</f>
        <v>A</v>
      </c>
      <c r="D85" s="113" t="str">
        <f>IFERROR(INDEX(Product_Structure[SuperCategory Name ENG],MATCH(Товары[[#This Row],[SubGroup]],Product_Structure[Subgroup],0)),"")</f>
        <v>Hand&amp;Cutting tools, Accessories</v>
      </c>
      <c r="E8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5" s="113" t="str">
        <f>IFERROR(INDEX(Product_Structure[Product group],MATCH(Товары[[#This Row],[SubGroup]],Product_Structure[Subgroup],0)),"")</f>
        <v>AMA_C</v>
      </c>
      <c r="G85" s="113" t="str">
        <f>IFERROR(INDEX(Product_Structure[Product group name ENG],MATCH(Товары[[#This Row],[SubGroup]],Product_Structure[Subgroup],0)),"")</f>
        <v>Accessories, Manual, Accessories</v>
      </c>
      <c r="H85" s="113" t="str">
        <f>IFERROR(INDEX(Product_Structure[Generic Name (long)3],MATCH(Товары[[#This Row],[SubGroup]],Product_Structure[Subgroup],0)),"")</f>
        <v>Бордюры для клумб</v>
      </c>
      <c r="I85" s="36">
        <v>9233</v>
      </c>
      <c r="J85" s="36" t="str">
        <f>IFERROR(INDEX(Product_Structure[Generic Name (long)],MATCH(Товары[[#This Row],[SubGroup]],Product_Structure[Subgroup],0)),"")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Row],[SubGroup]],DIY!$B:$C,2,FALSE),0)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3" t="str">
        <f>IFERROR(INDEX(Product_Structure[SuperCategory],MATCH(Товары[[#This Row],[SubGroup]],Product_Structure[Subgroup],0)),"")</f>
        <v>A</v>
      </c>
      <c r="D86" s="113" t="str">
        <f>IFERROR(INDEX(Product_Structure[SuperCategory Name ENG],MATCH(Товары[[#This Row],[SubGroup]],Product_Structure[Subgroup],0)),"")</f>
        <v>Hand&amp;Cutting tools, Accessories</v>
      </c>
      <c r="E8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6" s="113" t="str">
        <f>IFERROR(INDEX(Product_Structure[Product group],MATCH(Товары[[#This Row],[SubGroup]],Product_Structure[Subgroup],0)),"")</f>
        <v>AMA_C</v>
      </c>
      <c r="G86" s="113" t="str">
        <f>IFERROR(INDEX(Product_Structure[Product group name ENG],MATCH(Товары[[#This Row],[SubGroup]],Product_Structure[Subgroup],0)),"")</f>
        <v>Accessories, Manual, Accessories</v>
      </c>
      <c r="H86" s="113" t="str">
        <f>IFERROR(INDEX(Product_Structure[Generic Name (long)3],MATCH(Товары[[#This Row],[SubGroup]],Product_Structure[Subgroup],0)),"")</f>
        <v>Бордюры для клумб</v>
      </c>
      <c r="I86" s="36">
        <v>9233</v>
      </c>
      <c r="J86" s="36" t="str">
        <f>IFERROR(INDEX(Product_Structure[Generic Name (long)],MATCH(Товары[[#This Row],[SubGroup]],Product_Structure[Subgroup],0)),"")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Row],[SubGroup]],DIY!$B:$C,2,FALSE),0)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3" t="str">
        <f>IFERROR(INDEX(Product_Structure[SuperCategory],MATCH(Товары[[#This Row],[SubGroup]],Product_Structure[Subgroup],0)),"")</f>
        <v>A</v>
      </c>
      <c r="D87" s="113" t="str">
        <f>IFERROR(INDEX(Product_Structure[SuperCategory Name ENG],MATCH(Товары[[#This Row],[SubGroup]],Product_Structure[Subgroup],0)),"")</f>
        <v>Hand&amp;Cutting tools, Accessories</v>
      </c>
      <c r="E8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7" s="113" t="str">
        <f>IFERROR(INDEX(Product_Structure[Product group],MATCH(Товары[[#This Row],[SubGroup]],Product_Structure[Subgroup],0)),"")</f>
        <v>AMA_C</v>
      </c>
      <c r="G87" s="113" t="str">
        <f>IFERROR(INDEX(Product_Structure[Product group name ENG],MATCH(Товары[[#This Row],[SubGroup]],Product_Structure[Subgroup],0)),"")</f>
        <v>Accessories, Manual, Accessories</v>
      </c>
      <c r="H87" s="113" t="str">
        <f>IFERROR(INDEX(Product_Structure[Generic Name (long)3],MATCH(Товары[[#This Row],[SubGroup]],Product_Structure[Subgroup],0)),"")</f>
        <v>Бордюры для клумб</v>
      </c>
      <c r="I87" s="36">
        <v>9233</v>
      </c>
      <c r="J87" s="36" t="str">
        <f>IFERROR(INDEX(Product_Structure[Generic Name (long)],MATCH(Товары[[#This Row],[SubGroup]],Product_Structure[Subgroup],0)),"")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Row],[SubGroup]],DIY!$B:$C,2,FALSE),0)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3" t="str">
        <f>IFERROR(INDEX(Product_Structure[SuperCategory],MATCH(Товары[[#This Row],[SubGroup]],Product_Structure[Subgroup],0)),"")</f>
        <v>A</v>
      </c>
      <c r="D88" s="113" t="str">
        <f>IFERROR(INDEX(Product_Structure[SuperCategory Name ENG],MATCH(Товары[[#This Row],[SubGroup]],Product_Structure[Subgroup],0)),"")</f>
        <v>Hand&amp;Cutting tools, Accessories</v>
      </c>
      <c r="E8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8" s="113" t="str">
        <f>IFERROR(INDEX(Product_Structure[Product group],MATCH(Товары[[#This Row],[SubGroup]],Product_Structure[Subgroup],0)),"")</f>
        <v>AMA_C</v>
      </c>
      <c r="G88" s="113" t="str">
        <f>IFERROR(INDEX(Product_Structure[Product group name ENG],MATCH(Товары[[#This Row],[SubGroup]],Product_Structure[Subgroup],0)),"")</f>
        <v>Accessories, Manual, Accessories</v>
      </c>
      <c r="H88" s="113" t="str">
        <f>IFERROR(INDEX(Product_Structure[Generic Name (long)3],MATCH(Товары[[#This Row],[SubGroup]],Product_Structure[Subgroup],0)),"")</f>
        <v>Бордюры для клумб</v>
      </c>
      <c r="I88" s="36">
        <v>9233</v>
      </c>
      <c r="J88" s="36" t="str">
        <f>IFERROR(INDEX(Product_Structure[Generic Name (long)],MATCH(Товары[[#This Row],[SubGroup]],Product_Structure[Subgroup],0)),"")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Row],[SubGroup]],DIY!$B:$C,2,FALSE),0)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3" t="str">
        <f>IFERROR(INDEX(Product_Structure[SuperCategory],MATCH(Товары[[#This Row],[SubGroup]],Product_Structure[Subgroup],0)),"")</f>
        <v>A</v>
      </c>
      <c r="D89" s="113" t="str">
        <f>IFERROR(INDEX(Product_Structure[SuperCategory Name ENG],MATCH(Товары[[#This Row],[SubGroup]],Product_Structure[Subgroup],0)),"")</f>
        <v>Hand&amp;Cutting tools, Accessories</v>
      </c>
      <c r="E8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89" s="113" t="str">
        <f>IFERROR(INDEX(Product_Structure[Product group],MATCH(Товары[[#This Row],[SubGroup]],Product_Structure[Subgroup],0)),"")</f>
        <v>AMA_C</v>
      </c>
      <c r="G89" s="113" t="str">
        <f>IFERROR(INDEX(Product_Structure[Product group name ENG],MATCH(Товары[[#This Row],[SubGroup]],Product_Structure[Subgroup],0)),"")</f>
        <v>Accessories, Manual, Accessories</v>
      </c>
      <c r="H89" s="113" t="str">
        <f>IFERROR(INDEX(Product_Structure[Generic Name (long)3],MATCH(Товары[[#This Row],[SubGroup]],Product_Structure[Subgroup],0)),"")</f>
        <v>Бордюры для клумб</v>
      </c>
      <c r="I89" s="36">
        <v>9233</v>
      </c>
      <c r="J89" s="36" t="str">
        <f>IFERROR(INDEX(Product_Structure[Generic Name (long)],MATCH(Товары[[#This Row],[SubGroup]],Product_Structure[Subgroup],0)),"")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Row],[SubGroup]],DIY!$B:$C,2,FALSE),0)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3" t="str">
        <f>IFERROR(INDEX(Product_Structure[SuperCategory],MATCH(Товары[[#This Row],[SubGroup]],Product_Structure[Subgroup],0)),"")</f>
        <v>A</v>
      </c>
      <c r="D90" s="113" t="str">
        <f>IFERROR(INDEX(Product_Structure[SuperCategory Name ENG],MATCH(Товары[[#This Row],[SubGroup]],Product_Structure[Subgroup],0)),"")</f>
        <v>Hand&amp;Cutting tools, Accessories</v>
      </c>
      <c r="E9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0" s="113" t="str">
        <f>IFERROR(INDEX(Product_Structure[Product group],MATCH(Товары[[#This Row],[SubGroup]],Product_Structure[Subgroup],0)),"")</f>
        <v>AMA_C</v>
      </c>
      <c r="G90" s="113" t="str">
        <f>IFERROR(INDEX(Product_Structure[Product group name ENG],MATCH(Товары[[#This Row],[SubGroup]],Product_Structure[Subgroup],0)),"")</f>
        <v>Accessories, Manual, Accessories</v>
      </c>
      <c r="H90" s="113" t="str">
        <f>IFERROR(INDEX(Product_Structure[Generic Name (long)3],MATCH(Товары[[#This Row],[SubGroup]],Product_Structure[Subgroup],0)),"")</f>
        <v>Бордюры для клумб</v>
      </c>
      <c r="I90" s="36">
        <v>9233</v>
      </c>
      <c r="J90" s="36" t="str">
        <f>IFERROR(INDEX(Product_Structure[Generic Name (long)],MATCH(Товары[[#This Row],[SubGroup]],Product_Structure[Subgroup],0)),"")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Row],[SubGroup]],DIY!$B:$C,2,FALSE),0)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3" t="str">
        <f>IFERROR(INDEX(Product_Structure[SuperCategory],MATCH(Товары[[#This Row],[SubGroup]],Product_Structure[Subgroup],0)),"")</f>
        <v>A</v>
      </c>
      <c r="D91" s="113" t="str">
        <f>IFERROR(INDEX(Product_Structure[SuperCategory Name ENG],MATCH(Товары[[#This Row],[SubGroup]],Product_Structure[Subgroup],0)),"")</f>
        <v>Hand&amp;Cutting tools, Accessories</v>
      </c>
      <c r="E9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1" s="113" t="str">
        <f>IFERROR(INDEX(Product_Structure[Product group],MATCH(Товары[[#This Row],[SubGroup]],Product_Structure[Subgroup],0)),"")</f>
        <v>AMA_C</v>
      </c>
      <c r="G91" s="113" t="str">
        <f>IFERROR(INDEX(Product_Structure[Product group name ENG],MATCH(Товары[[#This Row],[SubGroup]],Product_Structure[Subgroup],0)),"")</f>
        <v>Accessories, Manual, Accessories</v>
      </c>
      <c r="H91" s="113" t="str">
        <f>IFERROR(INDEX(Product_Structure[Generic Name (long)3],MATCH(Товары[[#This Row],[SubGroup]],Product_Structure[Subgroup],0)),"")</f>
        <v>Опрыскиватели ручные, помповые</v>
      </c>
      <c r="I91" s="36">
        <v>9241</v>
      </c>
      <c r="J91" s="36" t="str">
        <f>IFERROR(INDEX(Product_Structure[Generic Name (long)],MATCH(Товары[[#This Row],[SubGroup]],Product_Structure[Subgroup],0)),"")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Row],[SubGroup]],DIY!$B:$C,2,FALSE),0)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3" t="str">
        <f>IFERROR(INDEX(Product_Structure[SuperCategory],MATCH(Товары[[#This Row],[SubGroup]],Product_Structure[Subgroup],0)),"")</f>
        <v>A</v>
      </c>
      <c r="D92" s="113" t="str">
        <f>IFERROR(INDEX(Product_Structure[SuperCategory Name ENG],MATCH(Товары[[#This Row],[SubGroup]],Product_Structure[Subgroup],0)),"")</f>
        <v>Hand&amp;Cutting tools, Accessories</v>
      </c>
      <c r="E9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2" s="113" t="str">
        <f>IFERROR(INDEX(Product_Structure[Product group],MATCH(Товары[[#This Row],[SubGroup]],Product_Structure[Subgroup],0)),"")</f>
        <v>AMA_C</v>
      </c>
      <c r="G92" s="113" t="str">
        <f>IFERROR(INDEX(Product_Structure[Product group name ENG],MATCH(Товары[[#This Row],[SubGroup]],Product_Structure[Subgroup],0)),"")</f>
        <v>Accessories, Manual, Accessories</v>
      </c>
      <c r="H92" s="113" t="str">
        <f>IFERROR(INDEX(Product_Structure[Generic Name (long)3],MATCH(Товары[[#This Row],[SubGroup]],Product_Structure[Subgroup],0)),"")</f>
        <v>Опрыскиватели ручные, помповые</v>
      </c>
      <c r="I92" s="36">
        <v>9241</v>
      </c>
      <c r="J92" s="36" t="str">
        <f>IFERROR(INDEX(Product_Structure[Generic Name (long)],MATCH(Товары[[#This Row],[SubGroup]],Product_Structure[Subgroup],0)),"")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Row],[SubGroup]],DIY!$B:$C,2,FALSE),0)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3" t="str">
        <f>IFERROR(INDEX(Product_Structure[SuperCategory],MATCH(Товары[[#This Row],[SubGroup]],Product_Structure[Subgroup],0)),"")</f>
        <v>A</v>
      </c>
      <c r="D93" s="113" t="str">
        <f>IFERROR(INDEX(Product_Structure[SuperCategory Name ENG],MATCH(Товары[[#This Row],[SubGroup]],Product_Structure[Subgroup],0)),"")</f>
        <v>Hand&amp;Cutting tools, Accessories</v>
      </c>
      <c r="E9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3" s="113" t="str">
        <f>IFERROR(INDEX(Product_Structure[Product group],MATCH(Товары[[#This Row],[SubGroup]],Product_Structure[Subgroup],0)),"")</f>
        <v>AMA_C</v>
      </c>
      <c r="G93" s="113" t="str">
        <f>IFERROR(INDEX(Product_Structure[Product group name ENG],MATCH(Товары[[#This Row],[SubGroup]],Product_Structure[Subgroup],0)),"")</f>
        <v>Accessories, Manual, Accessories</v>
      </c>
      <c r="H93" s="113" t="str">
        <f>IFERROR(INDEX(Product_Structure[Generic Name (long)3],MATCH(Товары[[#This Row],[SubGroup]],Product_Structure[Subgroup],0)),"")</f>
        <v>Опрыскиватели ручные, помповые</v>
      </c>
      <c r="I93" s="36">
        <v>9241</v>
      </c>
      <c r="J93" s="36" t="str">
        <f>IFERROR(INDEX(Product_Structure[Generic Name (long)],MATCH(Товары[[#This Row],[SubGroup]],Product_Structure[Subgroup],0)),"")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Row],[SubGroup]],DIY!$B:$C,2,FALSE),0)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3" t="str">
        <f>IFERROR(INDEX(Product_Structure[SuperCategory],MATCH(Товары[[#This Row],[SubGroup]],Product_Structure[Subgroup],0)),"")</f>
        <v>A</v>
      </c>
      <c r="D94" s="113" t="str">
        <f>IFERROR(INDEX(Product_Structure[SuperCategory Name ENG],MATCH(Товары[[#This Row],[SubGroup]],Product_Structure[Subgroup],0)),"")</f>
        <v>Hand&amp;Cutting tools, Accessories</v>
      </c>
      <c r="E9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4" s="113" t="str">
        <f>IFERROR(INDEX(Product_Structure[Product group],MATCH(Товары[[#This Row],[SubGroup]],Product_Structure[Subgroup],0)),"")</f>
        <v>AMA_C</v>
      </c>
      <c r="G94" s="113" t="str">
        <f>IFERROR(INDEX(Product_Structure[Product group name ENG],MATCH(Товары[[#This Row],[SubGroup]],Product_Structure[Subgroup],0)),"")</f>
        <v>Accessories, Manual, Accessories</v>
      </c>
      <c r="H94" s="113" t="str">
        <f>IFERROR(INDEX(Product_Structure[Generic Name (long)3],MATCH(Товары[[#This Row],[SubGroup]],Product_Structure[Subgroup],0)),"")</f>
        <v>Опрыскиватели ручные, помповые</v>
      </c>
      <c r="I94" s="36">
        <v>9241</v>
      </c>
      <c r="J94" s="36" t="str">
        <f>IFERROR(INDEX(Product_Structure[Generic Name (long)],MATCH(Товары[[#This Row],[SubGroup]],Product_Structure[Subgroup],0)),"")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Row],[SubGroup]],DIY!$B:$C,2,FALSE),0)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3" t="str">
        <f>IFERROR(INDEX(Product_Structure[SuperCategory],MATCH(Товары[[#This Row],[SubGroup]],Product_Structure[Subgroup],0)),"")</f>
        <v>A</v>
      </c>
      <c r="D95" s="113" t="str">
        <f>IFERROR(INDEX(Product_Structure[SuperCategory Name ENG],MATCH(Товары[[#This Row],[SubGroup]],Product_Structure[Subgroup],0)),"")</f>
        <v>Hand&amp;Cutting tools, Accessories</v>
      </c>
      <c r="E9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5" s="113" t="str">
        <f>IFERROR(INDEX(Product_Structure[Product group],MATCH(Товары[[#This Row],[SubGroup]],Product_Structure[Subgroup],0)),"")</f>
        <v>AMA_C</v>
      </c>
      <c r="G95" s="113" t="str">
        <f>IFERROR(INDEX(Product_Structure[Product group name ENG],MATCH(Товары[[#This Row],[SubGroup]],Product_Structure[Subgroup],0)),"")</f>
        <v>Accessories, Manual, Accessories</v>
      </c>
      <c r="H95" s="113" t="str">
        <f>IFERROR(INDEX(Product_Structure[Generic Name (long)3],MATCH(Товары[[#This Row],[SubGroup]],Product_Structure[Subgroup],0)),"")</f>
        <v>Опрыскиватели ручные, помповые</v>
      </c>
      <c r="I95" s="36">
        <v>9241</v>
      </c>
      <c r="J95" s="36" t="str">
        <f>IFERROR(INDEX(Product_Structure[Generic Name (long)],MATCH(Товары[[#This Row],[SubGroup]],Product_Structure[Subgroup],0)),"")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Row],[SubGroup]],DIY!$B:$C,2,FALSE),0)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3" t="str">
        <f>IFERROR(INDEX(Product_Structure[SuperCategory],MATCH(Товары[[#This Row],[SubGroup]],Product_Structure[Subgroup],0)),"")</f>
        <v>A</v>
      </c>
      <c r="D96" s="113" t="str">
        <f>IFERROR(INDEX(Product_Structure[SuperCategory Name ENG],MATCH(Товары[[#This Row],[SubGroup]],Product_Structure[Subgroup],0)),"")</f>
        <v>Hand&amp;Cutting tools, Accessories</v>
      </c>
      <c r="E9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6" s="113" t="str">
        <f>IFERROR(INDEX(Product_Structure[Product group],MATCH(Товары[[#This Row],[SubGroup]],Product_Structure[Subgroup],0)),"")</f>
        <v>AMA_C</v>
      </c>
      <c r="G96" s="113" t="str">
        <f>IFERROR(INDEX(Product_Structure[Product group name ENG],MATCH(Товары[[#This Row],[SubGroup]],Product_Structure[Subgroup],0)),"")</f>
        <v>Accessories, Manual, Accessories</v>
      </c>
      <c r="H96" s="113" t="str">
        <f>IFERROR(INDEX(Product_Structure[Generic Name (long)3],MATCH(Товары[[#This Row],[SubGroup]],Product_Structure[Subgroup],0)),"")</f>
        <v>Опрыскиватели ручные, помповые</v>
      </c>
      <c r="I96" s="36">
        <v>9241</v>
      </c>
      <c r="J96" s="36" t="str">
        <f>IFERROR(INDEX(Product_Structure[Generic Name (long)],MATCH(Товары[[#This Row],[SubGroup]],Product_Structure[Subgroup],0)),"")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Row],[SubGroup]],DIY!$B:$C,2,FALSE),0)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3" t="str">
        <f>IFERROR(INDEX(Product_Structure[SuperCategory],MATCH(Товары[[#This Row],[SubGroup]],Product_Structure[Subgroup],0)),"")</f>
        <v>A</v>
      </c>
      <c r="D97" s="113" t="str">
        <f>IFERROR(INDEX(Product_Structure[SuperCategory Name ENG],MATCH(Товары[[#This Row],[SubGroup]],Product_Structure[Subgroup],0)),"")</f>
        <v>Hand&amp;Cutting tools, Accessories</v>
      </c>
      <c r="E9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7" s="113" t="str">
        <f>IFERROR(INDEX(Product_Structure[Product group],MATCH(Товары[[#This Row],[SubGroup]],Product_Structure[Subgroup],0)),"")</f>
        <v>AMA_C</v>
      </c>
      <c r="G97" s="113" t="str">
        <f>IFERROR(INDEX(Product_Structure[Product group name ENG],MATCH(Товары[[#This Row],[SubGroup]],Product_Structure[Subgroup],0)),"")</f>
        <v>Accessories, Manual, Accessories</v>
      </c>
      <c r="H97" s="113" t="str">
        <f>IFERROR(INDEX(Product_Structure[Generic Name (long)3],MATCH(Товары[[#This Row],[SubGroup]],Product_Structure[Subgroup],0)),"")</f>
        <v>Опрыскиватели ручные, помповые</v>
      </c>
      <c r="I97" s="36">
        <v>9241</v>
      </c>
      <c r="J97" s="36" t="str">
        <f>IFERROR(INDEX(Product_Structure[Generic Name (long)],MATCH(Товары[[#This Row],[SubGroup]],Product_Structure[Subgroup],0)),"")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Row],[SubGroup]],DIY!$B:$C,2,FALSE),0)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3" t="str">
        <f>IFERROR(INDEX(Product_Structure[SuperCategory],MATCH(Товары[[#This Row],[SubGroup]],Product_Structure[Subgroup],0)),"")</f>
        <v>A</v>
      </c>
      <c r="D98" s="113" t="str">
        <f>IFERROR(INDEX(Product_Structure[SuperCategory Name ENG],MATCH(Товары[[#This Row],[SubGroup]],Product_Structure[Subgroup],0)),"")</f>
        <v>Hand&amp;Cutting tools, Accessories</v>
      </c>
      <c r="E9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8" s="113" t="str">
        <f>IFERROR(INDEX(Product_Structure[Product group],MATCH(Товары[[#This Row],[SubGroup]],Product_Structure[Subgroup],0)),"")</f>
        <v>AMA_C</v>
      </c>
      <c r="G98" s="113" t="str">
        <f>IFERROR(INDEX(Product_Structure[Product group name ENG],MATCH(Товары[[#This Row],[SubGroup]],Product_Structure[Subgroup],0)),"")</f>
        <v>Accessories, Manual, Accessories</v>
      </c>
      <c r="H98" s="113" t="str">
        <f>IFERROR(INDEX(Product_Structure[Generic Name (long)3],MATCH(Товары[[#This Row],[SubGroup]],Product_Structure[Subgroup],0)),"")</f>
        <v>Опрыскиватели ручные, помповые</v>
      </c>
      <c r="I98" s="36">
        <v>9241</v>
      </c>
      <c r="J98" s="36" t="str">
        <f>IFERROR(INDEX(Product_Structure[Generic Name (long)],MATCH(Товары[[#This Row],[SubGroup]],Product_Structure[Subgroup],0)),"")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Row],[SubGroup]],DIY!$B:$C,2,FALSE),0)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3" t="str">
        <f>IFERROR(INDEX(Product_Structure[SuperCategory],MATCH(Товары[[#This Row],[SubGroup]],Product_Structure[Subgroup],0)),"")</f>
        <v>A</v>
      </c>
      <c r="D99" s="113" t="str">
        <f>IFERROR(INDEX(Product_Structure[SuperCategory Name ENG],MATCH(Товары[[#This Row],[SubGroup]],Product_Structure[Subgroup],0)),"")</f>
        <v>Hand&amp;Cutting tools, Accessories</v>
      </c>
      <c r="E9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99" s="113" t="str">
        <f>IFERROR(INDEX(Product_Structure[Product group],MATCH(Товары[[#This Row],[SubGroup]],Product_Structure[Subgroup],0)),"")</f>
        <v>AMA_C</v>
      </c>
      <c r="G99" s="113" t="str">
        <f>IFERROR(INDEX(Product_Structure[Product group name ENG],MATCH(Товары[[#This Row],[SubGroup]],Product_Structure[Subgroup],0)),"")</f>
        <v>Accessories, Manual, Accessories</v>
      </c>
      <c r="H99" s="113" t="str">
        <f>IFERROR(INDEX(Product_Structure[Generic Name (long)3],MATCH(Товары[[#This Row],[SubGroup]],Product_Structure[Subgroup],0)),"")</f>
        <v>Опрыскиватели ручные, помповые</v>
      </c>
      <c r="I99" s="36">
        <v>9241</v>
      </c>
      <c r="J99" s="36" t="str">
        <f>IFERROR(INDEX(Product_Structure[Generic Name (long)],MATCH(Товары[[#This Row],[SubGroup]],Product_Structure[Subgroup],0)),"")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Row],[SubGroup]],DIY!$B:$C,2,FALSE),0)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3" t="str">
        <f>IFERROR(INDEX(Product_Structure[SuperCategory],MATCH(Товары[[#This Row],[SubGroup]],Product_Structure[Subgroup],0)),"")</f>
        <v>A</v>
      </c>
      <c r="D100" s="113" t="str">
        <f>IFERROR(INDEX(Product_Structure[SuperCategory Name ENG],MATCH(Товары[[#This Row],[SubGroup]],Product_Structure[Subgroup],0)),"")</f>
        <v>Hand&amp;Cutting tools, Accessories</v>
      </c>
      <c r="E10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0" s="113" t="str">
        <f>IFERROR(INDEX(Product_Structure[Product group],MATCH(Товары[[#This Row],[SubGroup]],Product_Structure[Subgroup],0)),"")</f>
        <v>AMA_C</v>
      </c>
      <c r="G100" s="113" t="str">
        <f>IFERROR(INDEX(Product_Structure[Product group name ENG],MATCH(Товары[[#This Row],[SubGroup]],Product_Structure[Subgroup],0)),"")</f>
        <v>Accessories, Manual, Accessories</v>
      </c>
      <c r="H100" s="113" t="str">
        <f>IFERROR(INDEX(Product_Structure[Generic Name (long)3],MATCH(Товары[[#This Row],[SubGroup]],Product_Structure[Subgroup],0)),"")</f>
        <v>Опрыскиватели ручные, помповые</v>
      </c>
      <c r="I100" s="36">
        <v>9241</v>
      </c>
      <c r="J100" s="36" t="str">
        <f>IFERROR(INDEX(Product_Structure[Generic Name (long)],MATCH(Товары[[#This Row],[SubGroup]],Product_Structure[Subgroup],0)),"")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Row],[SubGroup]],DIY!$B:$C,2,FALSE),0)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3" t="str">
        <f>IFERROR(INDEX(Product_Structure[SuperCategory],MATCH(Товары[[#This Row],[SubGroup]],Product_Structure[Subgroup],0)),"")</f>
        <v>A</v>
      </c>
      <c r="D101" s="113" t="str">
        <f>IFERROR(INDEX(Product_Structure[SuperCategory Name ENG],MATCH(Товары[[#This Row],[SubGroup]],Product_Structure[Subgroup],0)),"")</f>
        <v>Hand&amp;Cutting tools, Accessories</v>
      </c>
      <c r="E10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1" s="113" t="str">
        <f>IFERROR(INDEX(Product_Structure[Product group],MATCH(Товары[[#This Row],[SubGroup]],Product_Structure[Subgroup],0)),"")</f>
        <v>AMA_C</v>
      </c>
      <c r="G101" s="113" t="str">
        <f>IFERROR(INDEX(Product_Structure[Product group name ENG],MATCH(Товары[[#This Row],[SubGroup]],Product_Structure[Subgroup],0)),"")</f>
        <v>Accessories, Manual, Accessories</v>
      </c>
      <c r="H101" s="113" t="str">
        <f>IFERROR(INDEX(Product_Structure[Generic Name (long)3],MATCH(Товары[[#This Row],[SubGroup]],Product_Structure[Subgroup],0)),"")</f>
        <v>Опрыскиватели ручные, помповые</v>
      </c>
      <c r="I101" s="36">
        <v>9241</v>
      </c>
      <c r="J101" s="36" t="str">
        <f>IFERROR(INDEX(Product_Structure[Generic Name (long)],MATCH(Товары[[#This Row],[SubGroup]],Product_Structure[Subgroup],0)),"")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Row],[SubGroup]],DIY!$B:$C,2,FALSE),0)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3" t="str">
        <f>IFERROR(INDEX(Product_Structure[SuperCategory],MATCH(Товары[[#This Row],[SubGroup]],Product_Structure[Subgroup],0)),"")</f>
        <v>A</v>
      </c>
      <c r="D102" s="113" t="str">
        <f>IFERROR(INDEX(Product_Structure[SuperCategory Name ENG],MATCH(Товары[[#This Row],[SubGroup]],Product_Structure[Subgroup],0)),"")</f>
        <v>Hand&amp;Cutting tools, Accessories</v>
      </c>
      <c r="E10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2" s="113" t="str">
        <f>IFERROR(INDEX(Product_Structure[Product group],MATCH(Товары[[#This Row],[SubGroup]],Product_Structure[Subgroup],0)),"")</f>
        <v>AMA_C</v>
      </c>
      <c r="G102" s="113" t="str">
        <f>IFERROR(INDEX(Product_Structure[Product group name ENG],MATCH(Товары[[#This Row],[SubGroup]],Product_Structure[Subgroup],0)),"")</f>
        <v>Accessories, Manual, Accessories</v>
      </c>
      <c r="H102" s="113" t="str">
        <f>IFERROR(INDEX(Product_Structure[Generic Name (long)3],MATCH(Товары[[#This Row],[SubGroup]],Product_Structure[Subgroup],0)),"")</f>
        <v>Опрыскиватели ручные, помповые</v>
      </c>
      <c r="I102" s="36">
        <v>9241</v>
      </c>
      <c r="J102" s="36" t="str">
        <f>IFERROR(INDEX(Product_Structure[Generic Name (long)],MATCH(Товары[[#This Row],[SubGroup]],Product_Structure[Subgroup],0)),"")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Row],[SubGroup]],DIY!$B:$C,2,FALSE),0)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3" t="str">
        <f>IFERROR(INDEX(Product_Structure[SuperCategory],MATCH(Товары[[#This Row],[SubGroup]],Product_Structure[Subgroup],0)),"")</f>
        <v>A</v>
      </c>
      <c r="D103" s="113" t="str">
        <f>IFERROR(INDEX(Product_Structure[SuperCategory Name ENG],MATCH(Товары[[#This Row],[SubGroup]],Product_Structure[Subgroup],0)),"")</f>
        <v>Hand&amp;Cutting tools, Accessories</v>
      </c>
      <c r="E10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3" s="113" t="str">
        <f>IFERROR(INDEX(Product_Structure[Product group],MATCH(Товары[[#This Row],[SubGroup]],Product_Structure[Subgroup],0)),"")</f>
        <v>AMA_C</v>
      </c>
      <c r="G103" s="113" t="str">
        <f>IFERROR(INDEX(Product_Structure[Product group name ENG],MATCH(Товары[[#This Row],[SubGroup]],Product_Structure[Subgroup],0)),"")</f>
        <v>Accessories, Manual, Accessories</v>
      </c>
      <c r="H103" s="113" t="str">
        <f>IFERROR(INDEX(Product_Structure[Generic Name (long)3],MATCH(Товары[[#This Row],[SubGroup]],Product_Structure[Subgroup],0)),"")</f>
        <v>Опрыскиватели ручные, помповые</v>
      </c>
      <c r="I103" s="36">
        <v>9241</v>
      </c>
      <c r="J103" s="36" t="str">
        <f>IFERROR(INDEX(Product_Structure[Generic Name (long)],MATCH(Товары[[#This Row],[SubGroup]],Product_Structure[Subgroup],0)),"")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Row],[SubGroup]],DIY!$B:$C,2,FALSE),0)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3" t="str">
        <f>IFERROR(INDEX(Product_Structure[SuperCategory],MATCH(Товары[[#This Row],[SubGroup]],Product_Structure[Subgroup],0)),"")</f>
        <v>A</v>
      </c>
      <c r="D104" s="113" t="str">
        <f>IFERROR(INDEX(Product_Structure[SuperCategory Name ENG],MATCH(Товары[[#This Row],[SubGroup]],Product_Structure[Subgroup],0)),"")</f>
        <v>Hand&amp;Cutting tools, Accessories</v>
      </c>
      <c r="E10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4" s="113" t="str">
        <f>IFERROR(INDEX(Product_Structure[Product group],MATCH(Товары[[#This Row],[SubGroup]],Product_Structure[Subgroup],0)),"")</f>
        <v>AMA_C</v>
      </c>
      <c r="G104" s="113" t="str">
        <f>IFERROR(INDEX(Product_Structure[Product group name ENG],MATCH(Товары[[#This Row],[SubGroup]],Product_Structure[Subgroup],0)),"")</f>
        <v>Accessories, Manual, Accessories</v>
      </c>
      <c r="H104" s="113" t="str">
        <f>IFERROR(INDEX(Product_Structure[Generic Name (long)3],MATCH(Товары[[#This Row],[SubGroup]],Product_Structure[Subgroup],0)),"")</f>
        <v>Опрыскиватели ручные, помповые</v>
      </c>
      <c r="I104" s="36">
        <v>9241</v>
      </c>
      <c r="J104" s="36" t="str">
        <f>IFERROR(INDEX(Product_Structure[Generic Name (long)],MATCH(Товары[[#This Row],[SubGroup]],Product_Structure[Subgroup],0)),"")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Row],[SubGroup]],DIY!$B:$C,2,FALSE),0)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3" t="str">
        <f>IFERROR(INDEX(Product_Structure[SuperCategory],MATCH(Товары[[#This Row],[SubGroup]],Product_Structure[Subgroup],0)),"")</f>
        <v>A</v>
      </c>
      <c r="D105" s="113" t="str">
        <f>IFERROR(INDEX(Product_Structure[SuperCategory Name ENG],MATCH(Товары[[#This Row],[SubGroup]],Product_Structure[Subgroup],0)),"")</f>
        <v>Hand&amp;Cutting tools, Accessories</v>
      </c>
      <c r="E10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5" s="113" t="str">
        <f>IFERROR(INDEX(Product_Structure[Product group],MATCH(Товары[[#This Row],[SubGroup]],Product_Structure[Subgroup],0)),"")</f>
        <v>AMA_C</v>
      </c>
      <c r="G105" s="113" t="str">
        <f>IFERROR(INDEX(Product_Structure[Product group name ENG],MATCH(Товары[[#This Row],[SubGroup]],Product_Structure[Subgroup],0)),"")</f>
        <v>Accessories, Manual, Accessories</v>
      </c>
      <c r="H105" s="113" t="str">
        <f>IFERROR(INDEX(Product_Structure[Generic Name (long)3],MATCH(Товары[[#This Row],[SubGroup]],Product_Structure[Subgroup],0)),"")</f>
        <v>Опрыскиватели ручные, помповые</v>
      </c>
      <c r="I105" s="36">
        <v>9241</v>
      </c>
      <c r="J105" s="36" t="str">
        <f>IFERROR(INDEX(Product_Structure[Generic Name (long)],MATCH(Товары[[#This Row],[SubGroup]],Product_Structure[Subgroup],0)),"")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Row],[SubGroup]],DIY!$B:$C,2,FALSE),0)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3" t="str">
        <f>IFERROR(INDEX(Product_Structure[SuperCategory],MATCH(Товары[[#This Row],[SubGroup]],Product_Structure[Subgroup],0)),"")</f>
        <v>A</v>
      </c>
      <c r="D106" s="113" t="str">
        <f>IFERROR(INDEX(Product_Structure[SuperCategory Name ENG],MATCH(Товары[[#This Row],[SubGroup]],Product_Structure[Subgroup],0)),"")</f>
        <v>Hand&amp;Cutting tools, Accessories</v>
      </c>
      <c r="E10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6" s="113" t="str">
        <f>IFERROR(INDEX(Product_Structure[Product group],MATCH(Товары[[#This Row],[SubGroup]],Product_Structure[Subgroup],0)),"")</f>
        <v>AMA_C</v>
      </c>
      <c r="G106" s="113" t="str">
        <f>IFERROR(INDEX(Product_Structure[Product group name ENG],MATCH(Товары[[#This Row],[SubGroup]],Product_Structure[Subgroup],0)),"")</f>
        <v>Accessories, Manual, Accessories</v>
      </c>
      <c r="H106" s="113" t="str">
        <f>IFERROR(INDEX(Product_Structure[Generic Name (long)3],MATCH(Товары[[#This Row],[SubGroup]],Product_Structure[Subgroup],0)),"")</f>
        <v>Опрыскиватели ручные, помповые</v>
      </c>
      <c r="I106" s="36">
        <v>9241</v>
      </c>
      <c r="J106" s="36" t="str">
        <f>IFERROR(INDEX(Product_Structure[Generic Name (long)],MATCH(Товары[[#This Row],[SubGroup]],Product_Structure[Subgroup],0)),"")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Row],[SubGroup]],DIY!$B:$C,2,FALSE),0)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3" t="str">
        <f>IFERROR(INDEX(Product_Structure[SuperCategory],MATCH(Товары[[#This Row],[SubGroup]],Product_Structure[Subgroup],0)),"")</f>
        <v>A</v>
      </c>
      <c r="D107" s="113" t="str">
        <f>IFERROR(INDEX(Product_Structure[SuperCategory Name ENG],MATCH(Товары[[#This Row],[SubGroup]],Product_Structure[Subgroup],0)),"")</f>
        <v>Hand&amp;Cutting tools, Accessories</v>
      </c>
      <c r="E10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7" s="113" t="str">
        <f>IFERROR(INDEX(Product_Structure[Product group],MATCH(Товары[[#This Row],[SubGroup]],Product_Structure[Subgroup],0)),"")</f>
        <v>AMA_C</v>
      </c>
      <c r="G107" s="113" t="str">
        <f>IFERROR(INDEX(Product_Structure[Product group name ENG],MATCH(Товары[[#This Row],[SubGroup]],Product_Structure[Subgroup],0)),"")</f>
        <v>Accessories, Manual, Accessories</v>
      </c>
      <c r="H107" s="113" t="str">
        <f>IFERROR(INDEX(Product_Structure[Generic Name (long)3],MATCH(Товары[[#This Row],[SubGroup]],Product_Structure[Subgroup],0)),"")</f>
        <v>Опрыскиватели ручные, помповые</v>
      </c>
      <c r="I107" s="36">
        <v>9241</v>
      </c>
      <c r="J107" s="36" t="str">
        <f>IFERROR(INDEX(Product_Structure[Generic Name (long)],MATCH(Товары[[#This Row],[SubGroup]],Product_Structure[Subgroup],0)),"")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Row],[SubGroup]],DIY!$B:$C,2,FALSE),0)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3" t="str">
        <f>IFERROR(INDEX(Product_Structure[SuperCategory],MATCH(Товары[[#This Row],[SubGroup]],Product_Structure[Subgroup],0)),"")</f>
        <v>A</v>
      </c>
      <c r="D108" s="113" t="str">
        <f>IFERROR(INDEX(Product_Structure[SuperCategory Name ENG],MATCH(Товары[[#This Row],[SubGroup]],Product_Structure[Subgroup],0)),"")</f>
        <v>Hand&amp;Cutting tools, Accessories</v>
      </c>
      <c r="E10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8" s="113" t="str">
        <f>IFERROR(INDEX(Product_Structure[Product group],MATCH(Товары[[#This Row],[SubGroup]],Product_Structure[Subgroup],0)),"")</f>
        <v>AMA_C</v>
      </c>
      <c r="G108" s="113" t="str">
        <f>IFERROR(INDEX(Product_Structure[Product group name ENG],MATCH(Товары[[#This Row],[SubGroup]],Product_Structure[Subgroup],0)),"")</f>
        <v>Accessories, Manual, Accessories</v>
      </c>
      <c r="H108" s="113" t="str">
        <f>IFERROR(INDEX(Product_Structure[Generic Name (long)3],MATCH(Товары[[#This Row],[SubGroup]],Product_Structure[Subgroup],0)),"")</f>
        <v>Опрыскиватели ручные, помповые</v>
      </c>
      <c r="I108" s="36">
        <v>9241</v>
      </c>
      <c r="J108" s="36" t="str">
        <f>IFERROR(INDEX(Product_Structure[Generic Name (long)],MATCH(Товары[[#This Row],[SubGroup]],Product_Structure[Subgroup],0)),"")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Row],[SubGroup]],DIY!$B:$C,2,FALSE),0)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3" t="str">
        <f>IFERROR(INDEX(Product_Structure[SuperCategory],MATCH(Товары[[#This Row],[SubGroup]],Product_Structure[Subgroup],0)),"")</f>
        <v>A</v>
      </c>
      <c r="D109" s="113" t="str">
        <f>IFERROR(INDEX(Product_Structure[SuperCategory Name ENG],MATCH(Товары[[#This Row],[SubGroup]],Product_Structure[Subgroup],0)),"")</f>
        <v>Hand&amp;Cutting tools, Accessories</v>
      </c>
      <c r="E10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09" s="113" t="str">
        <f>IFERROR(INDEX(Product_Structure[Product group],MATCH(Товары[[#This Row],[SubGroup]],Product_Structure[Subgroup],0)),"")</f>
        <v>AMA_C</v>
      </c>
      <c r="G109" s="113" t="str">
        <f>IFERROR(INDEX(Product_Structure[Product group name ENG],MATCH(Товары[[#This Row],[SubGroup]],Product_Structure[Subgroup],0)),"")</f>
        <v>Accessories, Manual, Accessories</v>
      </c>
      <c r="H109" s="113" t="str">
        <f>IFERROR(INDEX(Product_Structure[Generic Name (long)3],MATCH(Товары[[#This Row],[SubGroup]],Product_Structure[Subgroup],0)),"")</f>
        <v>Опрыскиватели ручные, помповые</v>
      </c>
      <c r="I109" s="36">
        <v>9241</v>
      </c>
      <c r="J109" s="36" t="str">
        <f>IFERROR(INDEX(Product_Structure[Generic Name (long)],MATCH(Товары[[#This Row],[SubGroup]],Product_Structure[Subgroup],0)),"")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Row],[SubGroup]],DIY!$B:$C,2,FALSE),0)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3" t="str">
        <f>IFERROR(INDEX(Product_Structure[SuperCategory],MATCH(Товары[[#This Row],[SubGroup]],Product_Structure[Subgroup],0)),"")</f>
        <v>A</v>
      </c>
      <c r="D110" s="113" t="str">
        <f>IFERROR(INDEX(Product_Structure[SuperCategory Name ENG],MATCH(Товары[[#This Row],[SubGroup]],Product_Structure[Subgroup],0)),"")</f>
        <v>Hand&amp;Cutting tools, Accessories</v>
      </c>
      <c r="E11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0" s="113" t="str">
        <f>IFERROR(INDEX(Product_Structure[Product group],MATCH(Товары[[#This Row],[SubGroup]],Product_Structure[Subgroup],0)),"")</f>
        <v>AMA_C</v>
      </c>
      <c r="G110" s="113" t="str">
        <f>IFERROR(INDEX(Product_Structure[Product group name ENG],MATCH(Товары[[#This Row],[SubGroup]],Product_Structure[Subgroup],0)),"")</f>
        <v>Accessories, Manual, Accessories</v>
      </c>
      <c r="H110" s="113" t="str">
        <f>IFERROR(INDEX(Product_Structure[Generic Name (long)3],MATCH(Товары[[#This Row],[SubGroup]],Product_Structure[Subgroup],0)),"")</f>
        <v>Разбрасыватели-сеялки</v>
      </c>
      <c r="I110" s="36">
        <v>9232</v>
      </c>
      <c r="J110" s="36" t="str">
        <f>IFERROR(INDEX(Product_Structure[Generic Name (long)],MATCH(Товары[[#This Row],[SubGroup]],Product_Structure[Subgroup],0)),"")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Row],[SubGroup]],DIY!$B:$C,2,FALSE),0)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3" t="str">
        <f>IFERROR(INDEX(Product_Structure[SuperCategory],MATCH(Товары[[#This Row],[SubGroup]],Product_Structure[Subgroup],0)),"")</f>
        <v>A</v>
      </c>
      <c r="D111" s="113" t="str">
        <f>IFERROR(INDEX(Product_Structure[SuperCategory Name ENG],MATCH(Товары[[#This Row],[SubGroup]],Product_Structure[Subgroup],0)),"")</f>
        <v>Hand&amp;Cutting tools, Accessories</v>
      </c>
      <c r="E11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1" s="113" t="str">
        <f>IFERROR(INDEX(Product_Structure[Product group],MATCH(Товары[[#This Row],[SubGroup]],Product_Structure[Subgroup],0)),"")</f>
        <v>AMA_C</v>
      </c>
      <c r="G111" s="113" t="str">
        <f>IFERROR(INDEX(Product_Structure[Product group name ENG],MATCH(Товары[[#This Row],[SubGroup]],Product_Structure[Subgroup],0)),"")</f>
        <v>Accessories, Manual, Accessories</v>
      </c>
      <c r="H111" s="113" t="str">
        <f>IFERROR(INDEX(Product_Structure[Generic Name (long)3],MATCH(Товары[[#This Row],[SubGroup]],Product_Structure[Subgroup],0)),"")</f>
        <v>Разбрасыватели-сеялки</v>
      </c>
      <c r="I111" s="36">
        <v>9232</v>
      </c>
      <c r="J111" s="36" t="str">
        <f>IFERROR(INDEX(Product_Structure[Generic Name (long)],MATCH(Товары[[#This Row],[SubGroup]],Product_Structure[Subgroup],0)),"")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Row],[SubGroup]],DIY!$B:$C,2,FALSE),0)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3" t="str">
        <f>IFERROR(INDEX(Product_Structure[SuperCategory],MATCH(Товары[[#This Row],[SubGroup]],Product_Structure[Subgroup],0)),"")</f>
        <v>A</v>
      </c>
      <c r="D112" s="113" t="str">
        <f>IFERROR(INDEX(Product_Structure[SuperCategory Name ENG],MATCH(Товары[[#This Row],[SubGroup]],Product_Structure[Subgroup],0)),"")</f>
        <v>Hand&amp;Cutting tools, Accessories</v>
      </c>
      <c r="E11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2" s="113" t="str">
        <f>IFERROR(INDEX(Product_Structure[Product group],MATCH(Товары[[#This Row],[SubGroup]],Product_Structure[Subgroup],0)),"")</f>
        <v>AMA_C</v>
      </c>
      <c r="G112" s="113" t="str">
        <f>IFERROR(INDEX(Product_Structure[Product group name ENG],MATCH(Товары[[#This Row],[SubGroup]],Product_Structure[Subgroup],0)),"")</f>
        <v>Accessories, Manual, Accessories</v>
      </c>
      <c r="H112" s="113" t="str">
        <f>IFERROR(INDEX(Product_Structure[Generic Name (long)3],MATCH(Товары[[#This Row],[SubGroup]],Product_Structure[Subgroup],0)),"")</f>
        <v>Перчатки садовые</v>
      </c>
      <c r="I112" s="36">
        <v>9242</v>
      </c>
      <c r="J112" s="36" t="str">
        <f>IFERROR(INDEX(Product_Structure[Generic Name (long)],MATCH(Товары[[#This Row],[SubGroup]],Product_Structure[Subgroup],0)),"")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Row],[SubGroup]],DIY!$B:$C,2,FALSE),0)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3" t="str">
        <f>IFERROR(INDEX(Product_Structure[SuperCategory],MATCH(Товары[[#This Row],[SubGroup]],Product_Structure[Subgroup],0)),"")</f>
        <v>A</v>
      </c>
      <c r="D113" s="113" t="str">
        <f>IFERROR(INDEX(Product_Structure[SuperCategory Name ENG],MATCH(Товары[[#This Row],[SubGroup]],Product_Structure[Subgroup],0)),"")</f>
        <v>Hand&amp;Cutting tools, Accessories</v>
      </c>
      <c r="E11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3" s="113" t="str">
        <f>IFERROR(INDEX(Product_Structure[Product group],MATCH(Товары[[#This Row],[SubGroup]],Product_Structure[Subgroup],0)),"")</f>
        <v>AMA_C</v>
      </c>
      <c r="G113" s="113" t="str">
        <f>IFERROR(INDEX(Product_Structure[Product group name ENG],MATCH(Товары[[#This Row],[SubGroup]],Product_Structure[Subgroup],0)),"")</f>
        <v>Accessories, Manual, Accessories</v>
      </c>
      <c r="H113" s="113" t="str">
        <f>IFERROR(INDEX(Product_Structure[Generic Name (long)3],MATCH(Товары[[#This Row],[SubGroup]],Product_Structure[Subgroup],0)),"")</f>
        <v>Опрыскиватели ручные, помповые</v>
      </c>
      <c r="I113" s="36">
        <v>9241</v>
      </c>
      <c r="J113" s="36" t="str">
        <f>IFERROR(INDEX(Product_Structure[Generic Name (long)],MATCH(Товары[[#This Row],[SubGroup]],Product_Structure[Subgroup],0)),"")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Row],[SubGroup]],DIY!$B:$C,2,FALSE),0)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3" t="str">
        <f>IFERROR(INDEX(Product_Structure[SuperCategory],MATCH(Товары[[#This Row],[SubGroup]],Product_Structure[Subgroup],0)),"")</f>
        <v>A</v>
      </c>
      <c r="D114" s="113" t="str">
        <f>IFERROR(INDEX(Product_Structure[SuperCategory Name ENG],MATCH(Товары[[#This Row],[SubGroup]],Product_Structure[Subgroup],0)),"")</f>
        <v>Hand&amp;Cutting tools, Accessories</v>
      </c>
      <c r="E11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4" s="113" t="str">
        <f>IFERROR(INDEX(Product_Structure[Product group],MATCH(Товары[[#This Row],[SubGroup]],Product_Structure[Subgroup],0)),"")</f>
        <v>AMA_C</v>
      </c>
      <c r="G114" s="113" t="str">
        <f>IFERROR(INDEX(Product_Structure[Product group name ENG],MATCH(Товары[[#This Row],[SubGroup]],Product_Structure[Subgroup],0)),"")</f>
        <v>Accessories, Manual, Accessories</v>
      </c>
      <c r="H114" s="113" t="str">
        <f>IFERROR(INDEX(Product_Structure[Generic Name (long)3],MATCH(Товары[[#This Row],[SubGroup]],Product_Structure[Subgroup],0)),"")</f>
        <v>Опрыскиватели ручные, помповые</v>
      </c>
      <c r="I114" s="36">
        <v>9241</v>
      </c>
      <c r="J114" s="36" t="str">
        <f>IFERROR(INDEX(Product_Structure[Generic Name (long)],MATCH(Товары[[#This Row],[SubGroup]],Product_Structure[Subgroup],0)),"")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Row],[SubGroup]],DIY!$B:$C,2,FALSE),0)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3" t="str">
        <f>IFERROR(INDEX(Product_Structure[SuperCategory],MATCH(Товары[[#This Row],[SubGroup]],Product_Structure[Subgroup],0)),"")</f>
        <v>A</v>
      </c>
      <c r="D115" s="113" t="str">
        <f>IFERROR(INDEX(Product_Structure[SuperCategory Name ENG],MATCH(Товары[[#This Row],[SubGroup]],Product_Structure[Subgroup],0)),"")</f>
        <v>Hand&amp;Cutting tools, Accessories</v>
      </c>
      <c r="E11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5" s="113" t="str">
        <f>IFERROR(INDEX(Product_Structure[Product group],MATCH(Товары[[#This Row],[SubGroup]],Product_Structure[Subgroup],0)),"")</f>
        <v>AMA_C</v>
      </c>
      <c r="G115" s="113" t="str">
        <f>IFERROR(INDEX(Product_Structure[Product group name ENG],MATCH(Товары[[#This Row],[SubGroup]],Product_Structure[Subgroup],0)),"")</f>
        <v>Accessories, Manual, Accessories</v>
      </c>
      <c r="H115" s="113" t="str">
        <f>IFERROR(INDEX(Product_Structure[Generic Name (long)3],MATCH(Товары[[#This Row],[SubGroup]],Product_Structure[Subgroup],0)),"")</f>
        <v>Опрыскиватели ручные, помповые</v>
      </c>
      <c r="I115" s="36">
        <v>9241</v>
      </c>
      <c r="J115" s="36" t="str">
        <f>IFERROR(INDEX(Product_Structure[Generic Name (long)],MATCH(Товары[[#This Row],[SubGroup]],Product_Structure[Subgroup],0)),"")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Row],[SubGroup]],DIY!$B:$C,2,FALSE),0)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3" t="str">
        <f>IFERROR(INDEX(Product_Structure[SuperCategory],MATCH(Товары[[#This Row],[SubGroup]],Product_Structure[Subgroup],0)),"")</f>
        <v>A</v>
      </c>
      <c r="D116" s="113" t="str">
        <f>IFERROR(INDEX(Product_Structure[SuperCategory Name ENG],MATCH(Товары[[#This Row],[SubGroup]],Product_Structure[Subgroup],0)),"")</f>
        <v>Hand&amp;Cutting tools, Accessories</v>
      </c>
      <c r="E1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6" s="113" t="str">
        <f>IFERROR(INDEX(Product_Structure[Product group],MATCH(Товары[[#This Row],[SubGroup]],Product_Structure[Subgroup],0)),"")</f>
        <v>AMA_C</v>
      </c>
      <c r="G116" s="113" t="str">
        <f>IFERROR(INDEX(Product_Structure[Product group name ENG],MATCH(Товары[[#This Row],[SubGroup]],Product_Structure[Subgroup],0)),"")</f>
        <v>Accessories, Manual, Accessories</v>
      </c>
      <c r="H116" s="113" t="str">
        <f>IFERROR(INDEX(Product_Structure[Generic Name (long)3],MATCH(Товары[[#This Row],[SubGroup]],Product_Structure[Subgroup],0)),"")</f>
        <v>Опрыскиватели ручные, помповые</v>
      </c>
      <c r="I116" s="36">
        <v>9241</v>
      </c>
      <c r="J116" s="36" t="str">
        <f>IFERROR(INDEX(Product_Structure[Generic Name (long)],MATCH(Товары[[#This Row],[SubGroup]],Product_Structure[Subgroup],0)),"")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Row],[SubGroup]],DIY!$B:$C,2,FALSE),0)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3" t="str">
        <f>IFERROR(INDEX(Product_Structure[SuperCategory],MATCH(Товары[[#This Row],[SubGroup]],Product_Structure[Subgroup],0)),"")</f>
        <v>A</v>
      </c>
      <c r="D117" s="113" t="str">
        <f>IFERROR(INDEX(Product_Structure[SuperCategory Name ENG],MATCH(Товары[[#This Row],[SubGroup]],Product_Structure[Subgroup],0)),"")</f>
        <v>Hand&amp;Cutting tools, Accessories</v>
      </c>
      <c r="E1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7" s="113" t="str">
        <f>IFERROR(INDEX(Product_Structure[Product group],MATCH(Товары[[#This Row],[SubGroup]],Product_Structure[Subgroup],0)),"")</f>
        <v>AMA_C</v>
      </c>
      <c r="G117" s="113" t="str">
        <f>IFERROR(INDEX(Product_Structure[Product group name ENG],MATCH(Товары[[#This Row],[SubGroup]],Product_Structure[Subgroup],0)),"")</f>
        <v>Accessories, Manual, Accessories</v>
      </c>
      <c r="H117" s="113" t="str">
        <f>IFERROR(INDEX(Product_Structure[Generic Name (long)3],MATCH(Товары[[#This Row],[SubGroup]],Product_Structure[Subgroup],0)),"")</f>
        <v>Опрыскиватели ручные, помповые</v>
      </c>
      <c r="I117" s="36">
        <v>9241</v>
      </c>
      <c r="J117" s="36" t="str">
        <f>IFERROR(INDEX(Product_Structure[Generic Name (long)],MATCH(Товары[[#This Row],[SubGroup]],Product_Structure[Subgroup],0)),"")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Row],[SubGroup]],DIY!$B:$C,2,FALSE),0)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3" t="str">
        <f>IFERROR(INDEX(Product_Structure[SuperCategory],MATCH(Товары[[#This Row],[SubGroup]],Product_Structure[Subgroup],0)),"")</f>
        <v>A</v>
      </c>
      <c r="D118" s="113" t="str">
        <f>IFERROR(INDEX(Product_Structure[SuperCategory Name ENG],MATCH(Товары[[#This Row],[SubGroup]],Product_Structure[Subgroup],0)),"")</f>
        <v>Hand&amp;Cutting tools, Accessories</v>
      </c>
      <c r="E1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8" s="113" t="str">
        <f>IFERROR(INDEX(Product_Structure[Product group],MATCH(Товары[[#This Row],[SubGroup]],Product_Structure[Subgroup],0)),"")</f>
        <v>AMA_C</v>
      </c>
      <c r="G118" s="113" t="str">
        <f>IFERROR(INDEX(Product_Structure[Product group name ENG],MATCH(Товары[[#This Row],[SubGroup]],Product_Structure[Subgroup],0)),"")</f>
        <v>Accessories, Manual, Accessories</v>
      </c>
      <c r="H118" s="113" t="str">
        <f>IFERROR(INDEX(Product_Structure[Generic Name (long)3],MATCH(Товары[[#This Row],[SubGroup]],Product_Structure[Subgroup],0)),"")</f>
        <v>Опрыскиватели ручные, помповые</v>
      </c>
      <c r="I118" s="36">
        <v>9241</v>
      </c>
      <c r="J118" s="36" t="str">
        <f>IFERROR(INDEX(Product_Structure[Generic Name (long)],MATCH(Товары[[#This Row],[SubGroup]],Product_Structure[Subgroup],0)),"")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Row],[SubGroup]],DIY!$B:$C,2,FALSE),0)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3" t="str">
        <f>IFERROR(INDEX(Product_Structure[SuperCategory],MATCH(Товары[[#This Row],[SubGroup]],Product_Structure[Subgroup],0)),"")</f>
        <v>A</v>
      </c>
      <c r="D119" s="113" t="str">
        <f>IFERROR(INDEX(Product_Structure[SuperCategory Name ENG],MATCH(Товары[[#This Row],[SubGroup]],Product_Structure[Subgroup],0)),"")</f>
        <v>Hand&amp;Cutting tools, Accessories</v>
      </c>
      <c r="E1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19" s="113" t="str">
        <f>IFERROR(INDEX(Product_Structure[Product group],MATCH(Товары[[#This Row],[SubGroup]],Product_Structure[Subgroup],0)),"")</f>
        <v>AMA_C</v>
      </c>
      <c r="G119" s="113" t="str">
        <f>IFERROR(INDEX(Product_Structure[Product group name ENG],MATCH(Товары[[#This Row],[SubGroup]],Product_Structure[Subgroup],0)),"")</f>
        <v>Accessories, Manual, Accessories</v>
      </c>
      <c r="H119" s="113" t="str">
        <f>IFERROR(INDEX(Product_Structure[Generic Name (long)3],MATCH(Товары[[#This Row],[SubGroup]],Product_Structure[Subgroup],0)),"")</f>
        <v>Опрыскиватели ручные, помповые</v>
      </c>
      <c r="I119" s="36">
        <v>9241</v>
      </c>
      <c r="J119" s="36" t="str">
        <f>IFERROR(INDEX(Product_Structure[Generic Name (long)],MATCH(Товары[[#This Row],[SubGroup]],Product_Structure[Subgroup],0)),"")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Row],[SubGroup]],DIY!$B:$C,2,FALSE),0)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3" t="str">
        <f>IFERROR(INDEX(Product_Structure[SuperCategory],MATCH(Товары[[#This Row],[SubGroup]],Product_Structure[Subgroup],0)),"")</f>
        <v>A</v>
      </c>
      <c r="D120" s="113" t="str">
        <f>IFERROR(INDEX(Product_Structure[SuperCategory Name ENG],MATCH(Товары[[#This Row],[SubGroup]],Product_Structure[Subgroup],0)),"")</f>
        <v>Hand&amp;Cutting tools, Accessories</v>
      </c>
      <c r="E1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0" s="113" t="str">
        <f>IFERROR(INDEX(Product_Structure[Product group],MATCH(Товары[[#This Row],[SubGroup]],Product_Structure[Subgroup],0)),"")</f>
        <v>AMA_C</v>
      </c>
      <c r="G120" s="113" t="str">
        <f>IFERROR(INDEX(Product_Structure[Product group name ENG],MATCH(Товары[[#This Row],[SubGroup]],Product_Structure[Subgroup],0)),"")</f>
        <v>Accessories, Manual, Accessories</v>
      </c>
      <c r="H120" s="113" t="str">
        <f>IFERROR(INDEX(Product_Structure[Generic Name (long)3],MATCH(Товары[[#This Row],[SubGroup]],Product_Structure[Subgroup],0)),"")</f>
        <v>Опрыскиватели ручные, помповые</v>
      </c>
      <c r="I120" s="36">
        <v>9241</v>
      </c>
      <c r="J120" s="36" t="str">
        <f>IFERROR(INDEX(Product_Structure[Generic Name (long)],MATCH(Товары[[#This Row],[SubGroup]],Product_Structure[Subgroup],0)),"")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Row],[SubGroup]],DIY!$B:$C,2,FALSE),0)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3" t="str">
        <f>IFERROR(INDEX(Product_Structure[SuperCategory],MATCH(Товары[[#This Row],[SubGroup]],Product_Structure[Subgroup],0)),"")</f>
        <v>A</v>
      </c>
      <c r="D121" s="113" t="str">
        <f>IFERROR(INDEX(Product_Structure[SuperCategory Name ENG],MATCH(Товары[[#This Row],[SubGroup]],Product_Structure[Subgroup],0)),"")</f>
        <v>Hand&amp;Cutting tools, Accessories</v>
      </c>
      <c r="E1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1" s="113" t="str">
        <f>IFERROR(INDEX(Product_Structure[Product group],MATCH(Товары[[#This Row],[SubGroup]],Product_Structure[Subgroup],0)),"")</f>
        <v>AMA_C</v>
      </c>
      <c r="G121" s="113" t="str">
        <f>IFERROR(INDEX(Product_Structure[Product group name ENG],MATCH(Товары[[#This Row],[SubGroup]],Product_Structure[Subgroup],0)),"")</f>
        <v>Accessories, Manual, Accessories</v>
      </c>
      <c r="H121" s="113" t="str">
        <f>IFERROR(INDEX(Product_Structure[Generic Name (long)3],MATCH(Товары[[#This Row],[SubGroup]],Product_Structure[Subgroup],0)),"")</f>
        <v>Опрыскиватели ручные, помповые</v>
      </c>
      <c r="I121" s="36">
        <v>9241</v>
      </c>
      <c r="J121" s="36" t="str">
        <f>IFERROR(INDEX(Product_Structure[Generic Name (long)],MATCH(Товары[[#This Row],[SubGroup]],Product_Structure[Subgroup],0)),"")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Row],[SubGroup]],DIY!$B:$C,2,FALSE),0)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3" t="str">
        <f>IFERROR(INDEX(Product_Structure[SuperCategory],MATCH(Товары[[#This Row],[SubGroup]],Product_Structure[Subgroup],0)),"")</f>
        <v>A</v>
      </c>
      <c r="D122" s="113" t="str">
        <f>IFERROR(INDEX(Product_Structure[SuperCategory Name ENG],MATCH(Товары[[#This Row],[SubGroup]],Product_Structure[Subgroup],0)),"")</f>
        <v>Hand&amp;Cutting tools, Accessories</v>
      </c>
      <c r="E1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2" s="113" t="str">
        <f>IFERROR(INDEX(Product_Structure[Product group],MATCH(Товары[[#This Row],[SubGroup]],Product_Structure[Subgroup],0)),"")</f>
        <v>AMA_C</v>
      </c>
      <c r="G122" s="113" t="str">
        <f>IFERROR(INDEX(Product_Structure[Product group name ENG],MATCH(Товары[[#This Row],[SubGroup]],Product_Structure[Subgroup],0)),"")</f>
        <v>Accessories, Manual, Accessories</v>
      </c>
      <c r="H122" s="113" t="str">
        <f>IFERROR(INDEX(Product_Structure[Generic Name (long)3],MATCH(Товары[[#This Row],[SubGroup]],Product_Structure[Subgroup],0)),"")</f>
        <v>Опрыскиватели ручные, помповые</v>
      </c>
      <c r="I122" s="36">
        <v>9241</v>
      </c>
      <c r="J122" s="36" t="str">
        <f>IFERROR(INDEX(Product_Structure[Generic Name (long)],MATCH(Товары[[#This Row],[SubGroup]],Product_Structure[Subgroup],0)),"")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Row],[SubGroup]],DIY!$B:$C,2,FALSE),0)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3" t="str">
        <f>IFERROR(INDEX(Product_Structure[SuperCategory],MATCH(Товары[[#This Row],[SubGroup]],Product_Structure[Subgroup],0)),"")</f>
        <v>A</v>
      </c>
      <c r="D123" s="113" t="str">
        <f>IFERROR(INDEX(Product_Structure[SuperCategory Name ENG],MATCH(Товары[[#This Row],[SubGroup]],Product_Structure[Subgroup],0)),"")</f>
        <v>Hand&amp;Cutting tools, Accessories</v>
      </c>
      <c r="E12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3" s="113" t="str">
        <f>IFERROR(INDEX(Product_Structure[Product group],MATCH(Товары[[#This Row],[SubGroup]],Product_Structure[Subgroup],0)),"")</f>
        <v>AMA_C</v>
      </c>
      <c r="G123" s="113" t="str">
        <f>IFERROR(INDEX(Product_Structure[Product group name ENG],MATCH(Товары[[#This Row],[SubGroup]],Product_Structure[Subgroup],0)),"")</f>
        <v>Accessories, Manual, Accessories</v>
      </c>
      <c r="H123" s="113" t="str">
        <f>IFERROR(INDEX(Product_Structure[Generic Name (long)3],MATCH(Товары[[#This Row],[SubGroup]],Product_Structure[Subgroup],0)),"")</f>
        <v>Опрыскиватели ручные, помповые</v>
      </c>
      <c r="I123" s="36">
        <v>9241</v>
      </c>
      <c r="J123" s="36" t="str">
        <f>IFERROR(INDEX(Product_Structure[Generic Name (long)],MATCH(Товары[[#This Row],[SubGroup]],Product_Structure[Subgroup],0)),"")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Row],[SubGroup]],DIY!$B:$C,2,FALSE),0)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3" t="str">
        <f>IFERROR(INDEX(Product_Structure[SuperCategory],MATCH(Товары[[#This Row],[SubGroup]],Product_Structure[Subgroup],0)),"")</f>
        <v>A</v>
      </c>
      <c r="D124" s="113" t="str">
        <f>IFERROR(INDEX(Product_Structure[SuperCategory Name ENG],MATCH(Товары[[#This Row],[SubGroup]],Product_Structure[Subgroup],0)),"")</f>
        <v>Hand&amp;Cutting tools, Accessories</v>
      </c>
      <c r="E12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4" s="113" t="str">
        <f>IFERROR(INDEX(Product_Structure[Product group],MATCH(Товары[[#This Row],[SubGroup]],Product_Structure[Subgroup],0)),"")</f>
        <v>AMA_C</v>
      </c>
      <c r="G124" s="113" t="str">
        <f>IFERROR(INDEX(Product_Structure[Product group name ENG],MATCH(Товары[[#This Row],[SubGroup]],Product_Structure[Subgroup],0)),"")</f>
        <v>Accessories, Manual, Accessories</v>
      </c>
      <c r="H124" s="113" t="str">
        <f>IFERROR(INDEX(Product_Structure[Generic Name (long)3],MATCH(Товары[[#This Row],[SubGroup]],Product_Structure[Subgroup],0)),"")</f>
        <v>Опрыскиватели ручные, помповые</v>
      </c>
      <c r="I124" s="36">
        <v>9241</v>
      </c>
      <c r="J124" s="36" t="str">
        <f>IFERROR(INDEX(Product_Structure[Generic Name (long)],MATCH(Товары[[#This Row],[SubGroup]],Product_Structure[Subgroup],0)),"")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Row],[SubGroup]],DIY!$B:$C,2,FALSE),0)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3" t="str">
        <f>IFERROR(INDEX(Product_Structure[SuperCategory],MATCH(Товары[[#This Row],[SubGroup]],Product_Structure[Subgroup],0)),"")</f>
        <v>A</v>
      </c>
      <c r="D125" s="113" t="str">
        <f>IFERROR(INDEX(Product_Structure[SuperCategory Name ENG],MATCH(Товары[[#This Row],[SubGroup]],Product_Structure[Subgroup],0)),"")</f>
        <v>Hand&amp;Cutting tools, Accessories</v>
      </c>
      <c r="E12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5" s="113" t="str">
        <f>IFERROR(INDEX(Product_Structure[Product group],MATCH(Товары[[#This Row],[SubGroup]],Product_Structure[Subgroup],0)),"")</f>
        <v>AMA_C</v>
      </c>
      <c r="G125" s="113" t="str">
        <f>IFERROR(INDEX(Product_Structure[Product group name ENG],MATCH(Товары[[#This Row],[SubGroup]],Product_Structure[Subgroup],0)),"")</f>
        <v>Accessories, Manual, Accessories</v>
      </c>
      <c r="H125" s="113" t="str">
        <f>IFERROR(INDEX(Product_Structure[Generic Name (long)3],MATCH(Товары[[#This Row],[SubGroup]],Product_Structure[Subgroup],0)),"")</f>
        <v>Опрыскиватели ручные, помповые</v>
      </c>
      <c r="I125" s="36">
        <v>9241</v>
      </c>
      <c r="J125" s="36" t="str">
        <f>IFERROR(INDEX(Product_Structure[Generic Name (long)],MATCH(Товары[[#This Row],[SubGroup]],Product_Structure[Subgroup],0)),"")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Row],[SubGroup]],DIY!$B:$C,2,FALSE),0)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3" t="str">
        <f>IFERROR(INDEX(Product_Structure[SuperCategory],MATCH(Товары[[#This Row],[SubGroup]],Product_Structure[Subgroup],0)),"")</f>
        <v>A</v>
      </c>
      <c r="D126" s="113" t="str">
        <f>IFERROR(INDEX(Product_Structure[SuperCategory Name ENG],MATCH(Товары[[#This Row],[SubGroup]],Product_Structure[Subgroup],0)),"")</f>
        <v>Hand&amp;Cutting tools, Accessories</v>
      </c>
      <c r="E12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6" s="113" t="str">
        <f>IFERROR(INDEX(Product_Structure[Product group],MATCH(Товары[[#This Row],[SubGroup]],Product_Structure[Subgroup],0)),"")</f>
        <v>AMA_C</v>
      </c>
      <c r="G126" s="113" t="str">
        <f>IFERROR(INDEX(Product_Structure[Product group name ENG],MATCH(Товары[[#This Row],[SubGroup]],Product_Structure[Subgroup],0)),"")</f>
        <v>Accessories, Manual, Accessories</v>
      </c>
      <c r="H126" s="113" t="str">
        <f>IFERROR(INDEX(Product_Structure[Generic Name (long)3],MATCH(Товары[[#This Row],[SubGroup]],Product_Structure[Subgroup],0)),"")</f>
        <v>Опрыскиватели ручные, помповые</v>
      </c>
      <c r="I126" s="36">
        <v>9241</v>
      </c>
      <c r="J126" s="36" t="str">
        <f>IFERROR(INDEX(Product_Structure[Generic Name (long)],MATCH(Товары[[#This Row],[SubGroup]],Product_Structure[Subgroup],0)),"")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Row],[SubGroup]],DIY!$B:$C,2,FALSE),0)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3" t="str">
        <f>IFERROR(INDEX(Product_Structure[SuperCategory],MATCH(Товары[[#This Row],[SubGroup]],Product_Structure[Subgroup],0)),"")</f>
        <v>A</v>
      </c>
      <c r="D127" s="113" t="str">
        <f>IFERROR(INDEX(Product_Structure[SuperCategory Name ENG],MATCH(Товары[[#This Row],[SubGroup]],Product_Structure[Subgroup],0)),"")</f>
        <v>Hand&amp;Cutting tools, Accessories</v>
      </c>
      <c r="E12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7" s="113" t="str">
        <f>IFERROR(INDEX(Product_Structure[Product group],MATCH(Товары[[#This Row],[SubGroup]],Product_Structure[Subgroup],0)),"")</f>
        <v>AMA_C</v>
      </c>
      <c r="G127" s="113" t="str">
        <f>IFERROR(INDEX(Product_Structure[Product group name ENG],MATCH(Товары[[#This Row],[SubGroup]],Product_Structure[Subgroup],0)),"")</f>
        <v>Accessories, Manual, Accessories</v>
      </c>
      <c r="H127" s="113" t="str">
        <f>IFERROR(INDEX(Product_Structure[Generic Name (long)3],MATCH(Товары[[#This Row],[SubGroup]],Product_Structure[Subgroup],0)),"")</f>
        <v>Опрыскиватели ручные, помповые</v>
      </c>
      <c r="I127" s="36">
        <v>9241</v>
      </c>
      <c r="J127" s="36" t="str">
        <f>IFERROR(INDEX(Product_Structure[Generic Name (long)],MATCH(Товары[[#This Row],[SubGroup]],Product_Structure[Subgroup],0)),"")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Row],[SubGroup]],DIY!$B:$C,2,FALSE),0)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3" t="str">
        <f>IFERROR(INDEX(Product_Structure[SuperCategory],MATCH(Товары[[#This Row],[SubGroup]],Product_Structure[Subgroup],0)),"")</f>
        <v>A</v>
      </c>
      <c r="D128" s="113" t="str">
        <f>IFERROR(INDEX(Product_Structure[SuperCategory Name ENG],MATCH(Товары[[#This Row],[SubGroup]],Product_Structure[Subgroup],0)),"")</f>
        <v>Hand&amp;Cutting tools, Accessories</v>
      </c>
      <c r="E12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8" s="113" t="str">
        <f>IFERROR(INDEX(Product_Structure[Product group],MATCH(Товары[[#This Row],[SubGroup]],Product_Structure[Subgroup],0)),"")</f>
        <v>AMA_C</v>
      </c>
      <c r="G128" s="113" t="str">
        <f>IFERROR(INDEX(Product_Structure[Product group name ENG],MATCH(Товары[[#This Row],[SubGroup]],Product_Structure[Subgroup],0)),"")</f>
        <v>Accessories, Manual, Accessories</v>
      </c>
      <c r="H128" s="113" t="str">
        <f>IFERROR(INDEX(Product_Structure[Generic Name (long)3],MATCH(Товары[[#This Row],[SubGroup]],Product_Structure[Subgroup],0)),"")</f>
        <v>Опрыскиватели ручные, помповые</v>
      </c>
      <c r="I128" s="36">
        <v>9241</v>
      </c>
      <c r="J128" s="36" t="str">
        <f>IFERROR(INDEX(Product_Structure[Generic Name (long)],MATCH(Товары[[#This Row],[SubGroup]],Product_Structure[Subgroup],0)),"")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Row],[SubGroup]],DIY!$B:$C,2,FALSE),0)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3" t="str">
        <f>IFERROR(INDEX(Product_Structure[SuperCategory],MATCH(Товары[[#This Row],[SubGroup]],Product_Structure[Subgroup],0)),"")</f>
        <v>A</v>
      </c>
      <c r="D129" s="113" t="str">
        <f>IFERROR(INDEX(Product_Structure[SuperCategory Name ENG],MATCH(Товары[[#This Row],[SubGroup]],Product_Structure[Subgroup],0)),"")</f>
        <v>Hand&amp;Cutting tools, Accessories</v>
      </c>
      <c r="E12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29" s="113" t="str">
        <f>IFERROR(INDEX(Product_Structure[Product group],MATCH(Товары[[#This Row],[SubGroup]],Product_Structure[Subgroup],0)),"")</f>
        <v>AMA_C</v>
      </c>
      <c r="G129" s="113" t="str">
        <f>IFERROR(INDEX(Product_Structure[Product group name ENG],MATCH(Товары[[#This Row],[SubGroup]],Product_Structure[Subgroup],0)),"")</f>
        <v>Accessories, Manual, Accessories</v>
      </c>
      <c r="H129" s="113" t="str">
        <f>IFERROR(INDEX(Product_Structure[Generic Name (long)3],MATCH(Товары[[#This Row],[SubGroup]],Product_Structure[Subgroup],0)),"")</f>
        <v>Опрыскиватели ручные, помповые</v>
      </c>
      <c r="I129" s="36">
        <v>9241</v>
      </c>
      <c r="J129" s="36" t="str">
        <f>IFERROR(INDEX(Product_Structure[Generic Name (long)],MATCH(Товары[[#This Row],[SubGroup]],Product_Structure[Subgroup],0)),"")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Row],[SubGroup]],DIY!$B:$C,2,FALSE),0)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3" t="str">
        <f>IFERROR(INDEX(Product_Structure[SuperCategory],MATCH(Товары[[#This Row],[SubGroup]],Product_Structure[Subgroup],0)),"")</f>
        <v>A</v>
      </c>
      <c r="D130" s="113" t="str">
        <f>IFERROR(INDEX(Product_Structure[SuperCategory Name ENG],MATCH(Товары[[#This Row],[SubGroup]],Product_Structure[Subgroup],0)),"")</f>
        <v>Hand&amp;Cutting tools, Accessories</v>
      </c>
      <c r="E13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0" s="113" t="str">
        <f>IFERROR(INDEX(Product_Structure[Product group],MATCH(Товары[[#This Row],[SubGroup]],Product_Structure[Subgroup],0)),"")</f>
        <v>AMA_C</v>
      </c>
      <c r="G130" s="113" t="str">
        <f>IFERROR(INDEX(Product_Structure[Product group name ENG],MATCH(Товары[[#This Row],[SubGroup]],Product_Structure[Subgroup],0)),"")</f>
        <v>Accessories, Manual, Accessories</v>
      </c>
      <c r="H130" s="113" t="str">
        <f>IFERROR(INDEX(Product_Structure[Generic Name (long)3],MATCH(Товары[[#This Row],[SubGroup]],Product_Structure[Subgroup],0)),"")</f>
        <v>Опрыскиватели ручные, помповые</v>
      </c>
      <c r="I130" s="36">
        <v>9241</v>
      </c>
      <c r="J130" s="36" t="str">
        <f>IFERROR(INDEX(Product_Structure[Generic Name (long)],MATCH(Товары[[#This Row],[SubGroup]],Product_Structure[Subgroup],0)),"")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Row],[SubGroup]],DIY!$B:$C,2,FALSE),0)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3" t="str">
        <f>IFERROR(INDEX(Product_Structure[SuperCategory],MATCH(Товары[[#This Row],[SubGroup]],Product_Structure[Subgroup],0)),"")</f>
        <v>A</v>
      </c>
      <c r="D131" s="113" t="str">
        <f>IFERROR(INDEX(Product_Structure[SuperCategory Name ENG],MATCH(Товары[[#This Row],[SubGroup]],Product_Structure[Subgroup],0)),"")</f>
        <v>Hand&amp;Cutting tools, Accessories</v>
      </c>
      <c r="E13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1" s="113" t="str">
        <f>IFERROR(INDEX(Product_Structure[Product group],MATCH(Товары[[#This Row],[SubGroup]],Product_Structure[Subgroup],0)),"")</f>
        <v>AMA_C</v>
      </c>
      <c r="G131" s="113" t="str">
        <f>IFERROR(INDEX(Product_Structure[Product group name ENG],MATCH(Товары[[#This Row],[SubGroup]],Product_Structure[Subgroup],0)),"")</f>
        <v>Accessories, Manual, Accessories</v>
      </c>
      <c r="H131" s="113" t="str">
        <f>IFERROR(INDEX(Product_Structure[Generic Name (long)3],MATCH(Товары[[#This Row],[SubGroup]],Product_Structure[Subgroup],0)),"")</f>
        <v>Рукоятки</v>
      </c>
      <c r="I131" s="36">
        <v>8422</v>
      </c>
      <c r="J131" s="36" t="str">
        <f>IFERROR(INDEX(Product_Structure[Generic Name (long)],MATCH(Товары[[#This Row],[SubGroup]],Product_Structure[Subgroup],0)),"")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Row],[SubGroup]],DIY!$B:$C,2,FALSE),0)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3" t="str">
        <f>IFERROR(INDEX(Product_Structure[SuperCategory],MATCH(Товары[[#This Row],[SubGroup]],Product_Structure[Subgroup],0)),"")</f>
        <v>A</v>
      </c>
      <c r="D132" s="113" t="str">
        <f>IFERROR(INDEX(Product_Structure[SuperCategory Name ENG],MATCH(Товары[[#This Row],[SubGroup]],Product_Structure[Subgroup],0)),"")</f>
        <v>Hand&amp;Cutting tools, Accessories</v>
      </c>
      <c r="E13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2" s="113" t="str">
        <f>IFERROR(INDEX(Product_Structure[Product group],MATCH(Товары[[#This Row],[SubGroup]],Product_Structure[Subgroup],0)),"")</f>
        <v>AMA_C</v>
      </c>
      <c r="G132" s="113" t="str">
        <f>IFERROR(INDEX(Product_Structure[Product group name ENG],MATCH(Товары[[#This Row],[SubGroup]],Product_Structure[Subgroup],0)),"")</f>
        <v>Accessories, Manual, Accessories</v>
      </c>
      <c r="H132" s="113" t="str">
        <f>IFERROR(INDEX(Product_Structure[Generic Name (long)3],MATCH(Товары[[#This Row],[SubGroup]],Product_Structure[Subgroup],0)),"")</f>
        <v>Рукоятки</v>
      </c>
      <c r="I132" s="36">
        <v>8422</v>
      </c>
      <c r="J132" s="36" t="str">
        <f>IFERROR(INDEX(Product_Structure[Generic Name (long)],MATCH(Товары[[#This Row],[SubGroup]],Product_Structure[Subgroup],0)),"")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Row],[SubGroup]],DIY!$B:$C,2,FALSE),0)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3" t="str">
        <f>IFERROR(INDEX(Product_Structure[SuperCategory],MATCH(Товары[[#This Row],[SubGroup]],Product_Structure[Subgroup],0)),"")</f>
        <v>A</v>
      </c>
      <c r="D133" s="113" t="str">
        <f>IFERROR(INDEX(Product_Structure[SuperCategory Name ENG],MATCH(Товары[[#This Row],[SubGroup]],Product_Structure[Subgroup],0)),"")</f>
        <v>Hand&amp;Cutting tools, Accessories</v>
      </c>
      <c r="E1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3" s="113" t="str">
        <f>IFERROR(INDEX(Product_Structure[Product group],MATCH(Товары[[#This Row],[SubGroup]],Product_Structure[Subgroup],0)),"")</f>
        <v>AMA_C</v>
      </c>
      <c r="G133" s="113" t="str">
        <f>IFERROR(INDEX(Product_Structure[Product group name ENG],MATCH(Товары[[#This Row],[SubGroup]],Product_Structure[Subgroup],0)),"")</f>
        <v>Accessories, Manual, Accessories</v>
      </c>
      <c r="H133" s="113" t="str">
        <f>IFERROR(INDEX(Product_Structure[Generic Name (long)3],MATCH(Товары[[#This Row],[SubGroup]],Product_Structure[Subgroup],0)),"")</f>
        <v>Рукоятки</v>
      </c>
      <c r="I133" s="36">
        <v>8422</v>
      </c>
      <c r="J133" s="36" t="str">
        <f>IFERROR(INDEX(Product_Structure[Generic Name (long)],MATCH(Товары[[#This Row],[SubGroup]],Product_Structure[Subgroup],0)),"")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Row],[SubGroup]],DIY!$B:$C,2,FALSE),0)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3" t="str">
        <f>IFERROR(INDEX(Product_Structure[SuperCategory],MATCH(Товары[[#This Row],[SubGroup]],Product_Structure[Subgroup],0)),"")</f>
        <v>A</v>
      </c>
      <c r="D134" s="113" t="str">
        <f>IFERROR(INDEX(Product_Structure[SuperCategory Name ENG],MATCH(Товары[[#This Row],[SubGroup]],Product_Structure[Subgroup],0)),"")</f>
        <v>Hand&amp;Cutting tools, Accessories</v>
      </c>
      <c r="E1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4" s="113" t="str">
        <f>IFERROR(INDEX(Product_Structure[Product group],MATCH(Товары[[#This Row],[SubGroup]],Product_Structure[Subgroup],0)),"")</f>
        <v>AMA_C</v>
      </c>
      <c r="G134" s="113" t="str">
        <f>IFERROR(INDEX(Product_Structure[Product group name ENG],MATCH(Товары[[#This Row],[SubGroup]],Product_Structure[Subgroup],0)),"")</f>
        <v>Accessories, Manual, Accessories</v>
      </c>
      <c r="H134" s="113" t="str">
        <f>IFERROR(INDEX(Product_Structure[Generic Name (long)3],MATCH(Товары[[#This Row],[SubGroup]],Product_Structure[Subgroup],0)),"")</f>
        <v>Рукоятки</v>
      </c>
      <c r="I134" s="36">
        <v>8422</v>
      </c>
      <c r="J134" s="36" t="str">
        <f>IFERROR(INDEX(Product_Structure[Generic Name (long)],MATCH(Товары[[#This Row],[SubGroup]],Product_Structure[Subgroup],0)),"")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Row],[SubGroup]],DIY!$B:$C,2,FALSE),0)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3" t="str">
        <f>IFERROR(INDEX(Product_Structure[SuperCategory],MATCH(Товары[[#This Row],[SubGroup]],Product_Structure[Subgroup],0)),"")</f>
        <v>A</v>
      </c>
      <c r="D135" s="113" t="str">
        <f>IFERROR(INDEX(Product_Structure[SuperCategory Name ENG],MATCH(Товары[[#This Row],[SubGroup]],Product_Structure[Subgroup],0)),"")</f>
        <v>Hand&amp;Cutting tools, Accessories</v>
      </c>
      <c r="E13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5" s="113" t="str">
        <f>IFERROR(INDEX(Product_Structure[Product group],MATCH(Товары[[#This Row],[SubGroup]],Product_Structure[Subgroup],0)),"")</f>
        <v>AMA_C</v>
      </c>
      <c r="G135" s="113" t="str">
        <f>IFERROR(INDEX(Product_Structure[Product group name ENG],MATCH(Товары[[#This Row],[SubGroup]],Product_Structure[Subgroup],0)),"")</f>
        <v>Accessories, Manual, Accessories</v>
      </c>
      <c r="H135" s="113" t="str">
        <f>IFERROR(INDEX(Product_Structure[Generic Name (long)3],MATCH(Товары[[#This Row],[SubGroup]],Product_Structure[Subgroup],0)),"")</f>
        <v>Рукоятки</v>
      </c>
      <c r="I135" s="36">
        <v>8422</v>
      </c>
      <c r="J135" s="36" t="str">
        <f>IFERROR(INDEX(Product_Structure[Generic Name (long)],MATCH(Товары[[#This Row],[SubGroup]],Product_Structure[Subgroup],0)),"")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Row],[SubGroup]],DIY!$B:$C,2,FALSE),0)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3" t="str">
        <f>IFERROR(INDEX(Product_Structure[SuperCategory],MATCH(Товары[[#This Row],[SubGroup]],Product_Structure[Subgroup],0)),"")</f>
        <v>A</v>
      </c>
      <c r="D136" s="113" t="str">
        <f>IFERROR(INDEX(Product_Structure[SuperCategory Name ENG],MATCH(Товары[[#This Row],[SubGroup]],Product_Structure[Subgroup],0)),"")</f>
        <v>Hand&amp;Cutting tools, Accessories</v>
      </c>
      <c r="E13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6" s="113" t="str">
        <f>IFERROR(INDEX(Product_Structure[Product group],MATCH(Товары[[#This Row],[SubGroup]],Product_Structure[Subgroup],0)),"")</f>
        <v>AMA_C</v>
      </c>
      <c r="G136" s="113" t="str">
        <f>IFERROR(INDEX(Product_Structure[Product group name ENG],MATCH(Товары[[#This Row],[SubGroup]],Product_Structure[Subgroup],0)),"")</f>
        <v>Accessories, Manual, Accessories</v>
      </c>
      <c r="H136" s="113" t="str">
        <f>IFERROR(INDEX(Product_Structure[Generic Name (long)3],MATCH(Товары[[#This Row],[SubGroup]],Product_Structure[Subgroup],0)),"")</f>
        <v>Рукоятки</v>
      </c>
      <c r="I136" s="36">
        <v>8422</v>
      </c>
      <c r="J136" s="36" t="str">
        <f>IFERROR(INDEX(Product_Structure[Generic Name (long)],MATCH(Товары[[#This Row],[SubGroup]],Product_Structure[Subgroup],0)),"")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Row],[SubGroup]],DIY!$B:$C,2,FALSE),0)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3" t="str">
        <f>IFERROR(INDEX(Product_Structure[SuperCategory],MATCH(Товары[[#This Row],[SubGroup]],Product_Structure[Subgroup],0)),"")</f>
        <v>A</v>
      </c>
      <c r="D137" s="113" t="str">
        <f>IFERROR(INDEX(Product_Structure[SuperCategory Name ENG],MATCH(Товары[[#This Row],[SubGroup]],Product_Structure[Subgroup],0)),"")</f>
        <v>Hand&amp;Cutting tools, Accessories</v>
      </c>
      <c r="E13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7" s="113" t="str">
        <f>IFERROR(INDEX(Product_Structure[Product group],MATCH(Товары[[#This Row],[SubGroup]],Product_Structure[Subgroup],0)),"")</f>
        <v>AMA_C</v>
      </c>
      <c r="G137" s="113" t="str">
        <f>IFERROR(INDEX(Product_Structure[Product group name ENG],MATCH(Товары[[#This Row],[SubGroup]],Product_Structure[Subgroup],0)),"")</f>
        <v>Accessories, Manual, Accessories</v>
      </c>
      <c r="H137" s="113" t="str">
        <f>IFERROR(INDEX(Product_Structure[Generic Name (long)3],MATCH(Товары[[#This Row],[SubGroup]],Product_Structure[Subgroup],0)),"")</f>
        <v>Перчатки садовые</v>
      </c>
      <c r="I137" s="36">
        <v>9242</v>
      </c>
      <c r="J137" s="36" t="str">
        <f>IFERROR(INDEX(Product_Structure[Generic Name (long)],MATCH(Товары[[#This Row],[SubGroup]],Product_Structure[Subgroup],0)),"")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Row],[SubGroup]],DIY!$B:$C,2,FALSE),0)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3" t="str">
        <f>IFERROR(INDEX(Product_Structure[SuperCategory],MATCH(Товары[[#This Row],[SubGroup]],Product_Structure[Subgroup],0)),"")</f>
        <v>A</v>
      </c>
      <c r="D138" s="113" t="str">
        <f>IFERROR(INDEX(Product_Structure[SuperCategory Name ENG],MATCH(Товары[[#This Row],[SubGroup]],Product_Structure[Subgroup],0)),"")</f>
        <v>Hand&amp;Cutting tools, Accessories</v>
      </c>
      <c r="E13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8" s="113" t="str">
        <f>IFERROR(INDEX(Product_Structure[Product group],MATCH(Товары[[#This Row],[SubGroup]],Product_Structure[Subgroup],0)),"")</f>
        <v>AMA_C</v>
      </c>
      <c r="G138" s="113" t="str">
        <f>IFERROR(INDEX(Product_Structure[Product group name ENG],MATCH(Товары[[#This Row],[SubGroup]],Product_Structure[Subgroup],0)),"")</f>
        <v>Accessories, Manual, Accessories</v>
      </c>
      <c r="H138" s="113" t="str">
        <f>IFERROR(INDEX(Product_Structure[Generic Name (long)3],MATCH(Товары[[#This Row],[SubGroup]],Product_Structure[Subgroup],0)),"")</f>
        <v>Перчатки садовые</v>
      </c>
      <c r="I138" s="36">
        <v>9242</v>
      </c>
      <c r="J138" s="36" t="str">
        <f>IFERROR(INDEX(Product_Structure[Generic Name (long)],MATCH(Товары[[#This Row],[SubGroup]],Product_Structure[Subgroup],0)),"")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Row],[SubGroup]],DIY!$B:$C,2,FALSE),0)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3" t="str">
        <f>IFERROR(INDEX(Product_Structure[SuperCategory],MATCH(Товары[[#This Row],[SubGroup]],Product_Structure[Subgroup],0)),"")</f>
        <v>A</v>
      </c>
      <c r="D139" s="113" t="str">
        <f>IFERROR(INDEX(Product_Structure[SuperCategory Name ENG],MATCH(Товары[[#This Row],[SubGroup]],Product_Structure[Subgroup],0)),"")</f>
        <v>Hand&amp;Cutting tools, Accessories</v>
      </c>
      <c r="E13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39" s="113" t="str">
        <f>IFERROR(INDEX(Product_Structure[Product group],MATCH(Товары[[#This Row],[SubGroup]],Product_Structure[Subgroup],0)),"")</f>
        <v>AMA_C</v>
      </c>
      <c r="G139" s="113" t="str">
        <f>IFERROR(INDEX(Product_Structure[Product group name ENG],MATCH(Товары[[#This Row],[SubGroup]],Product_Structure[Subgroup],0)),"")</f>
        <v>Accessories, Manual, Accessories</v>
      </c>
      <c r="H139" s="113" t="str">
        <f>IFERROR(INDEX(Product_Structure[Generic Name (long)3],MATCH(Товары[[#This Row],[SubGroup]],Product_Structure[Subgroup],0)),"")</f>
        <v>Перчатки садовые</v>
      </c>
      <c r="I139" s="36">
        <v>9242</v>
      </c>
      <c r="J139" s="36" t="str">
        <f>IFERROR(INDEX(Product_Structure[Generic Name (long)],MATCH(Товары[[#This Row],[SubGroup]],Product_Structure[Subgroup],0)),"")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Row],[SubGroup]],DIY!$B:$C,2,FALSE),0)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3" t="str">
        <f>IFERROR(INDEX(Product_Structure[SuperCategory],MATCH(Товары[[#This Row],[SubGroup]],Product_Structure[Subgroup],0)),"")</f>
        <v>A</v>
      </c>
      <c r="D140" s="113" t="str">
        <f>IFERROR(INDEX(Product_Structure[SuperCategory Name ENG],MATCH(Товары[[#This Row],[SubGroup]],Product_Structure[Subgroup],0)),"")</f>
        <v>Hand&amp;Cutting tools, Accessories</v>
      </c>
      <c r="E14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0" s="113" t="str">
        <f>IFERROR(INDEX(Product_Structure[Product group],MATCH(Товары[[#This Row],[SubGroup]],Product_Structure[Subgroup],0)),"")</f>
        <v>AMA_C</v>
      </c>
      <c r="G140" s="113" t="str">
        <f>IFERROR(INDEX(Product_Structure[Product group name ENG],MATCH(Товары[[#This Row],[SubGroup]],Product_Structure[Subgroup],0)),"")</f>
        <v>Accessories, Manual, Accessories</v>
      </c>
      <c r="H140" s="113" t="str">
        <f>IFERROR(INDEX(Product_Structure[Generic Name (long)3],MATCH(Товары[[#This Row],[SubGroup]],Product_Structure[Subgroup],0)),"")</f>
        <v>Перчатки садовые</v>
      </c>
      <c r="I140" s="36">
        <v>9242</v>
      </c>
      <c r="J140" s="36" t="str">
        <f>IFERROR(INDEX(Product_Structure[Generic Name (long)],MATCH(Товары[[#This Row],[SubGroup]],Product_Structure[Subgroup],0)),"")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Row],[SubGroup]],DIY!$B:$C,2,FALSE),0)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3" t="str">
        <f>IFERROR(INDEX(Product_Structure[SuperCategory],MATCH(Товары[[#This Row],[SubGroup]],Product_Structure[Subgroup],0)),"")</f>
        <v>A</v>
      </c>
      <c r="D141" s="113" t="str">
        <f>IFERROR(INDEX(Product_Structure[SuperCategory Name ENG],MATCH(Товары[[#This Row],[SubGroup]],Product_Structure[Subgroup],0)),"")</f>
        <v>Hand&amp;Cutting tools, Accessories</v>
      </c>
      <c r="E1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1" s="113" t="str">
        <f>IFERROR(INDEX(Product_Structure[Product group],MATCH(Товары[[#This Row],[SubGroup]],Product_Structure[Subgroup],0)),"")</f>
        <v>AMA_C</v>
      </c>
      <c r="G141" s="113" t="str">
        <f>IFERROR(INDEX(Product_Structure[Product group name ENG],MATCH(Товары[[#This Row],[SubGroup]],Product_Structure[Subgroup],0)),"")</f>
        <v>Accessories, Manual, Accessories</v>
      </c>
      <c r="H141" s="113" t="str">
        <f>IFERROR(INDEX(Product_Structure[Generic Name (long)3],MATCH(Товары[[#This Row],[SubGroup]],Product_Structure[Subgroup],0)),"")</f>
        <v>Перчатки садовые</v>
      </c>
      <c r="I141" s="36">
        <v>9242</v>
      </c>
      <c r="J141" s="36" t="str">
        <f>IFERROR(INDEX(Product_Structure[Generic Name (long)],MATCH(Товары[[#This Row],[SubGroup]],Product_Structure[Subgroup],0)),"")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Row],[SubGroup]],DIY!$B:$C,2,FALSE),0)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3" t="str">
        <f>IFERROR(INDEX(Product_Structure[SuperCategory],MATCH(Товары[[#This Row],[SubGroup]],Product_Structure[Subgroup],0)),"")</f>
        <v>A</v>
      </c>
      <c r="D142" s="113" t="str">
        <f>IFERROR(INDEX(Product_Structure[SuperCategory Name ENG],MATCH(Товары[[#This Row],[SubGroup]],Product_Structure[Subgroup],0)),"")</f>
        <v>Hand&amp;Cutting tools, Accessories</v>
      </c>
      <c r="E1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2" s="113" t="str">
        <f>IFERROR(INDEX(Product_Structure[Product group],MATCH(Товары[[#This Row],[SubGroup]],Product_Structure[Subgroup],0)),"")</f>
        <v>AMA_C</v>
      </c>
      <c r="G142" s="113" t="str">
        <f>IFERROR(INDEX(Product_Structure[Product group name ENG],MATCH(Товары[[#This Row],[SubGroup]],Product_Structure[Subgroup],0)),"")</f>
        <v>Accessories, Manual, Accessories</v>
      </c>
      <c r="H142" s="113" t="str">
        <f>IFERROR(INDEX(Product_Structure[Generic Name (long)3],MATCH(Товары[[#This Row],[SubGroup]],Product_Structure[Subgroup],0)),"")</f>
        <v>Перчатки садовые</v>
      </c>
      <c r="I142" s="36">
        <v>9242</v>
      </c>
      <c r="J142" s="36" t="str">
        <f>IFERROR(INDEX(Product_Structure[Generic Name (long)],MATCH(Товары[[#This Row],[SubGroup]],Product_Structure[Subgroup],0)),"")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Row],[SubGroup]],DIY!$B:$C,2,FALSE),0)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3" t="str">
        <f>IFERROR(INDEX(Product_Structure[SuperCategory],MATCH(Товары[[#This Row],[SubGroup]],Product_Structure[Subgroup],0)),"")</f>
        <v>A</v>
      </c>
      <c r="D143" s="113" t="str">
        <f>IFERROR(INDEX(Product_Structure[SuperCategory Name ENG],MATCH(Товары[[#This Row],[SubGroup]],Product_Structure[Subgroup],0)),"")</f>
        <v>Hand&amp;Cutting tools, Accessories</v>
      </c>
      <c r="E1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3" s="113" t="str">
        <f>IFERROR(INDEX(Product_Structure[Product group],MATCH(Товары[[#This Row],[SubGroup]],Product_Structure[Subgroup],0)),"")</f>
        <v>AMA_C</v>
      </c>
      <c r="G143" s="113" t="str">
        <f>IFERROR(INDEX(Product_Structure[Product group name ENG],MATCH(Товары[[#This Row],[SubGroup]],Product_Structure[Subgroup],0)),"")</f>
        <v>Accessories, Manual, Accessories</v>
      </c>
      <c r="H143" s="113" t="str">
        <f>IFERROR(INDEX(Product_Structure[Generic Name (long)3],MATCH(Товары[[#This Row],[SubGroup]],Product_Structure[Subgroup],0)),"")</f>
        <v>Перчатки садовые</v>
      </c>
      <c r="I143" s="36">
        <v>9242</v>
      </c>
      <c r="J143" s="36" t="str">
        <f>IFERROR(INDEX(Product_Structure[Generic Name (long)],MATCH(Товары[[#This Row],[SubGroup]],Product_Structure[Subgroup],0)),"")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Row],[SubGroup]],DIY!$B:$C,2,FALSE),0)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3" t="str">
        <f>IFERROR(INDEX(Product_Structure[SuperCategory],MATCH(Товары[[#This Row],[SubGroup]],Product_Structure[Subgroup],0)),"")</f>
        <v>A</v>
      </c>
      <c r="D144" s="113" t="str">
        <f>IFERROR(INDEX(Product_Structure[SuperCategory Name ENG],MATCH(Товары[[#This Row],[SubGroup]],Product_Structure[Subgroup],0)),"")</f>
        <v>Hand&amp;Cutting tools, Accessories</v>
      </c>
      <c r="E1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4" s="113" t="str">
        <f>IFERROR(INDEX(Product_Structure[Product group],MATCH(Товары[[#This Row],[SubGroup]],Product_Structure[Subgroup],0)),"")</f>
        <v>AMA_C</v>
      </c>
      <c r="G144" s="113" t="str">
        <f>IFERROR(INDEX(Product_Structure[Product group name ENG],MATCH(Товары[[#This Row],[SubGroup]],Product_Structure[Subgroup],0)),"")</f>
        <v>Accessories, Manual, Accessories</v>
      </c>
      <c r="H144" s="113" t="str">
        <f>IFERROR(INDEX(Product_Structure[Generic Name (long)3],MATCH(Товары[[#This Row],[SubGroup]],Product_Structure[Subgroup],0)),"")</f>
        <v>Перчатки садовые</v>
      </c>
      <c r="I144" s="36">
        <v>9242</v>
      </c>
      <c r="J144" s="36" t="str">
        <f>IFERROR(INDEX(Product_Structure[Generic Name (long)],MATCH(Товары[[#This Row],[SubGroup]],Product_Structure[Subgroup],0)),"")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Row],[SubGroup]],DIY!$B:$C,2,FALSE),0)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3" t="str">
        <f>IFERROR(INDEX(Product_Structure[SuperCategory],MATCH(Товары[[#This Row],[SubGroup]],Product_Structure[Subgroup],0)),"")</f>
        <v>A</v>
      </c>
      <c r="D145" s="113" t="str">
        <f>IFERROR(INDEX(Product_Structure[SuperCategory Name ENG],MATCH(Товары[[#This Row],[SubGroup]],Product_Structure[Subgroup],0)),"")</f>
        <v>Hand&amp;Cutting tools, Accessories</v>
      </c>
      <c r="E1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5" s="113" t="str">
        <f>IFERROR(INDEX(Product_Structure[Product group],MATCH(Товары[[#This Row],[SubGroup]],Product_Structure[Subgroup],0)),"")</f>
        <v>AMA_C</v>
      </c>
      <c r="G145" s="113" t="str">
        <f>IFERROR(INDEX(Product_Structure[Product group name ENG],MATCH(Товары[[#This Row],[SubGroup]],Product_Structure[Subgroup],0)),"")</f>
        <v>Accessories, Manual, Accessories</v>
      </c>
      <c r="H145" s="113" t="str">
        <f>IFERROR(INDEX(Product_Structure[Generic Name (long)3],MATCH(Товары[[#This Row],[SubGroup]],Product_Structure[Subgroup],0)),"")</f>
        <v>Перчатки садовые</v>
      </c>
      <c r="I145" s="36">
        <v>9242</v>
      </c>
      <c r="J145" s="36" t="str">
        <f>IFERROR(INDEX(Product_Structure[Generic Name (long)],MATCH(Товары[[#This Row],[SubGroup]],Product_Structure[Subgroup],0)),"")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Row],[SubGroup]],DIY!$B:$C,2,FALSE),0)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3" t="str">
        <f>IFERROR(INDEX(Product_Structure[SuperCategory],MATCH(Товары[[#This Row],[SubGroup]],Product_Structure[Subgroup],0)),"")</f>
        <v>A</v>
      </c>
      <c r="D146" s="113" t="str">
        <f>IFERROR(INDEX(Product_Structure[SuperCategory Name ENG],MATCH(Товары[[#This Row],[SubGroup]],Product_Structure[Subgroup],0)),"")</f>
        <v>Hand&amp;Cutting tools, Accessories</v>
      </c>
      <c r="E1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6" s="113" t="str">
        <f>IFERROR(INDEX(Product_Structure[Product group],MATCH(Товары[[#This Row],[SubGroup]],Product_Structure[Subgroup],0)),"")</f>
        <v>AMA_C</v>
      </c>
      <c r="G146" s="113" t="str">
        <f>IFERROR(INDEX(Product_Structure[Product group name ENG],MATCH(Товары[[#This Row],[SubGroup]],Product_Structure[Subgroup],0)),"")</f>
        <v>Accessories, Manual, Accessories</v>
      </c>
      <c r="H146" s="113" t="str">
        <f>IFERROR(INDEX(Product_Structure[Generic Name (long)3],MATCH(Товары[[#This Row],[SubGroup]],Product_Structure[Subgroup],0)),"")</f>
        <v>Перчатки садовые</v>
      </c>
      <c r="I146" s="36">
        <v>9242</v>
      </c>
      <c r="J146" s="36" t="str">
        <f>IFERROR(INDEX(Product_Structure[Generic Name (long)],MATCH(Товары[[#This Row],[SubGroup]],Product_Structure[Subgroup],0)),"")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Row],[SubGroup]],DIY!$B:$C,2,FALSE),0)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3" t="str">
        <f>IFERROR(INDEX(Product_Structure[SuperCategory],MATCH(Товары[[#This Row],[SubGroup]],Product_Structure[Subgroup],0)),"")</f>
        <v>A</v>
      </c>
      <c r="D147" s="113" t="str">
        <f>IFERROR(INDEX(Product_Structure[SuperCategory Name ENG],MATCH(Товары[[#This Row],[SubGroup]],Product_Structure[Subgroup],0)),"")</f>
        <v>Hand&amp;Cutting tools, Accessories</v>
      </c>
      <c r="E1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7" s="113" t="str">
        <f>IFERROR(INDEX(Product_Structure[Product group],MATCH(Товары[[#This Row],[SubGroup]],Product_Structure[Subgroup],0)),"")</f>
        <v>AMA_C</v>
      </c>
      <c r="G147" s="113" t="str">
        <f>IFERROR(INDEX(Product_Structure[Product group name ENG],MATCH(Товары[[#This Row],[SubGroup]],Product_Structure[Subgroup],0)),"")</f>
        <v>Accessories, Manual, Accessories</v>
      </c>
      <c r="H147" s="113" t="str">
        <f>IFERROR(INDEX(Product_Structure[Generic Name (long)3],MATCH(Товары[[#This Row],[SubGroup]],Product_Structure[Subgroup],0)),"")</f>
        <v>Перчатки садовые</v>
      </c>
      <c r="I147" s="36">
        <v>9242</v>
      </c>
      <c r="J147" s="36" t="str">
        <f>IFERROR(INDEX(Product_Structure[Generic Name (long)],MATCH(Товары[[#This Row],[SubGroup]],Product_Structure[Subgroup],0)),"")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Row],[SubGroup]],DIY!$B:$C,2,FALSE),0)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3" t="str">
        <f>IFERROR(INDEX(Product_Structure[SuperCategory],MATCH(Товары[[#This Row],[SubGroup]],Product_Structure[Subgroup],0)),"")</f>
        <v>A</v>
      </c>
      <c r="D148" s="113" t="str">
        <f>IFERROR(INDEX(Product_Structure[SuperCategory Name ENG],MATCH(Товары[[#This Row],[SubGroup]],Product_Structure[Subgroup],0)),"")</f>
        <v>Hand&amp;Cutting tools, Accessories</v>
      </c>
      <c r="E1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8" s="113" t="str">
        <f>IFERROR(INDEX(Product_Structure[Product group],MATCH(Товары[[#This Row],[SubGroup]],Product_Structure[Subgroup],0)),"")</f>
        <v>AMA_C</v>
      </c>
      <c r="G148" s="113" t="str">
        <f>IFERROR(INDEX(Product_Structure[Product group name ENG],MATCH(Товары[[#This Row],[SubGroup]],Product_Structure[Subgroup],0)),"")</f>
        <v>Accessories, Manual, Accessories</v>
      </c>
      <c r="H148" s="113" t="str">
        <f>IFERROR(INDEX(Product_Structure[Generic Name (long)3],MATCH(Товары[[#This Row],[SubGroup]],Product_Structure[Subgroup],0)),"")</f>
        <v>Перчатки садовые</v>
      </c>
      <c r="I148" s="36">
        <v>9242</v>
      </c>
      <c r="J148" s="36" t="str">
        <f>IFERROR(INDEX(Product_Structure[Generic Name (long)],MATCH(Товары[[#This Row],[SubGroup]],Product_Structure[Subgroup],0)),"")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Row],[SubGroup]],DIY!$B:$C,2,FALSE),0)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3" t="str">
        <f>IFERROR(INDEX(Product_Structure[SuperCategory],MATCH(Товары[[#This Row],[SubGroup]],Product_Structure[Subgroup],0)),"")</f>
        <v>A</v>
      </c>
      <c r="D149" s="113" t="str">
        <f>IFERROR(INDEX(Product_Structure[SuperCategory Name ENG],MATCH(Товары[[#This Row],[SubGroup]],Product_Structure[Subgroup],0)),"")</f>
        <v>Hand&amp;Cutting tools, Accessories</v>
      </c>
      <c r="E1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49" s="113" t="str">
        <f>IFERROR(INDEX(Product_Structure[Product group],MATCH(Товары[[#This Row],[SubGroup]],Product_Structure[Subgroup],0)),"")</f>
        <v>AMA_C</v>
      </c>
      <c r="G149" s="113" t="str">
        <f>IFERROR(INDEX(Product_Structure[Product group name ENG],MATCH(Товары[[#This Row],[SubGroup]],Product_Structure[Subgroup],0)),"")</f>
        <v>Accessories, Manual, Accessories</v>
      </c>
      <c r="H149" s="113" t="str">
        <f>IFERROR(INDEX(Product_Structure[Generic Name (long)3],MATCH(Товары[[#This Row],[SubGroup]],Product_Structure[Subgroup],0)),"")</f>
        <v>Перчатки садовые</v>
      </c>
      <c r="I149" s="36">
        <v>9242</v>
      </c>
      <c r="J149" s="36" t="str">
        <f>IFERROR(INDEX(Product_Structure[Generic Name (long)],MATCH(Товары[[#This Row],[SubGroup]],Product_Structure[Subgroup],0)),"")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Row],[SubGroup]],DIY!$B:$C,2,FALSE),0)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3" t="str">
        <f>IFERROR(INDEX(Product_Structure[SuperCategory],MATCH(Товары[[#This Row],[SubGroup]],Product_Structure[Subgroup],0)),"")</f>
        <v>A</v>
      </c>
      <c r="D150" s="113" t="str">
        <f>IFERROR(INDEX(Product_Structure[SuperCategory Name ENG],MATCH(Товары[[#This Row],[SubGroup]],Product_Structure[Subgroup],0)),"")</f>
        <v>Hand&amp;Cutting tools, Accessories</v>
      </c>
      <c r="E1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0" s="113" t="str">
        <f>IFERROR(INDEX(Product_Structure[Product group],MATCH(Товары[[#This Row],[SubGroup]],Product_Structure[Subgroup],0)),"")</f>
        <v>AMA_C</v>
      </c>
      <c r="G150" s="113" t="str">
        <f>IFERROR(INDEX(Product_Structure[Product group name ENG],MATCH(Товары[[#This Row],[SubGroup]],Product_Structure[Subgroup],0)),"")</f>
        <v>Accessories, Manual, Accessories</v>
      </c>
      <c r="H150" s="113" t="str">
        <f>IFERROR(INDEX(Product_Structure[Generic Name (long)3],MATCH(Товары[[#This Row],[SubGroup]],Product_Structure[Subgroup],0)),"")</f>
        <v>Перчатки садовые</v>
      </c>
      <c r="I150" s="36">
        <v>9242</v>
      </c>
      <c r="J150" s="36" t="str">
        <f>IFERROR(INDEX(Product_Structure[Generic Name (long)],MATCH(Товары[[#This Row],[SubGroup]],Product_Structure[Subgroup],0)),"")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Row],[SubGroup]],DIY!$B:$C,2,FALSE),0)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3" t="str">
        <f>IFERROR(INDEX(Product_Structure[SuperCategory],MATCH(Товары[[#This Row],[SubGroup]],Product_Structure[Subgroup],0)),"")</f>
        <v>A</v>
      </c>
      <c r="D151" s="113" t="str">
        <f>IFERROR(INDEX(Product_Structure[SuperCategory Name ENG],MATCH(Товары[[#This Row],[SubGroup]],Product_Structure[Subgroup],0)),"")</f>
        <v>Hand&amp;Cutting tools, Accessories</v>
      </c>
      <c r="E1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1" s="113" t="str">
        <f>IFERROR(INDEX(Product_Structure[Product group],MATCH(Товары[[#This Row],[SubGroup]],Product_Structure[Subgroup],0)),"")</f>
        <v>AMA_C</v>
      </c>
      <c r="G151" s="113" t="str">
        <f>IFERROR(INDEX(Product_Structure[Product group name ENG],MATCH(Товары[[#This Row],[SubGroup]],Product_Structure[Subgroup],0)),"")</f>
        <v>Accessories, Manual, Accessories</v>
      </c>
      <c r="H151" s="113" t="str">
        <f>IFERROR(INDEX(Product_Structure[Generic Name (long)3],MATCH(Товары[[#This Row],[SubGroup]],Product_Structure[Subgroup],0)),"")</f>
        <v>Разбрасыватели-сеялки</v>
      </c>
      <c r="I151" s="36">
        <v>9232</v>
      </c>
      <c r="J151" s="36" t="str">
        <f>IFERROR(INDEX(Product_Structure[Generic Name (long)],MATCH(Товары[[#This Row],[SubGroup]],Product_Structure[Subgroup],0)),"")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Row],[SubGroup]],DIY!$B:$C,2,FALSE),0)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3" t="str">
        <f>IFERROR(INDEX(Product_Structure[SuperCategory],MATCH(Товары[[#This Row],[SubGroup]],Product_Structure[Subgroup],0)),"")</f>
        <v>A</v>
      </c>
      <c r="D152" s="113" t="str">
        <f>IFERROR(INDEX(Product_Structure[SuperCategory Name ENG],MATCH(Товары[[#This Row],[SubGroup]],Product_Structure[Subgroup],0)),"")</f>
        <v>Hand&amp;Cutting tools, Accessories</v>
      </c>
      <c r="E1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2" s="113" t="str">
        <f>IFERROR(INDEX(Product_Structure[Product group],MATCH(Товары[[#This Row],[SubGroup]],Product_Structure[Subgroup],0)),"")</f>
        <v>AMA_C</v>
      </c>
      <c r="G152" s="113" t="str">
        <f>IFERROR(INDEX(Product_Structure[Product group name ENG],MATCH(Товары[[#This Row],[SubGroup]],Product_Structure[Subgroup],0)),"")</f>
        <v>Accessories, Manual, Accessories</v>
      </c>
      <c r="H152" s="113" t="str">
        <f>IFERROR(INDEX(Product_Structure[Generic Name (long)3],MATCH(Товары[[#This Row],[SubGroup]],Product_Structure[Subgroup],0)),"")</f>
        <v>Разбрасыватели-сеялки</v>
      </c>
      <c r="I152" s="36">
        <v>9232</v>
      </c>
      <c r="J152" s="36" t="str">
        <f>IFERROR(INDEX(Product_Structure[Generic Name (long)],MATCH(Товары[[#This Row],[SubGroup]],Product_Structure[Subgroup],0)),"")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Row],[SubGroup]],DIY!$B:$C,2,FALSE),0)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3" t="str">
        <f>IFERROR(INDEX(Product_Structure[SuperCategory],MATCH(Товары[[#This Row],[SubGroup]],Product_Structure[Subgroup],0)),"")</f>
        <v>A</v>
      </c>
      <c r="D153" s="113" t="str">
        <f>IFERROR(INDEX(Product_Structure[SuperCategory Name ENG],MATCH(Товары[[#This Row],[SubGroup]],Product_Structure[Subgroup],0)),"")</f>
        <v>Hand&amp;Cutting tools, Accessories</v>
      </c>
      <c r="E1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3" s="113" t="str">
        <f>IFERROR(INDEX(Product_Structure[Product group],MATCH(Товары[[#This Row],[SubGroup]],Product_Structure[Subgroup],0)),"")</f>
        <v>AMA_C</v>
      </c>
      <c r="G153" s="113" t="str">
        <f>IFERROR(INDEX(Product_Structure[Product group name ENG],MATCH(Товары[[#This Row],[SubGroup]],Product_Structure[Subgroup],0)),"")</f>
        <v>Accessories, Manual, Accessories</v>
      </c>
      <c r="H153" s="113" t="str">
        <f>IFERROR(INDEX(Product_Structure[Generic Name (long)3],MATCH(Товары[[#This Row],[SubGroup]],Product_Structure[Subgroup],0)),"")</f>
        <v>Разбрасыватели-сеялки</v>
      </c>
      <c r="I153" s="36">
        <v>9232</v>
      </c>
      <c r="J153" s="36" t="str">
        <f>IFERROR(INDEX(Product_Structure[Generic Name (long)],MATCH(Товары[[#This Row],[SubGroup]],Product_Structure[Subgroup],0)),"")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Row],[SubGroup]],DIY!$B:$C,2,FALSE),0)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3" t="str">
        <f>IFERROR(INDEX(Product_Structure[SuperCategory],MATCH(Товары[[#This Row],[SubGroup]],Product_Structure[Subgroup],0)),"")</f>
        <v>A</v>
      </c>
      <c r="D154" s="113" t="str">
        <f>IFERROR(INDEX(Product_Structure[SuperCategory Name ENG],MATCH(Товары[[#This Row],[SubGroup]],Product_Structure[Subgroup],0)),"")</f>
        <v>Hand&amp;Cutting tools, Accessories</v>
      </c>
      <c r="E1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4" s="113" t="str">
        <f>IFERROR(INDEX(Product_Structure[Product group],MATCH(Товары[[#This Row],[SubGroup]],Product_Structure[Subgroup],0)),"")</f>
        <v>AMA_C</v>
      </c>
      <c r="G154" s="113" t="str">
        <f>IFERROR(INDEX(Product_Structure[Product group name ENG],MATCH(Товары[[#This Row],[SubGroup]],Product_Structure[Subgroup],0)),"")</f>
        <v>Accessories, Manual, Accessories</v>
      </c>
      <c r="H154" s="113" t="str">
        <f>IFERROR(INDEX(Product_Structure[Generic Name (long)3],MATCH(Товары[[#This Row],[SubGroup]],Product_Structure[Subgroup],0)),"")</f>
        <v>Разбрасыватели-сеялки</v>
      </c>
      <c r="I154" s="36">
        <v>9232</v>
      </c>
      <c r="J154" s="36" t="str">
        <f>IFERROR(INDEX(Product_Structure[Generic Name (long)],MATCH(Товары[[#This Row],[SubGroup]],Product_Structure[Subgroup],0)),"")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Row],[SubGroup]],DIY!$B:$C,2,FALSE),0)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3" t="str">
        <f>IFERROR(INDEX(Product_Structure[SuperCategory],MATCH(Товары[[#This Row],[SubGroup]],Product_Structure[Subgroup],0)),"")</f>
        <v>A</v>
      </c>
      <c r="D155" s="113" t="str">
        <f>IFERROR(INDEX(Product_Structure[SuperCategory Name ENG],MATCH(Товары[[#This Row],[SubGroup]],Product_Structure[Subgroup],0)),"")</f>
        <v>Hand&amp;Cutting tools, Accessories</v>
      </c>
      <c r="E1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5" s="113" t="str">
        <f>IFERROR(INDEX(Product_Structure[Product group],MATCH(Товары[[#This Row],[SubGroup]],Product_Structure[Subgroup],0)),"")</f>
        <v>AMA_C</v>
      </c>
      <c r="G155" s="113" t="str">
        <f>IFERROR(INDEX(Product_Structure[Product group name ENG],MATCH(Товары[[#This Row],[SubGroup]],Product_Structure[Subgroup],0)),"")</f>
        <v>Accessories, Manual, Accessories</v>
      </c>
      <c r="H155" s="113" t="str">
        <f>IFERROR(INDEX(Product_Structure[Generic Name (long)3],MATCH(Товары[[#This Row],[SubGroup]],Product_Structure[Subgroup],0)),"")</f>
        <v>Разбрасыватели-сеялки</v>
      </c>
      <c r="I155" s="36">
        <v>9232</v>
      </c>
      <c r="J155" s="36" t="str">
        <f>IFERROR(INDEX(Product_Structure[Generic Name (long)],MATCH(Товары[[#This Row],[SubGroup]],Product_Structure[Subgroup],0)),"")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Row],[SubGroup]],DIY!$B:$C,2,FALSE),0)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3" t="str">
        <f>IFERROR(INDEX(Product_Structure[SuperCategory],MATCH(Товары[[#This Row],[SubGroup]],Product_Structure[Subgroup],0)),"")</f>
        <v>A</v>
      </c>
      <c r="D156" s="113" t="str">
        <f>IFERROR(INDEX(Product_Structure[SuperCategory Name ENG],MATCH(Товары[[#This Row],[SubGroup]],Product_Structure[Subgroup],0)),"")</f>
        <v>Hand&amp;Cutting tools, Accessories</v>
      </c>
      <c r="E1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6" s="113" t="str">
        <f>IFERROR(INDEX(Product_Structure[Product group],MATCH(Товары[[#This Row],[SubGroup]],Product_Structure[Subgroup],0)),"")</f>
        <v>AMA_C</v>
      </c>
      <c r="G156" s="113" t="str">
        <f>IFERROR(INDEX(Product_Structure[Product group name ENG],MATCH(Товары[[#This Row],[SubGroup]],Product_Structure[Subgroup],0)),"")</f>
        <v>Accessories, Manual, Accessories</v>
      </c>
      <c r="H156" s="113" t="str">
        <f>IFERROR(INDEX(Product_Structure[Generic Name (long)3],MATCH(Товары[[#This Row],[SubGroup]],Product_Structure[Subgroup],0)),"")</f>
        <v>Опрыскиватели ручные, помповые</v>
      </c>
      <c r="I156" s="36">
        <v>9241</v>
      </c>
      <c r="J156" s="36" t="str">
        <f>IFERROR(INDEX(Product_Structure[Generic Name (long)],MATCH(Товары[[#This Row],[SubGroup]],Product_Structure[Subgroup],0)),"")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Row],[SubGroup]],DIY!$B:$C,2,FALSE),0)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3" t="str">
        <f>IFERROR(INDEX(Product_Structure[SuperCategory],MATCH(Товары[[#This Row],[SubGroup]],Product_Structure[Subgroup],0)),"")</f>
        <v>A</v>
      </c>
      <c r="D157" s="113" t="str">
        <f>IFERROR(INDEX(Product_Structure[SuperCategory Name ENG],MATCH(Товары[[#This Row],[SubGroup]],Product_Structure[Subgroup],0)),"")</f>
        <v>Hand&amp;Cutting tools, Accessories</v>
      </c>
      <c r="E15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7" s="113" t="str">
        <f>IFERROR(INDEX(Product_Structure[Product group],MATCH(Товары[[#This Row],[SubGroup]],Product_Structure[Subgroup],0)),"")</f>
        <v>AMA_C</v>
      </c>
      <c r="G157" s="113" t="str">
        <f>IFERROR(INDEX(Product_Structure[Product group name ENG],MATCH(Товары[[#This Row],[SubGroup]],Product_Structure[Subgroup],0)),"")</f>
        <v>Accessories, Manual, Accessories</v>
      </c>
      <c r="H157" s="113" t="str">
        <f>IFERROR(INDEX(Product_Structure[Generic Name (long)3],MATCH(Товары[[#This Row],[SubGroup]],Product_Structure[Subgroup],0)),"")</f>
        <v>Пружины</v>
      </c>
      <c r="I157" s="36">
        <v>9291</v>
      </c>
      <c r="J157" s="36" t="str">
        <f>IFERROR(INDEX(Product_Structure[Generic Name (long)],MATCH(Товары[[#This Row],[SubGroup]],Product_Structure[Subgroup],0)),"")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Row],[SubGroup]],DIY!$B:$C,2,FALSE),0)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3" t="str">
        <f>IFERROR(INDEX(Product_Structure[SuperCategory],MATCH(Товары[[#This Row],[SubGroup]],Product_Structure[Subgroup],0)),"")</f>
        <v>A</v>
      </c>
      <c r="D158" s="113" t="str">
        <f>IFERROR(INDEX(Product_Structure[SuperCategory Name ENG],MATCH(Товары[[#This Row],[SubGroup]],Product_Structure[Subgroup],0)),"")</f>
        <v>Hand&amp;Cutting tools, Accessories</v>
      </c>
      <c r="E15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8" s="113" t="str">
        <f>IFERROR(INDEX(Product_Structure[Product group],MATCH(Товары[[#This Row],[SubGroup]],Product_Structure[Subgroup],0)),"")</f>
        <v>AMA_C</v>
      </c>
      <c r="G158" s="113" t="str">
        <f>IFERROR(INDEX(Product_Structure[Product group name ENG],MATCH(Товары[[#This Row],[SubGroup]],Product_Structure[Subgroup],0)),"")</f>
        <v>Accessories, Manual, Accessories</v>
      </c>
      <c r="H158" s="113" t="str">
        <f>IFERROR(INDEX(Product_Structure[Generic Name (long)3],MATCH(Товары[[#This Row],[SubGroup]],Product_Structure[Subgroup],0)),"")</f>
        <v>Пружины</v>
      </c>
      <c r="I158" s="36">
        <v>9291</v>
      </c>
      <c r="J158" s="36" t="str">
        <f>IFERROR(INDEX(Product_Structure[Generic Name (long)],MATCH(Товары[[#This Row],[SubGroup]],Product_Structure[Subgroup],0)),"")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Row],[SubGroup]],DIY!$B:$C,2,FALSE),0)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3" t="str">
        <f>IFERROR(INDEX(Product_Structure[SuperCategory],MATCH(Товары[[#This Row],[SubGroup]],Product_Structure[Subgroup],0)),"")</f>
        <v>A</v>
      </c>
      <c r="D159" s="113" t="str">
        <f>IFERROR(INDEX(Product_Structure[SuperCategory Name ENG],MATCH(Товары[[#This Row],[SubGroup]],Product_Structure[Subgroup],0)),"")</f>
        <v>Hand&amp;Cutting tools, Accessories</v>
      </c>
      <c r="E15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59" s="113" t="str">
        <f>IFERROR(INDEX(Product_Structure[Product group],MATCH(Товары[[#This Row],[SubGroup]],Product_Structure[Subgroup],0)),"")</f>
        <v>AMA_C</v>
      </c>
      <c r="G159" s="113" t="str">
        <f>IFERROR(INDEX(Product_Structure[Product group name ENG],MATCH(Товары[[#This Row],[SubGroup]],Product_Structure[Subgroup],0)),"")</f>
        <v>Accessories, Manual, Accessories</v>
      </c>
      <c r="H159" s="113" t="str">
        <f>IFERROR(INDEX(Product_Structure[Generic Name (long)3],MATCH(Товары[[#This Row],[SubGroup]],Product_Structure[Subgroup],0)),"")</f>
        <v>Опрыскиватели ручные, помповые</v>
      </c>
      <c r="I159" s="36">
        <v>9241</v>
      </c>
      <c r="J159" s="36" t="str">
        <f>IFERROR(INDEX(Product_Structure[Generic Name (long)],MATCH(Товары[[#This Row],[SubGroup]],Product_Structure[Subgroup],0)),"")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Row],[SubGroup]],DIY!$B:$C,2,FALSE),0)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3" t="str">
        <f>IFERROR(INDEX(Product_Structure[SuperCategory],MATCH(Товары[[#This Row],[SubGroup]],Product_Structure[Subgroup],0)),"")</f>
        <v>A</v>
      </c>
      <c r="D160" s="113" t="str">
        <f>IFERROR(INDEX(Product_Structure[SuperCategory Name ENG],MATCH(Товары[[#This Row],[SubGroup]],Product_Structure[Subgroup],0)),"")</f>
        <v>Hand&amp;Cutting tools, Accessories</v>
      </c>
      <c r="E16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0" s="113" t="str">
        <f>IFERROR(INDEX(Product_Structure[Product group],MATCH(Товары[[#This Row],[SubGroup]],Product_Structure[Subgroup],0)),"")</f>
        <v>AMC_C</v>
      </c>
      <c r="G160" s="113" t="str">
        <f>IFERROR(INDEX(Product_Structure[Product group name ENG],MATCH(Товары[[#This Row],[SubGroup]],Product_Structure[Subgroup],0)),"")</f>
        <v>Accessories, Manual, Cutting</v>
      </c>
      <c r="H160" s="113" t="str">
        <f>IFERROR(INDEX(Product_Structure[Generic Name (long)3],MATCH(Товары[[#This Row],[SubGroup]],Product_Structure[Subgroup],0)),"")</f>
        <v>Секаторы</v>
      </c>
      <c r="I160" s="36">
        <v>9211</v>
      </c>
      <c r="J160" s="36" t="str">
        <f>IFERROR(INDEX(Product_Structure[Generic Name (long)],MATCH(Товары[[#This Row],[SubGroup]],Product_Structure[Subgroup],0)),"")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Row],[SubGroup]],DIY!$B:$C,2,FALSE),0)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3" t="str">
        <f>IFERROR(INDEX(Product_Structure[SuperCategory],MATCH(Товары[[#This Row],[SubGroup]],Product_Structure[Subgroup],0)),"")</f>
        <v>A</v>
      </c>
      <c r="D161" s="113" t="str">
        <f>IFERROR(INDEX(Product_Structure[SuperCategory Name ENG],MATCH(Товары[[#This Row],[SubGroup]],Product_Structure[Subgroup],0)),"")</f>
        <v>Hand&amp;Cutting tools, Accessories</v>
      </c>
      <c r="E16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1" s="113" t="str">
        <f>IFERROR(INDEX(Product_Structure[Product group],MATCH(Товары[[#This Row],[SubGroup]],Product_Structure[Subgroup],0)),"")</f>
        <v>AMC_C</v>
      </c>
      <c r="G161" s="113" t="str">
        <f>IFERROR(INDEX(Product_Structure[Product group name ENG],MATCH(Товары[[#This Row],[SubGroup]],Product_Structure[Subgroup],0)),"")</f>
        <v>Accessories, Manual, Cutting</v>
      </c>
      <c r="H161" s="113" t="str">
        <f>IFERROR(INDEX(Product_Structure[Generic Name (long)3],MATCH(Товары[[#This Row],[SubGroup]],Product_Structure[Subgroup],0)),"")</f>
        <v>Секаторы</v>
      </c>
      <c r="I161" s="36">
        <v>9211</v>
      </c>
      <c r="J161" s="36" t="str">
        <f>IFERROR(INDEX(Product_Structure[Generic Name (long)],MATCH(Товары[[#This Row],[SubGroup]],Product_Structure[Subgroup],0)),"")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Row],[SubGroup]],DIY!$B:$C,2,FALSE),0)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3" t="str">
        <f>IFERROR(INDEX(Product_Structure[SuperCategory],MATCH(Товары[[#This Row],[SubGroup]],Product_Structure[Subgroup],0)),"")</f>
        <v>A</v>
      </c>
      <c r="D162" s="113" t="str">
        <f>IFERROR(INDEX(Product_Structure[SuperCategory Name ENG],MATCH(Товары[[#This Row],[SubGroup]],Product_Structure[Subgroup],0)),"")</f>
        <v>Hand&amp;Cutting tools, Accessories</v>
      </c>
      <c r="E16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2" s="113" t="str">
        <f>IFERROR(INDEX(Product_Structure[Product group],MATCH(Товары[[#This Row],[SubGroup]],Product_Structure[Subgroup],0)),"")</f>
        <v>AMC_C</v>
      </c>
      <c r="G162" s="113" t="str">
        <f>IFERROR(INDEX(Product_Structure[Product group name ENG],MATCH(Товары[[#This Row],[SubGroup]],Product_Structure[Subgroup],0)),"")</f>
        <v>Accessories, Manual, Cutting</v>
      </c>
      <c r="H162" s="113" t="str">
        <f>IFERROR(INDEX(Product_Structure[Generic Name (long)3],MATCH(Товары[[#This Row],[SubGroup]],Product_Structure[Subgroup],0)),"")</f>
        <v>Секаторы</v>
      </c>
      <c r="I162" s="36">
        <v>9211</v>
      </c>
      <c r="J162" s="36" t="str">
        <f>IFERROR(INDEX(Product_Structure[Generic Name (long)],MATCH(Товары[[#This Row],[SubGroup]],Product_Structure[Subgroup],0)),"")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Row],[SubGroup]],DIY!$B:$C,2,FALSE),0)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3" t="str">
        <f>IFERROR(INDEX(Product_Structure[SuperCategory],MATCH(Товары[[#This Row],[SubGroup]],Product_Structure[Subgroup],0)),"")</f>
        <v>A</v>
      </c>
      <c r="D163" s="113" t="str">
        <f>IFERROR(INDEX(Product_Structure[SuperCategory Name ENG],MATCH(Товары[[#This Row],[SubGroup]],Product_Structure[Subgroup],0)),"")</f>
        <v>Hand&amp;Cutting tools, Accessories</v>
      </c>
      <c r="E16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3" s="113" t="str">
        <f>IFERROR(INDEX(Product_Structure[Product group],MATCH(Товары[[#This Row],[SubGroup]],Product_Structure[Subgroup],0)),"")</f>
        <v>AMC_C</v>
      </c>
      <c r="G163" s="113" t="str">
        <f>IFERROR(INDEX(Product_Structure[Product group name ENG],MATCH(Товары[[#This Row],[SubGroup]],Product_Structure[Subgroup],0)),"")</f>
        <v>Accessories, Manual, Cutting</v>
      </c>
      <c r="H163" s="113" t="str">
        <f>IFERROR(INDEX(Product_Structure[Generic Name (long)3],MATCH(Товары[[#This Row],[SubGroup]],Product_Structure[Subgroup],0)),"")</f>
        <v>Секаторы</v>
      </c>
      <c r="I163" s="36">
        <v>9211</v>
      </c>
      <c r="J163" s="36" t="str">
        <f>IFERROR(INDEX(Product_Structure[Generic Name (long)],MATCH(Товары[[#This Row],[SubGroup]],Product_Structure[Subgroup],0)),"")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Row],[SubGroup]],DIY!$B:$C,2,FALSE),0)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3" t="str">
        <f>IFERROR(INDEX(Product_Structure[SuperCategory],MATCH(Товары[[#This Row],[SubGroup]],Product_Structure[Subgroup],0)),"")</f>
        <v>A</v>
      </c>
      <c r="D164" s="113" t="str">
        <f>IFERROR(INDEX(Product_Structure[SuperCategory Name ENG],MATCH(Товары[[#This Row],[SubGroup]],Product_Structure[Subgroup],0)),"")</f>
        <v>Hand&amp;Cutting tools, Accessories</v>
      </c>
      <c r="E16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4" s="113" t="str">
        <f>IFERROR(INDEX(Product_Structure[Product group],MATCH(Товары[[#This Row],[SubGroup]],Product_Structure[Subgroup],0)),"")</f>
        <v>AMC_C</v>
      </c>
      <c r="G164" s="113" t="str">
        <f>IFERROR(INDEX(Product_Structure[Product group name ENG],MATCH(Товары[[#This Row],[SubGroup]],Product_Structure[Subgroup],0)),"")</f>
        <v>Accessories, Manual, Cutting</v>
      </c>
      <c r="H164" s="113" t="str">
        <f>IFERROR(INDEX(Product_Structure[Generic Name (long)3],MATCH(Товары[[#This Row],[SubGroup]],Product_Structure[Subgroup],0)),"")</f>
        <v>Секаторы</v>
      </c>
      <c r="I164" s="36">
        <v>9211</v>
      </c>
      <c r="J164" s="36" t="str">
        <f>IFERROR(INDEX(Product_Structure[Generic Name (long)],MATCH(Товары[[#This Row],[SubGroup]],Product_Structure[Subgroup],0)),"")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Row],[SubGroup]],DIY!$B:$C,2,FALSE),0)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3" t="str">
        <f>IFERROR(INDEX(Product_Structure[SuperCategory],MATCH(Товары[[#This Row],[SubGroup]],Product_Structure[Subgroup],0)),"")</f>
        <v>A</v>
      </c>
      <c r="D165" s="113" t="str">
        <f>IFERROR(INDEX(Product_Structure[SuperCategory Name ENG],MATCH(Товары[[#This Row],[SubGroup]],Product_Structure[Subgroup],0)),"")</f>
        <v>Hand&amp;Cutting tools, Accessories</v>
      </c>
      <c r="E16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5" s="113" t="str">
        <f>IFERROR(INDEX(Product_Structure[Product group],MATCH(Товары[[#This Row],[SubGroup]],Product_Structure[Subgroup],0)),"")</f>
        <v>AMC_C</v>
      </c>
      <c r="G165" s="113" t="str">
        <f>IFERROR(INDEX(Product_Structure[Product group name ENG],MATCH(Товары[[#This Row],[SubGroup]],Product_Structure[Subgroup],0)),"")</f>
        <v>Accessories, Manual, Cutting</v>
      </c>
      <c r="H165" s="113" t="str">
        <f>IFERROR(INDEX(Product_Structure[Generic Name (long)3],MATCH(Товары[[#This Row],[SubGroup]],Product_Structure[Subgroup],0)),"")</f>
        <v>Секаторы</v>
      </c>
      <c r="I165" s="36">
        <v>9211</v>
      </c>
      <c r="J165" s="36" t="str">
        <f>IFERROR(INDEX(Product_Structure[Generic Name (long)],MATCH(Товары[[#This Row],[SubGroup]],Product_Structure[Subgroup],0)),"")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Row],[SubGroup]],DIY!$B:$C,2,FALSE),0)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3" t="str">
        <f>IFERROR(INDEX(Product_Structure[SuperCategory],MATCH(Товары[[#This Row],[SubGroup]],Product_Structure[Subgroup],0)),"")</f>
        <v>A</v>
      </c>
      <c r="D166" s="113" t="str">
        <f>IFERROR(INDEX(Product_Structure[SuperCategory Name ENG],MATCH(Товары[[#This Row],[SubGroup]],Product_Structure[Subgroup],0)),"")</f>
        <v>Hand&amp;Cutting tools, Accessories</v>
      </c>
      <c r="E16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6" s="113" t="str">
        <f>IFERROR(INDEX(Product_Structure[Product group],MATCH(Товары[[#This Row],[SubGroup]],Product_Structure[Subgroup],0)),"")</f>
        <v>AMC_C</v>
      </c>
      <c r="G166" s="113" t="str">
        <f>IFERROR(INDEX(Product_Structure[Product group name ENG],MATCH(Товары[[#This Row],[SubGroup]],Product_Structure[Subgroup],0)),"")</f>
        <v>Accessories, Manual, Cutting</v>
      </c>
      <c r="H166" s="113" t="str">
        <f>IFERROR(INDEX(Product_Structure[Generic Name (long)3],MATCH(Товары[[#This Row],[SubGroup]],Product_Structure[Subgroup],0)),"")</f>
        <v>Секаторы</v>
      </c>
      <c r="I166" s="36">
        <v>9211</v>
      </c>
      <c r="J166" s="36" t="str">
        <f>IFERROR(INDEX(Product_Structure[Generic Name (long)],MATCH(Товары[[#This Row],[SubGroup]],Product_Structure[Subgroup],0)),"")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Row],[SubGroup]],DIY!$B:$C,2,FALSE),0)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3" t="str">
        <f>IFERROR(INDEX(Product_Structure[SuperCategory],MATCH(Товары[[#This Row],[SubGroup]],Product_Structure[Subgroup],0)),"")</f>
        <v>A</v>
      </c>
      <c r="D167" s="113" t="str">
        <f>IFERROR(INDEX(Product_Structure[SuperCategory Name ENG],MATCH(Товары[[#This Row],[SubGroup]],Product_Structure[Subgroup],0)),"")</f>
        <v>Hand&amp;Cutting tools, Accessories</v>
      </c>
      <c r="E16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7" s="113" t="str">
        <f>IFERROR(INDEX(Product_Structure[Product group],MATCH(Товары[[#This Row],[SubGroup]],Product_Structure[Subgroup],0)),"")</f>
        <v>AMC_C</v>
      </c>
      <c r="G167" s="113" t="str">
        <f>IFERROR(INDEX(Product_Structure[Product group name ENG],MATCH(Товары[[#This Row],[SubGroup]],Product_Structure[Subgroup],0)),"")</f>
        <v>Accessories, Manual, Cutting</v>
      </c>
      <c r="H167" s="113" t="str">
        <f>IFERROR(INDEX(Product_Structure[Generic Name (long)3],MATCH(Товары[[#This Row],[SubGroup]],Product_Structure[Subgroup],0)),"")</f>
        <v>Секаторы</v>
      </c>
      <c r="I167" s="36">
        <v>9211</v>
      </c>
      <c r="J167" s="36" t="str">
        <f>IFERROR(INDEX(Product_Structure[Generic Name (long)],MATCH(Товары[[#This Row],[SubGroup]],Product_Structure[Subgroup],0)),"")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Row],[SubGroup]],DIY!$B:$C,2,FALSE),0)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3" t="str">
        <f>IFERROR(INDEX(Product_Structure[SuperCategory],MATCH(Товары[[#This Row],[SubGroup]],Product_Structure[Subgroup],0)),"")</f>
        <v>A</v>
      </c>
      <c r="D168" s="113" t="str">
        <f>IFERROR(INDEX(Product_Structure[SuperCategory Name ENG],MATCH(Товары[[#This Row],[SubGroup]],Product_Structure[Subgroup],0)),"")</f>
        <v>Hand&amp;Cutting tools, Accessories</v>
      </c>
      <c r="E16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8" s="113" t="str">
        <f>IFERROR(INDEX(Product_Structure[Product group],MATCH(Товары[[#This Row],[SubGroup]],Product_Structure[Subgroup],0)),"")</f>
        <v>AMC_C</v>
      </c>
      <c r="G168" s="113" t="str">
        <f>IFERROR(INDEX(Product_Structure[Product group name ENG],MATCH(Товары[[#This Row],[SubGroup]],Product_Structure[Subgroup],0)),"")</f>
        <v>Accessories, Manual, Cutting</v>
      </c>
      <c r="H168" s="113" t="str">
        <f>IFERROR(INDEX(Product_Structure[Generic Name (long)3],MATCH(Товары[[#This Row],[SubGroup]],Product_Structure[Subgroup],0)),"")</f>
        <v>Секаторы</v>
      </c>
      <c r="I168" s="36">
        <v>9211</v>
      </c>
      <c r="J168" s="36" t="str">
        <f>IFERROR(INDEX(Product_Structure[Generic Name (long)],MATCH(Товары[[#This Row],[SubGroup]],Product_Structure[Subgroup],0)),"")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Row],[SubGroup]],DIY!$B:$C,2,FALSE),0)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3" t="str">
        <f>IFERROR(INDEX(Product_Structure[SuperCategory],MATCH(Товары[[#This Row],[SubGroup]],Product_Structure[Subgroup],0)),"")</f>
        <v>A</v>
      </c>
      <c r="D169" s="113" t="str">
        <f>IFERROR(INDEX(Product_Structure[SuperCategory Name ENG],MATCH(Товары[[#This Row],[SubGroup]],Product_Structure[Subgroup],0)),"")</f>
        <v>Hand&amp;Cutting tools, Accessories</v>
      </c>
      <c r="E16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69" s="113" t="str">
        <f>IFERROR(INDEX(Product_Structure[Product group],MATCH(Товары[[#This Row],[SubGroup]],Product_Structure[Subgroup],0)),"")</f>
        <v>AMC_C</v>
      </c>
      <c r="G169" s="113" t="str">
        <f>IFERROR(INDEX(Product_Structure[Product group name ENG],MATCH(Товары[[#This Row],[SubGroup]],Product_Structure[Subgroup],0)),"")</f>
        <v>Accessories, Manual, Cutting</v>
      </c>
      <c r="H169" s="113" t="str">
        <f>IFERROR(INDEX(Product_Structure[Generic Name (long)3],MATCH(Товары[[#This Row],[SubGroup]],Product_Structure[Subgroup],0)),"")</f>
        <v>Секаторы</v>
      </c>
      <c r="I169" s="36">
        <v>9211</v>
      </c>
      <c r="J169" s="36" t="str">
        <f>IFERROR(INDEX(Product_Structure[Generic Name (long)],MATCH(Товары[[#This Row],[SubGroup]],Product_Structure[Subgroup],0)),"")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Row],[SubGroup]],DIY!$B:$C,2,FALSE),0)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3" t="str">
        <f>IFERROR(INDEX(Product_Structure[SuperCategory],MATCH(Товары[[#This Row],[SubGroup]],Product_Structure[Subgroup],0)),"")</f>
        <v>A</v>
      </c>
      <c r="D170" s="113" t="str">
        <f>IFERROR(INDEX(Product_Structure[SuperCategory Name ENG],MATCH(Товары[[#This Row],[SubGroup]],Product_Structure[Subgroup],0)),"")</f>
        <v>Hand&amp;Cutting tools, Accessories</v>
      </c>
      <c r="E17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0" s="113" t="str">
        <f>IFERROR(INDEX(Product_Structure[Product group],MATCH(Товары[[#This Row],[SubGroup]],Product_Structure[Subgroup],0)),"")</f>
        <v>AMC_C</v>
      </c>
      <c r="G170" s="113" t="str">
        <f>IFERROR(INDEX(Product_Structure[Product group name ENG],MATCH(Товары[[#This Row],[SubGroup]],Product_Structure[Subgroup],0)),"")</f>
        <v>Accessories, Manual, Cutting</v>
      </c>
      <c r="H170" s="113" t="str">
        <f>IFERROR(INDEX(Product_Structure[Generic Name (long)3],MATCH(Товары[[#This Row],[SubGroup]],Product_Structure[Subgroup],0)),"")</f>
        <v>Секаторы</v>
      </c>
      <c r="I170" s="36">
        <v>9211</v>
      </c>
      <c r="J170" s="36" t="str">
        <f>IFERROR(INDEX(Product_Structure[Generic Name (long)],MATCH(Товары[[#This Row],[SubGroup]],Product_Structure[Subgroup],0)),"")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Row],[SubGroup]],DIY!$B:$C,2,FALSE),0)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3" t="str">
        <f>IFERROR(INDEX(Product_Structure[SuperCategory],MATCH(Товары[[#This Row],[SubGroup]],Product_Structure[Subgroup],0)),"")</f>
        <v>A</v>
      </c>
      <c r="D171" s="113" t="str">
        <f>IFERROR(INDEX(Product_Structure[SuperCategory Name ENG],MATCH(Товары[[#This Row],[SubGroup]],Product_Structure[Subgroup],0)),"")</f>
        <v>Hand&amp;Cutting tools, Accessories</v>
      </c>
      <c r="E17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1" s="113" t="str">
        <f>IFERROR(INDEX(Product_Structure[Product group],MATCH(Товары[[#This Row],[SubGroup]],Product_Structure[Subgroup],0)),"")</f>
        <v>AMC_C</v>
      </c>
      <c r="G171" s="113" t="str">
        <f>IFERROR(INDEX(Product_Structure[Product group name ENG],MATCH(Товары[[#This Row],[SubGroup]],Product_Structure[Subgroup],0)),"")</f>
        <v>Accessories, Manual, Cutting</v>
      </c>
      <c r="H171" s="113" t="str">
        <f>IFERROR(INDEX(Product_Structure[Generic Name (long)3],MATCH(Товары[[#This Row],[SubGroup]],Product_Structure[Subgroup],0)),"")</f>
        <v>Секаторы</v>
      </c>
      <c r="I171" s="36">
        <v>9211</v>
      </c>
      <c r="J171" s="36" t="str">
        <f>IFERROR(INDEX(Product_Structure[Generic Name (long)],MATCH(Товары[[#This Row],[SubGroup]],Product_Structure[Subgroup],0)),"")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Row],[SubGroup]],DIY!$B:$C,2,FALSE),0)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3" t="str">
        <f>IFERROR(INDEX(Product_Structure[SuperCategory],MATCH(Товары[[#This Row],[SubGroup]],Product_Structure[Subgroup],0)),"")</f>
        <v>A</v>
      </c>
      <c r="D172" s="113" t="str">
        <f>IFERROR(INDEX(Product_Structure[SuperCategory Name ENG],MATCH(Товары[[#This Row],[SubGroup]],Product_Structure[Subgroup],0)),"")</f>
        <v>Hand&amp;Cutting tools, Accessories</v>
      </c>
      <c r="E17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2" s="113" t="str">
        <f>IFERROR(INDEX(Product_Structure[Product group],MATCH(Товары[[#This Row],[SubGroup]],Product_Structure[Subgroup],0)),"")</f>
        <v>AMC_C</v>
      </c>
      <c r="G172" s="113" t="str">
        <f>IFERROR(INDEX(Product_Structure[Product group name ENG],MATCH(Товары[[#This Row],[SubGroup]],Product_Structure[Subgroup],0)),"")</f>
        <v>Accessories, Manual, Cutting</v>
      </c>
      <c r="H172" s="113" t="str">
        <f>IFERROR(INDEX(Product_Structure[Generic Name (long)3],MATCH(Товары[[#This Row],[SubGroup]],Product_Structure[Subgroup],0)),"")</f>
        <v>Секаторы</v>
      </c>
      <c r="I172" s="36">
        <v>9211</v>
      </c>
      <c r="J172" s="36" t="str">
        <f>IFERROR(INDEX(Product_Structure[Generic Name (long)],MATCH(Товары[[#This Row],[SubGroup]],Product_Structure[Subgroup],0)),"")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Row],[SubGroup]],DIY!$B:$C,2,FALSE),0)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3" t="str">
        <f>IFERROR(INDEX(Product_Structure[SuperCategory],MATCH(Товары[[#This Row],[SubGroup]],Product_Structure[Subgroup],0)),"")</f>
        <v>A</v>
      </c>
      <c r="D173" s="113" t="str">
        <f>IFERROR(INDEX(Product_Structure[SuperCategory Name ENG],MATCH(Товары[[#This Row],[SubGroup]],Product_Structure[Subgroup],0)),"")</f>
        <v>Hand&amp;Cutting tools, Accessories</v>
      </c>
      <c r="E17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3" s="113" t="str">
        <f>IFERROR(INDEX(Product_Structure[Product group],MATCH(Товары[[#This Row],[SubGroup]],Product_Structure[Subgroup],0)),"")</f>
        <v>AMC_C</v>
      </c>
      <c r="G173" s="113" t="str">
        <f>IFERROR(INDEX(Product_Structure[Product group name ENG],MATCH(Товары[[#This Row],[SubGroup]],Product_Structure[Subgroup],0)),"")</f>
        <v>Accessories, Manual, Cutting</v>
      </c>
      <c r="H173" s="113" t="str">
        <f>IFERROR(INDEX(Product_Structure[Generic Name (long)3],MATCH(Товары[[#This Row],[SubGroup]],Product_Structure[Subgroup],0)),"")</f>
        <v>Секаторы</v>
      </c>
      <c r="I173" s="36">
        <v>9211</v>
      </c>
      <c r="J173" s="36" t="str">
        <f>IFERROR(INDEX(Product_Structure[Generic Name (long)],MATCH(Товары[[#This Row],[SubGroup]],Product_Structure[Subgroup],0)),"")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Row],[SubGroup]],DIY!$B:$C,2,FALSE),0)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3" t="str">
        <f>IFERROR(INDEX(Product_Structure[SuperCategory],MATCH(Товары[[#This Row],[SubGroup]],Product_Structure[Subgroup],0)),"")</f>
        <v>A</v>
      </c>
      <c r="D174" s="113" t="str">
        <f>IFERROR(INDEX(Product_Structure[SuperCategory Name ENG],MATCH(Товары[[#This Row],[SubGroup]],Product_Structure[Subgroup],0)),"")</f>
        <v>Hand&amp;Cutting tools, Accessories</v>
      </c>
      <c r="E17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4" s="113" t="str">
        <f>IFERROR(INDEX(Product_Structure[Product group],MATCH(Товары[[#This Row],[SubGroup]],Product_Structure[Subgroup],0)),"")</f>
        <v>AMC_C</v>
      </c>
      <c r="G174" s="113" t="str">
        <f>IFERROR(INDEX(Product_Structure[Product group name ENG],MATCH(Товары[[#This Row],[SubGroup]],Product_Structure[Subgroup],0)),"")</f>
        <v>Accessories, Manual, Cutting</v>
      </c>
      <c r="H174" s="113" t="str">
        <f>IFERROR(INDEX(Product_Structure[Generic Name (long)3],MATCH(Товары[[#This Row],[SubGroup]],Product_Structure[Subgroup],0)),"")</f>
        <v>Секаторы</v>
      </c>
      <c r="I174" s="36">
        <v>9211</v>
      </c>
      <c r="J174" s="36" t="str">
        <f>IFERROR(INDEX(Product_Structure[Generic Name (long)],MATCH(Товары[[#This Row],[SubGroup]],Product_Structure[Subgroup],0)),"")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Row],[SubGroup]],DIY!$B:$C,2,FALSE),0)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3" t="str">
        <f>IFERROR(INDEX(Product_Structure[SuperCategory],MATCH(Товары[[#This Row],[SubGroup]],Product_Structure[Subgroup],0)),"")</f>
        <v>A</v>
      </c>
      <c r="D175" s="113" t="str">
        <f>IFERROR(INDEX(Product_Structure[SuperCategory Name ENG],MATCH(Товары[[#This Row],[SubGroup]],Product_Structure[Subgroup],0)),"")</f>
        <v>Hand&amp;Cutting tools, Accessories</v>
      </c>
      <c r="E17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5" s="113" t="str">
        <f>IFERROR(INDEX(Product_Structure[Product group],MATCH(Товары[[#This Row],[SubGroup]],Product_Structure[Subgroup],0)),"")</f>
        <v>AMC_C</v>
      </c>
      <c r="G175" s="113" t="str">
        <f>IFERROR(INDEX(Product_Structure[Product group name ENG],MATCH(Товары[[#This Row],[SubGroup]],Product_Structure[Subgroup],0)),"")</f>
        <v>Accessories, Manual, Cutting</v>
      </c>
      <c r="H175" s="113" t="str">
        <f>IFERROR(INDEX(Product_Structure[Generic Name (long)3],MATCH(Товары[[#This Row],[SubGroup]],Product_Structure[Subgroup],0)),"")</f>
        <v>Секаторы</v>
      </c>
      <c r="I175" s="36">
        <v>9211</v>
      </c>
      <c r="J175" s="36" t="str">
        <f>IFERROR(INDEX(Product_Structure[Generic Name (long)],MATCH(Товары[[#This Row],[SubGroup]],Product_Structure[Subgroup],0)),"")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Row],[SubGroup]],DIY!$B:$C,2,FALSE),0)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3" t="str">
        <f>IFERROR(INDEX(Product_Structure[SuperCategory],MATCH(Товары[[#This Row],[SubGroup]],Product_Structure[Subgroup],0)),"")</f>
        <v>A</v>
      </c>
      <c r="D176" s="113" t="str">
        <f>IFERROR(INDEX(Product_Structure[SuperCategory Name ENG],MATCH(Товары[[#This Row],[SubGroup]],Product_Structure[Subgroup],0)),"")</f>
        <v>Hand&amp;Cutting tools, Accessories</v>
      </c>
      <c r="E17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6" s="113" t="str">
        <f>IFERROR(INDEX(Product_Structure[Product group],MATCH(Товары[[#This Row],[SubGroup]],Product_Structure[Subgroup],0)),"")</f>
        <v>AMC_C</v>
      </c>
      <c r="G176" s="113" t="str">
        <f>IFERROR(INDEX(Product_Structure[Product group name ENG],MATCH(Товары[[#This Row],[SubGroup]],Product_Structure[Subgroup],0)),"")</f>
        <v>Accessories, Manual, Cutting</v>
      </c>
      <c r="H176" s="113" t="str">
        <f>IFERROR(INDEX(Product_Structure[Generic Name (long)3],MATCH(Товары[[#This Row],[SubGroup]],Product_Structure[Subgroup],0)),"")</f>
        <v>Секаторы</v>
      </c>
      <c r="I176" s="36">
        <v>9211</v>
      </c>
      <c r="J176" s="36" t="str">
        <f>IFERROR(INDEX(Product_Structure[Generic Name (long)],MATCH(Товары[[#This Row],[SubGroup]],Product_Structure[Subgroup],0)),"")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Row],[SubGroup]],DIY!$B:$C,2,FALSE),0)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3" t="str">
        <f>IFERROR(INDEX(Product_Structure[SuperCategory],MATCH(Товары[[#This Row],[SubGroup]],Product_Structure[Subgroup],0)),"")</f>
        <v>A</v>
      </c>
      <c r="D177" s="113" t="str">
        <f>IFERROR(INDEX(Product_Structure[SuperCategory Name ENG],MATCH(Товары[[#This Row],[SubGroup]],Product_Structure[Subgroup],0)),"")</f>
        <v>Hand&amp;Cutting tools, Accessories</v>
      </c>
      <c r="E17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7" s="113" t="str">
        <f>IFERROR(INDEX(Product_Structure[Product group],MATCH(Товары[[#This Row],[SubGroup]],Product_Structure[Subgroup],0)),"")</f>
        <v>AMC_C</v>
      </c>
      <c r="G177" s="113" t="str">
        <f>IFERROR(INDEX(Product_Structure[Product group name ENG],MATCH(Товары[[#This Row],[SubGroup]],Product_Structure[Subgroup],0)),"")</f>
        <v>Accessories, Manual, Cutting</v>
      </c>
      <c r="H177" s="113" t="str">
        <f>IFERROR(INDEX(Product_Structure[Generic Name (long)3],MATCH(Товары[[#This Row],[SubGroup]],Product_Structure[Subgroup],0)),"")</f>
        <v>Секаторы</v>
      </c>
      <c r="I177" s="36">
        <v>9211</v>
      </c>
      <c r="J177" s="36" t="str">
        <f>IFERROR(INDEX(Product_Structure[Generic Name (long)],MATCH(Товары[[#This Row],[SubGroup]],Product_Structure[Subgroup],0)),"")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Row],[SubGroup]],DIY!$B:$C,2,FALSE),0)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3" t="str">
        <f>IFERROR(INDEX(Product_Structure[SuperCategory],MATCH(Товары[[#This Row],[SubGroup]],Product_Structure[Subgroup],0)),"")</f>
        <v>A</v>
      </c>
      <c r="D178" s="113" t="str">
        <f>IFERROR(INDEX(Product_Structure[SuperCategory Name ENG],MATCH(Товары[[#This Row],[SubGroup]],Product_Structure[Subgroup],0)),"")</f>
        <v>Hand&amp;Cutting tools, Accessories</v>
      </c>
      <c r="E17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8" s="113" t="str">
        <f>IFERROR(INDEX(Product_Structure[Product group],MATCH(Товары[[#This Row],[SubGroup]],Product_Structure[Subgroup],0)),"")</f>
        <v>AMC_C</v>
      </c>
      <c r="G178" s="113" t="str">
        <f>IFERROR(INDEX(Product_Structure[Product group name ENG],MATCH(Товары[[#This Row],[SubGroup]],Product_Structure[Subgroup],0)),"")</f>
        <v>Accessories, Manual, Cutting</v>
      </c>
      <c r="H178" s="113" t="str">
        <f>IFERROR(INDEX(Product_Structure[Generic Name (long)3],MATCH(Товары[[#This Row],[SubGroup]],Product_Structure[Subgroup],0)),"")</f>
        <v>Секаторы</v>
      </c>
      <c r="I178" s="36">
        <v>9211</v>
      </c>
      <c r="J178" s="36" t="str">
        <f>IFERROR(INDEX(Product_Structure[Generic Name (long)],MATCH(Товары[[#This Row],[SubGroup]],Product_Structure[Subgroup],0)),"")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Row],[SubGroup]],DIY!$B:$C,2,FALSE),0)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3" t="str">
        <f>IFERROR(INDEX(Product_Structure[SuperCategory],MATCH(Товары[[#This Row],[SubGroup]],Product_Structure[Subgroup],0)),"")</f>
        <v>A</v>
      </c>
      <c r="D179" s="113" t="str">
        <f>IFERROR(INDEX(Product_Structure[SuperCategory Name ENG],MATCH(Товары[[#This Row],[SubGroup]],Product_Structure[Subgroup],0)),"")</f>
        <v>Hand&amp;Cutting tools, Accessories</v>
      </c>
      <c r="E17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79" s="113" t="str">
        <f>IFERROR(INDEX(Product_Structure[Product group],MATCH(Товары[[#This Row],[SubGroup]],Product_Structure[Subgroup],0)),"")</f>
        <v>AMC_C</v>
      </c>
      <c r="G179" s="113" t="str">
        <f>IFERROR(INDEX(Product_Structure[Product group name ENG],MATCH(Товары[[#This Row],[SubGroup]],Product_Structure[Subgroup],0)),"")</f>
        <v>Accessories, Manual, Cutting</v>
      </c>
      <c r="H179" s="113" t="str">
        <f>IFERROR(INDEX(Product_Structure[Generic Name (long)3],MATCH(Товары[[#This Row],[SubGroup]],Product_Structure[Subgroup],0)),"")</f>
        <v>Секаторы</v>
      </c>
      <c r="I179" s="36">
        <v>9211</v>
      </c>
      <c r="J179" s="36" t="str">
        <f>IFERROR(INDEX(Product_Structure[Generic Name (long)],MATCH(Товары[[#This Row],[SubGroup]],Product_Structure[Subgroup],0)),"")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Row],[SubGroup]],DIY!$B:$C,2,FALSE),0)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3" t="str">
        <f>IFERROR(INDEX(Product_Structure[SuperCategory],MATCH(Товары[[#This Row],[SubGroup]],Product_Structure[Subgroup],0)),"")</f>
        <v>A</v>
      </c>
      <c r="D180" s="113" t="str">
        <f>IFERROR(INDEX(Product_Structure[SuperCategory Name ENG],MATCH(Товары[[#This Row],[SubGroup]],Product_Structure[Subgroup],0)),"")</f>
        <v>Hand&amp;Cutting tools, Accessories</v>
      </c>
      <c r="E18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0" s="113" t="str">
        <f>IFERROR(INDEX(Product_Structure[Product group],MATCH(Товары[[#This Row],[SubGroup]],Product_Structure[Subgroup],0)),"")</f>
        <v>AMC_C</v>
      </c>
      <c r="G180" s="113" t="str">
        <f>IFERROR(INDEX(Product_Structure[Product group name ENG],MATCH(Товары[[#This Row],[SubGroup]],Product_Structure[Subgroup],0)),"")</f>
        <v>Accessories, Manual, Cutting</v>
      </c>
      <c r="H180" s="113" t="str">
        <f>IFERROR(INDEX(Product_Structure[Generic Name (long)3],MATCH(Товары[[#This Row],[SubGroup]],Product_Structure[Subgroup],0)),"")</f>
        <v>Секаторы</v>
      </c>
      <c r="I180" s="36">
        <v>9211</v>
      </c>
      <c r="J180" s="36" t="str">
        <f>IFERROR(INDEX(Product_Structure[Generic Name (long)],MATCH(Товары[[#This Row],[SubGroup]],Product_Structure[Subgroup],0)),"")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Row],[SubGroup]],DIY!$B:$C,2,FALSE),0)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3" t="str">
        <f>IFERROR(INDEX(Product_Structure[SuperCategory],MATCH(Товары[[#This Row],[SubGroup]],Product_Structure[Subgroup],0)),"")</f>
        <v>A</v>
      </c>
      <c r="D181" s="113" t="str">
        <f>IFERROR(INDEX(Product_Structure[SuperCategory Name ENG],MATCH(Товары[[#This Row],[SubGroup]],Product_Structure[Subgroup],0)),"")</f>
        <v>Hand&amp;Cutting tools, Accessories</v>
      </c>
      <c r="E18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1" s="113" t="str">
        <f>IFERROR(INDEX(Product_Structure[Product group],MATCH(Товары[[#This Row],[SubGroup]],Product_Structure[Subgroup],0)),"")</f>
        <v>AMC_C</v>
      </c>
      <c r="G181" s="113" t="str">
        <f>IFERROR(INDEX(Product_Structure[Product group name ENG],MATCH(Товары[[#This Row],[SubGroup]],Product_Structure[Subgroup],0)),"")</f>
        <v>Accessories, Manual, Cutting</v>
      </c>
      <c r="H181" s="113" t="str">
        <f>IFERROR(INDEX(Product_Structure[Generic Name (long)3],MATCH(Товары[[#This Row],[SubGroup]],Product_Structure[Subgroup],0)),"")</f>
        <v>Секаторы</v>
      </c>
      <c r="I181" s="36">
        <v>9211</v>
      </c>
      <c r="J181" s="36" t="str">
        <f>IFERROR(INDEX(Product_Structure[Generic Name (long)],MATCH(Товары[[#This Row],[SubGroup]],Product_Structure[Subgroup],0)),"")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Row],[SubGroup]],DIY!$B:$C,2,FALSE),0)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3" t="str">
        <f>IFERROR(INDEX(Product_Structure[SuperCategory],MATCH(Товары[[#This Row],[SubGroup]],Product_Structure[Subgroup],0)),"")</f>
        <v>A</v>
      </c>
      <c r="D182" s="113" t="str">
        <f>IFERROR(INDEX(Product_Structure[SuperCategory Name ENG],MATCH(Товары[[#This Row],[SubGroup]],Product_Structure[Subgroup],0)),"")</f>
        <v>Hand&amp;Cutting tools, Accessories</v>
      </c>
      <c r="E18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2" s="113" t="str">
        <f>IFERROR(INDEX(Product_Structure[Product group],MATCH(Товары[[#This Row],[SubGroup]],Product_Structure[Subgroup],0)),"")</f>
        <v>AMC_C</v>
      </c>
      <c r="G182" s="113" t="str">
        <f>IFERROR(INDEX(Product_Structure[Product group name ENG],MATCH(Товары[[#This Row],[SubGroup]],Product_Structure[Subgroup],0)),"")</f>
        <v>Accessories, Manual, Cutting</v>
      </c>
      <c r="H182" s="113" t="str">
        <f>IFERROR(INDEX(Product_Structure[Generic Name (long)3],MATCH(Товары[[#This Row],[SubGroup]],Product_Structure[Subgroup],0)),"")</f>
        <v>Секаторы</v>
      </c>
      <c r="I182" s="36">
        <v>9211</v>
      </c>
      <c r="J182" s="36" t="str">
        <f>IFERROR(INDEX(Product_Structure[Generic Name (long)],MATCH(Товары[[#This Row],[SubGroup]],Product_Structure[Subgroup],0)),"")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Row],[SubGroup]],DIY!$B:$C,2,FALSE),0)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3" t="str">
        <f>IFERROR(INDEX(Product_Structure[SuperCategory],MATCH(Товары[[#This Row],[SubGroup]],Product_Structure[Subgroup],0)),"")</f>
        <v>A</v>
      </c>
      <c r="D183" s="113" t="str">
        <f>IFERROR(INDEX(Product_Structure[SuperCategory Name ENG],MATCH(Товары[[#This Row],[SubGroup]],Product_Structure[Subgroup],0)),"")</f>
        <v>Hand&amp;Cutting tools, Accessories</v>
      </c>
      <c r="E18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3" s="113" t="str">
        <f>IFERROR(INDEX(Product_Structure[Product group],MATCH(Товары[[#This Row],[SubGroup]],Product_Structure[Subgroup],0)),"")</f>
        <v>AMC_C</v>
      </c>
      <c r="G183" s="113" t="str">
        <f>IFERROR(INDEX(Product_Structure[Product group name ENG],MATCH(Товары[[#This Row],[SubGroup]],Product_Structure[Subgroup],0)),"")</f>
        <v>Accessories, Manual, Cutting</v>
      </c>
      <c r="H183" s="113" t="str">
        <f>IFERROR(INDEX(Product_Structure[Generic Name (long)3],MATCH(Товары[[#This Row],[SubGroup]],Product_Structure[Subgroup],0)),"")</f>
        <v>Секаторы</v>
      </c>
      <c r="I183" s="36">
        <v>9211</v>
      </c>
      <c r="J183" s="36" t="str">
        <f>IFERROR(INDEX(Product_Structure[Generic Name (long)],MATCH(Товары[[#This Row],[SubGroup]],Product_Structure[Subgroup],0)),"")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Row],[SubGroup]],DIY!$B:$C,2,FALSE),0)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3" t="str">
        <f>IFERROR(INDEX(Product_Structure[SuperCategory],MATCH(Товары[[#This Row],[SubGroup]],Product_Structure[Subgroup],0)),"")</f>
        <v>A</v>
      </c>
      <c r="D184" s="113" t="str">
        <f>IFERROR(INDEX(Product_Structure[SuperCategory Name ENG],MATCH(Товары[[#This Row],[SubGroup]],Product_Structure[Subgroup],0)),"")</f>
        <v>Hand&amp;Cutting tools, Accessories</v>
      </c>
      <c r="E18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4" s="113" t="str">
        <f>IFERROR(INDEX(Product_Structure[Product group],MATCH(Товары[[#This Row],[SubGroup]],Product_Structure[Subgroup],0)),"")</f>
        <v>AMC_C</v>
      </c>
      <c r="G184" s="113" t="str">
        <f>IFERROR(INDEX(Product_Structure[Product group name ENG],MATCH(Товары[[#This Row],[SubGroup]],Product_Structure[Subgroup],0)),"")</f>
        <v>Accessories, Manual, Cutting</v>
      </c>
      <c r="H184" s="113" t="str">
        <f>IFERROR(INDEX(Product_Structure[Generic Name (long)3],MATCH(Товары[[#This Row],[SubGroup]],Product_Structure[Subgroup],0)),"")</f>
        <v>Секаторы</v>
      </c>
      <c r="I184" s="36">
        <v>9211</v>
      </c>
      <c r="J184" s="36" t="str">
        <f>IFERROR(INDEX(Product_Structure[Generic Name (long)],MATCH(Товары[[#This Row],[SubGroup]],Product_Structure[Subgroup],0)),"")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Row],[SubGroup]],DIY!$B:$C,2,FALSE),0)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3" t="str">
        <f>IFERROR(INDEX(Product_Structure[SuperCategory],MATCH(Товары[[#This Row],[SubGroup]],Product_Structure[Subgroup],0)),"")</f>
        <v>A</v>
      </c>
      <c r="D185" s="113" t="str">
        <f>IFERROR(INDEX(Product_Structure[SuperCategory Name ENG],MATCH(Товары[[#This Row],[SubGroup]],Product_Structure[Subgroup],0)),"")</f>
        <v>Hand&amp;Cutting tools, Accessories</v>
      </c>
      <c r="E18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5" s="113" t="str">
        <f>IFERROR(INDEX(Product_Structure[Product group],MATCH(Товары[[#This Row],[SubGroup]],Product_Structure[Subgroup],0)),"")</f>
        <v>AMC_C</v>
      </c>
      <c r="G185" s="113" t="str">
        <f>IFERROR(INDEX(Product_Structure[Product group name ENG],MATCH(Товары[[#This Row],[SubGroup]],Product_Structure[Subgroup],0)),"")</f>
        <v>Accessories, Manual, Cutting</v>
      </c>
      <c r="H185" s="113" t="str">
        <f>IFERROR(INDEX(Product_Structure[Generic Name (long)3],MATCH(Товары[[#This Row],[SubGroup]],Product_Structure[Subgroup],0)),"")</f>
        <v>Сучкорезы</v>
      </c>
      <c r="I185" s="36">
        <v>9212</v>
      </c>
      <c r="J185" s="36" t="str">
        <f>IFERROR(INDEX(Product_Structure[Generic Name (long)],MATCH(Товары[[#This Row],[SubGroup]],Product_Structure[Subgroup],0)),"")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Row],[SubGroup]],DIY!$B:$C,2,FALSE),0)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3" t="str">
        <f>IFERROR(INDEX(Product_Structure[SuperCategory],MATCH(Товары[[#This Row],[SubGroup]],Product_Structure[Subgroup],0)),"")</f>
        <v>A</v>
      </c>
      <c r="D186" s="113" t="str">
        <f>IFERROR(INDEX(Product_Structure[SuperCategory Name ENG],MATCH(Товары[[#This Row],[SubGroup]],Product_Structure[Subgroup],0)),"")</f>
        <v>Hand&amp;Cutting tools, Accessories</v>
      </c>
      <c r="E18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6" s="113" t="str">
        <f>IFERROR(INDEX(Product_Structure[Product group],MATCH(Товары[[#This Row],[SubGroup]],Product_Structure[Subgroup],0)),"")</f>
        <v>AMC_C</v>
      </c>
      <c r="G186" s="113" t="str">
        <f>IFERROR(INDEX(Product_Structure[Product group name ENG],MATCH(Товары[[#This Row],[SubGroup]],Product_Structure[Subgroup],0)),"")</f>
        <v>Accessories, Manual, Cutting</v>
      </c>
      <c r="H186" s="113" t="str">
        <f>IFERROR(INDEX(Product_Structure[Generic Name (long)3],MATCH(Товары[[#This Row],[SubGroup]],Product_Structure[Subgroup],0)),"")</f>
        <v>Сучкорезы</v>
      </c>
      <c r="I186" s="36">
        <v>9212</v>
      </c>
      <c r="J186" s="36" t="str">
        <f>IFERROR(INDEX(Product_Structure[Generic Name (long)],MATCH(Товары[[#This Row],[SubGroup]],Product_Structure[Subgroup],0)),"")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Row],[SubGroup]],DIY!$B:$C,2,FALSE),0)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3" t="str">
        <f>IFERROR(INDEX(Product_Structure[SuperCategory],MATCH(Товары[[#This Row],[SubGroup]],Product_Structure[Subgroup],0)),"")</f>
        <v>A</v>
      </c>
      <c r="D187" s="113" t="str">
        <f>IFERROR(INDEX(Product_Structure[SuperCategory Name ENG],MATCH(Товары[[#This Row],[SubGroup]],Product_Structure[Subgroup],0)),"")</f>
        <v>Hand&amp;Cutting tools, Accessories</v>
      </c>
      <c r="E18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7" s="113" t="str">
        <f>IFERROR(INDEX(Product_Structure[Product group],MATCH(Товары[[#This Row],[SubGroup]],Product_Structure[Subgroup],0)),"")</f>
        <v>AMC_C</v>
      </c>
      <c r="G187" s="113" t="str">
        <f>IFERROR(INDEX(Product_Structure[Product group name ENG],MATCH(Товары[[#This Row],[SubGroup]],Product_Structure[Subgroup],0)),"")</f>
        <v>Accessories, Manual, Cutting</v>
      </c>
      <c r="H187" s="113" t="str">
        <f>IFERROR(INDEX(Product_Structure[Generic Name (long)3],MATCH(Товары[[#This Row],[SubGroup]],Product_Structure[Subgroup],0)),"")</f>
        <v>Сучкорезы</v>
      </c>
      <c r="I187" s="36">
        <v>9212</v>
      </c>
      <c r="J187" s="36" t="str">
        <f>IFERROR(INDEX(Product_Structure[Generic Name (long)],MATCH(Товары[[#This Row],[SubGroup]],Product_Structure[Subgroup],0)),"")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Row],[SubGroup]],DIY!$B:$C,2,FALSE),0)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3" t="str">
        <f>IFERROR(INDEX(Product_Structure[SuperCategory],MATCH(Товары[[#This Row],[SubGroup]],Product_Structure[Subgroup],0)),"")</f>
        <v>A</v>
      </c>
      <c r="D188" s="113" t="str">
        <f>IFERROR(INDEX(Product_Structure[SuperCategory Name ENG],MATCH(Товары[[#This Row],[SubGroup]],Product_Structure[Subgroup],0)),"")</f>
        <v>Hand&amp;Cutting tools, Accessories</v>
      </c>
      <c r="E18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8" s="113" t="str">
        <f>IFERROR(INDEX(Product_Structure[Product group],MATCH(Товары[[#This Row],[SubGroup]],Product_Structure[Subgroup],0)),"")</f>
        <v>AMC_C</v>
      </c>
      <c r="G188" s="113" t="str">
        <f>IFERROR(INDEX(Product_Structure[Product group name ENG],MATCH(Товары[[#This Row],[SubGroup]],Product_Structure[Subgroup],0)),"")</f>
        <v>Accessories, Manual, Cutting</v>
      </c>
      <c r="H188" s="113" t="str">
        <f>IFERROR(INDEX(Product_Structure[Generic Name (long)3],MATCH(Товары[[#This Row],[SubGroup]],Product_Structure[Subgroup],0)),"")</f>
        <v>Сучкорезы</v>
      </c>
      <c r="I188" s="36">
        <v>9212</v>
      </c>
      <c r="J188" s="36" t="str">
        <f>IFERROR(INDEX(Product_Structure[Generic Name (long)],MATCH(Товары[[#This Row],[SubGroup]],Product_Structure[Subgroup],0)),"")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Row],[SubGroup]],DIY!$B:$C,2,FALSE),0)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3" t="str">
        <f>IFERROR(INDEX(Product_Structure[SuperCategory],MATCH(Товары[[#This Row],[SubGroup]],Product_Structure[Subgroup],0)),"")</f>
        <v>A</v>
      </c>
      <c r="D189" s="113" t="str">
        <f>IFERROR(INDEX(Product_Structure[SuperCategory Name ENG],MATCH(Товары[[#This Row],[SubGroup]],Product_Structure[Subgroup],0)),"")</f>
        <v>Hand&amp;Cutting tools, Accessories</v>
      </c>
      <c r="E18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89" s="113" t="str">
        <f>IFERROR(INDEX(Product_Structure[Product group],MATCH(Товары[[#This Row],[SubGroup]],Product_Structure[Subgroup],0)),"")</f>
        <v>AMC_C</v>
      </c>
      <c r="G189" s="113" t="str">
        <f>IFERROR(INDEX(Product_Structure[Product group name ENG],MATCH(Товары[[#This Row],[SubGroup]],Product_Structure[Subgroup],0)),"")</f>
        <v>Accessories, Manual, Cutting</v>
      </c>
      <c r="H189" s="113" t="str">
        <f>IFERROR(INDEX(Product_Structure[Generic Name (long)3],MATCH(Товары[[#This Row],[SubGroup]],Product_Structure[Subgroup],0)),"")</f>
        <v>Сучкорезы</v>
      </c>
      <c r="I189" s="36">
        <v>9212</v>
      </c>
      <c r="J189" s="36" t="str">
        <f>IFERROR(INDEX(Product_Structure[Generic Name (long)],MATCH(Товары[[#This Row],[SubGroup]],Product_Structure[Subgroup],0)),"")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Row],[SubGroup]],DIY!$B:$C,2,FALSE),0)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3" t="str">
        <f>IFERROR(INDEX(Product_Structure[SuperCategory],MATCH(Товары[[#This Row],[SubGroup]],Product_Structure[Subgroup],0)),"")</f>
        <v>A</v>
      </c>
      <c r="D190" s="113" t="str">
        <f>IFERROR(INDEX(Product_Structure[SuperCategory Name ENG],MATCH(Товары[[#This Row],[SubGroup]],Product_Structure[Subgroup],0)),"")</f>
        <v>Hand&amp;Cutting tools, Accessories</v>
      </c>
      <c r="E19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0" s="113" t="str">
        <f>IFERROR(INDEX(Product_Structure[Product group],MATCH(Товары[[#This Row],[SubGroup]],Product_Structure[Subgroup],0)),"")</f>
        <v>AMC_C</v>
      </c>
      <c r="G190" s="113" t="str">
        <f>IFERROR(INDEX(Product_Structure[Product group name ENG],MATCH(Товары[[#This Row],[SubGroup]],Product_Structure[Subgroup],0)),"")</f>
        <v>Accessories, Manual, Cutting</v>
      </c>
      <c r="H190" s="113" t="str">
        <f>IFERROR(INDEX(Product_Structure[Generic Name (long)3],MATCH(Товары[[#This Row],[SubGroup]],Product_Structure[Subgroup],0)),"")</f>
        <v>Сучкорезы</v>
      </c>
      <c r="I190" s="36">
        <v>9212</v>
      </c>
      <c r="J190" s="36" t="str">
        <f>IFERROR(INDEX(Product_Structure[Generic Name (long)],MATCH(Товары[[#This Row],[SubGroup]],Product_Structure[Subgroup],0)),"")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Row],[SubGroup]],DIY!$B:$C,2,FALSE),0)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3" t="str">
        <f>IFERROR(INDEX(Product_Structure[SuperCategory],MATCH(Товары[[#This Row],[SubGroup]],Product_Structure[Subgroup],0)),"")</f>
        <v>A</v>
      </c>
      <c r="D191" s="113" t="str">
        <f>IFERROR(INDEX(Product_Structure[SuperCategory Name ENG],MATCH(Товары[[#This Row],[SubGroup]],Product_Structure[Subgroup],0)),"")</f>
        <v>Hand&amp;Cutting tools, Accessories</v>
      </c>
      <c r="E19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1" s="113" t="str">
        <f>IFERROR(INDEX(Product_Structure[Product group],MATCH(Товары[[#This Row],[SubGroup]],Product_Structure[Subgroup],0)),"")</f>
        <v>AMC_C</v>
      </c>
      <c r="G191" s="113" t="str">
        <f>IFERROR(INDEX(Product_Structure[Product group name ENG],MATCH(Товары[[#This Row],[SubGroup]],Product_Structure[Subgroup],0)),"")</f>
        <v>Accessories, Manual, Cutting</v>
      </c>
      <c r="H191" s="113" t="str">
        <f>IFERROR(INDEX(Product_Structure[Generic Name (long)3],MATCH(Товары[[#This Row],[SubGroup]],Product_Structure[Subgroup],0)),"")</f>
        <v>Сучкорезы</v>
      </c>
      <c r="I191" s="36">
        <v>9212</v>
      </c>
      <c r="J191" s="36" t="str">
        <f>IFERROR(INDEX(Product_Structure[Generic Name (long)],MATCH(Товары[[#This Row],[SubGroup]],Product_Structure[Subgroup],0)),"")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Row],[SubGroup]],DIY!$B:$C,2,FALSE),0)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3" t="str">
        <f>IFERROR(INDEX(Product_Structure[SuperCategory],MATCH(Товары[[#This Row],[SubGroup]],Product_Structure[Subgroup],0)),"")</f>
        <v>A</v>
      </c>
      <c r="D192" s="113" t="str">
        <f>IFERROR(INDEX(Product_Structure[SuperCategory Name ENG],MATCH(Товары[[#This Row],[SubGroup]],Product_Structure[Subgroup],0)),"")</f>
        <v>Hand&amp;Cutting tools, Accessories</v>
      </c>
      <c r="E19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2" s="113" t="str">
        <f>IFERROR(INDEX(Product_Structure[Product group],MATCH(Товары[[#This Row],[SubGroup]],Product_Structure[Subgroup],0)),"")</f>
        <v>AMC_C</v>
      </c>
      <c r="G192" s="113" t="str">
        <f>IFERROR(INDEX(Product_Structure[Product group name ENG],MATCH(Товары[[#This Row],[SubGroup]],Product_Structure[Subgroup],0)),"")</f>
        <v>Accessories, Manual, Cutting</v>
      </c>
      <c r="H192" s="113" t="str">
        <f>IFERROR(INDEX(Product_Structure[Generic Name (long)3],MATCH(Товары[[#This Row],[SubGroup]],Product_Structure[Subgroup],0)),"")</f>
        <v>Сучкорезы</v>
      </c>
      <c r="I192" s="36">
        <v>9212</v>
      </c>
      <c r="J192" s="36" t="str">
        <f>IFERROR(INDEX(Product_Structure[Generic Name (long)],MATCH(Товары[[#This Row],[SubGroup]],Product_Structure[Subgroup],0)),"")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Row],[SubGroup]],DIY!$B:$C,2,FALSE),0)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3" t="str">
        <f>IFERROR(INDEX(Product_Structure[SuperCategory],MATCH(Товары[[#This Row],[SubGroup]],Product_Structure[Subgroup],0)),"")</f>
        <v>A</v>
      </c>
      <c r="D193" s="113" t="str">
        <f>IFERROR(INDEX(Product_Structure[SuperCategory Name ENG],MATCH(Товары[[#This Row],[SubGroup]],Product_Structure[Subgroup],0)),"")</f>
        <v>Hand&amp;Cutting tools, Accessories</v>
      </c>
      <c r="E19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3" s="113" t="str">
        <f>IFERROR(INDEX(Product_Structure[Product group],MATCH(Товары[[#This Row],[SubGroup]],Product_Structure[Subgroup],0)),"")</f>
        <v>AMC_C</v>
      </c>
      <c r="G193" s="113" t="str">
        <f>IFERROR(INDEX(Product_Structure[Product group name ENG],MATCH(Товары[[#This Row],[SubGroup]],Product_Structure[Subgroup],0)),"")</f>
        <v>Accessories, Manual, Cutting</v>
      </c>
      <c r="H193" s="113" t="str">
        <f>IFERROR(INDEX(Product_Structure[Generic Name (long)3],MATCH(Товары[[#This Row],[SubGroup]],Product_Structure[Subgroup],0)),"")</f>
        <v>Сучкорезы</v>
      </c>
      <c r="I193" s="36">
        <v>9212</v>
      </c>
      <c r="J193" s="36" t="str">
        <f>IFERROR(INDEX(Product_Structure[Generic Name (long)],MATCH(Товары[[#This Row],[SubGroup]],Product_Structure[Subgroup],0)),"")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Row],[SubGroup]],DIY!$B:$C,2,FALSE),0)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3" t="str">
        <f>IFERROR(INDEX(Product_Structure[SuperCategory],MATCH(Товары[[#This Row],[SubGroup]],Product_Structure[Subgroup],0)),"")</f>
        <v>A</v>
      </c>
      <c r="D194" s="113" t="str">
        <f>IFERROR(INDEX(Product_Structure[SuperCategory Name ENG],MATCH(Товары[[#This Row],[SubGroup]],Product_Structure[Subgroup],0)),"")</f>
        <v>Hand&amp;Cutting tools, Accessories</v>
      </c>
      <c r="E19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4" s="113" t="str">
        <f>IFERROR(INDEX(Product_Structure[Product group],MATCH(Товары[[#This Row],[SubGroup]],Product_Structure[Subgroup],0)),"")</f>
        <v>AMC_C</v>
      </c>
      <c r="G194" s="113" t="str">
        <f>IFERROR(INDEX(Product_Structure[Product group name ENG],MATCH(Товары[[#This Row],[SubGroup]],Product_Structure[Subgroup],0)),"")</f>
        <v>Accessories, Manual, Cutting</v>
      </c>
      <c r="H194" s="113" t="str">
        <f>IFERROR(INDEX(Product_Structure[Generic Name (long)3],MATCH(Товары[[#This Row],[SubGroup]],Product_Structure[Subgroup],0)),"")</f>
        <v>Сучкорезы</v>
      </c>
      <c r="I194" s="36">
        <v>9212</v>
      </c>
      <c r="J194" s="36" t="str">
        <f>IFERROR(INDEX(Product_Structure[Generic Name (long)],MATCH(Товары[[#This Row],[SubGroup]],Product_Structure[Subgroup],0)),"")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Row],[SubGroup]],DIY!$B:$C,2,FALSE),0)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3" t="str">
        <f>IFERROR(INDEX(Product_Structure[SuperCategory],MATCH(Товары[[#This Row],[SubGroup]],Product_Structure[Subgroup],0)),"")</f>
        <v>A</v>
      </c>
      <c r="D195" s="113" t="str">
        <f>IFERROR(INDEX(Product_Structure[SuperCategory Name ENG],MATCH(Товары[[#This Row],[SubGroup]],Product_Structure[Subgroup],0)),"")</f>
        <v>Hand&amp;Cutting tools, Accessories</v>
      </c>
      <c r="E19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5" s="113" t="str">
        <f>IFERROR(INDEX(Product_Structure[Product group],MATCH(Товары[[#This Row],[SubGroup]],Product_Structure[Subgroup],0)),"")</f>
        <v>AMC_C</v>
      </c>
      <c r="G195" s="113" t="str">
        <f>IFERROR(INDEX(Product_Structure[Product group name ENG],MATCH(Товары[[#This Row],[SubGroup]],Product_Structure[Subgroup],0)),"")</f>
        <v>Accessories, Manual, Cutting</v>
      </c>
      <c r="H195" s="113" t="str">
        <f>IFERROR(INDEX(Product_Structure[Generic Name (long)3],MATCH(Товары[[#This Row],[SubGroup]],Product_Structure[Subgroup],0)),"")</f>
        <v>Сучкорезы</v>
      </c>
      <c r="I195" s="36">
        <v>9212</v>
      </c>
      <c r="J195" s="36" t="str">
        <f>IFERROR(INDEX(Product_Structure[Generic Name (long)],MATCH(Товары[[#This Row],[SubGroup]],Product_Structure[Subgroup],0)),"")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Row],[SubGroup]],DIY!$B:$C,2,FALSE),0)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3" t="str">
        <f>IFERROR(INDEX(Product_Structure[SuperCategory],MATCH(Товары[[#This Row],[SubGroup]],Product_Structure[Subgroup],0)),"")</f>
        <v>A</v>
      </c>
      <c r="D196" s="113" t="str">
        <f>IFERROR(INDEX(Product_Structure[SuperCategory Name ENG],MATCH(Товары[[#This Row],[SubGroup]],Product_Structure[Subgroup],0)),"")</f>
        <v>Hand&amp;Cutting tools, Accessories</v>
      </c>
      <c r="E19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6" s="113" t="str">
        <f>IFERROR(INDEX(Product_Structure[Product group],MATCH(Товары[[#This Row],[SubGroup]],Product_Structure[Subgroup],0)),"")</f>
        <v>AMC_C</v>
      </c>
      <c r="G196" s="113" t="str">
        <f>IFERROR(INDEX(Product_Structure[Product group name ENG],MATCH(Товары[[#This Row],[SubGroup]],Product_Structure[Subgroup],0)),"")</f>
        <v>Accessories, Manual, Cutting</v>
      </c>
      <c r="H196" s="113" t="str">
        <f>IFERROR(INDEX(Product_Structure[Generic Name (long)3],MATCH(Товары[[#This Row],[SubGroup]],Product_Structure[Subgroup],0)),"")</f>
        <v>Сучкорезы</v>
      </c>
      <c r="I196" s="36">
        <v>9212</v>
      </c>
      <c r="J196" s="36" t="str">
        <f>IFERROR(INDEX(Product_Structure[Generic Name (long)],MATCH(Товары[[#This Row],[SubGroup]],Product_Structure[Subgroup],0)),"")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Row],[SubGroup]],DIY!$B:$C,2,FALSE),0)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3" t="str">
        <f>IFERROR(INDEX(Product_Structure[SuperCategory],MATCH(Товары[[#This Row],[SubGroup]],Product_Structure[Subgroup],0)),"")</f>
        <v>A</v>
      </c>
      <c r="D197" s="113" t="str">
        <f>IFERROR(INDEX(Product_Structure[SuperCategory Name ENG],MATCH(Товары[[#This Row],[SubGroup]],Product_Structure[Subgroup],0)),"")</f>
        <v>Hand&amp;Cutting tools, Accessories</v>
      </c>
      <c r="E19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7" s="113" t="str">
        <f>IFERROR(INDEX(Product_Structure[Product group],MATCH(Товары[[#This Row],[SubGroup]],Product_Structure[Subgroup],0)),"")</f>
        <v>AMC_C</v>
      </c>
      <c r="G197" s="113" t="str">
        <f>IFERROR(INDEX(Product_Structure[Product group name ENG],MATCH(Товары[[#This Row],[SubGroup]],Product_Structure[Subgroup],0)),"")</f>
        <v>Accessories, Manual, Cutting</v>
      </c>
      <c r="H197" s="113" t="str">
        <f>IFERROR(INDEX(Product_Structure[Generic Name (long)3],MATCH(Товары[[#This Row],[SubGroup]],Product_Structure[Subgroup],0)),"")</f>
        <v>Сучкорезы</v>
      </c>
      <c r="I197" s="36">
        <v>9212</v>
      </c>
      <c r="J197" s="36" t="str">
        <f>IFERROR(INDEX(Product_Structure[Generic Name (long)],MATCH(Товары[[#This Row],[SubGroup]],Product_Structure[Subgroup],0)),"")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Row],[SubGroup]],DIY!$B:$C,2,FALSE),0)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3" t="str">
        <f>IFERROR(INDEX(Product_Structure[SuperCategory],MATCH(Товары[[#This Row],[SubGroup]],Product_Structure[Subgroup],0)),"")</f>
        <v>A</v>
      </c>
      <c r="D198" s="113" t="str">
        <f>IFERROR(INDEX(Product_Structure[SuperCategory Name ENG],MATCH(Товары[[#This Row],[SubGroup]],Product_Structure[Subgroup],0)),"")</f>
        <v>Hand&amp;Cutting tools, Accessories</v>
      </c>
      <c r="E19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8" s="113" t="str">
        <f>IFERROR(INDEX(Product_Structure[Product group],MATCH(Товары[[#This Row],[SubGroup]],Product_Structure[Subgroup],0)),"")</f>
        <v>AMC_C</v>
      </c>
      <c r="G198" s="113" t="str">
        <f>IFERROR(INDEX(Product_Structure[Product group name ENG],MATCH(Товары[[#This Row],[SubGroup]],Product_Structure[Subgroup],0)),"")</f>
        <v>Accessories, Manual, Cutting</v>
      </c>
      <c r="H198" s="113" t="str">
        <f>IFERROR(INDEX(Product_Structure[Generic Name (long)3],MATCH(Товары[[#This Row],[SubGroup]],Product_Structure[Subgroup],0)),"")</f>
        <v>Сучкорезы</v>
      </c>
      <c r="I198" s="36">
        <v>9212</v>
      </c>
      <c r="J198" s="36" t="str">
        <f>IFERROR(INDEX(Product_Structure[Generic Name (long)],MATCH(Товары[[#This Row],[SubGroup]],Product_Structure[Subgroup],0)),"")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Row],[SubGroup]],DIY!$B:$C,2,FALSE),0)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3" t="str">
        <f>IFERROR(INDEX(Product_Structure[SuperCategory],MATCH(Товары[[#This Row],[SubGroup]],Product_Structure[Subgroup],0)),"")</f>
        <v>A</v>
      </c>
      <c r="D199" s="113" t="str">
        <f>IFERROR(INDEX(Product_Structure[SuperCategory Name ENG],MATCH(Товары[[#This Row],[SubGroup]],Product_Structure[Subgroup],0)),"")</f>
        <v>Hand&amp;Cutting tools, Accessories</v>
      </c>
      <c r="E19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199" s="113" t="str">
        <f>IFERROR(INDEX(Product_Structure[Product group],MATCH(Товары[[#This Row],[SubGroup]],Product_Structure[Subgroup],0)),"")</f>
        <v>AMC_C</v>
      </c>
      <c r="G199" s="113" t="str">
        <f>IFERROR(INDEX(Product_Structure[Product group name ENG],MATCH(Товары[[#This Row],[SubGroup]],Product_Structure[Subgroup],0)),"")</f>
        <v>Accessories, Manual, Cutting</v>
      </c>
      <c r="H199" s="113" t="str">
        <f>IFERROR(INDEX(Product_Structure[Generic Name (long)3],MATCH(Товары[[#This Row],[SubGroup]],Product_Structure[Subgroup],0)),"")</f>
        <v>Сучкорезы</v>
      </c>
      <c r="I199" s="36">
        <v>9212</v>
      </c>
      <c r="J199" s="36" t="str">
        <f>IFERROR(INDEX(Product_Structure[Generic Name (long)],MATCH(Товары[[#This Row],[SubGroup]],Product_Structure[Subgroup],0)),"")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Row],[SubGroup]],DIY!$B:$C,2,FALSE),0)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3" t="str">
        <f>IFERROR(INDEX(Product_Structure[SuperCategory],MATCH(Товары[[#This Row],[SubGroup]],Product_Structure[Subgroup],0)),"")</f>
        <v>A</v>
      </c>
      <c r="D200" s="113" t="str">
        <f>IFERROR(INDEX(Product_Structure[SuperCategory Name ENG],MATCH(Товары[[#This Row],[SubGroup]],Product_Structure[Subgroup],0)),"")</f>
        <v>Hand&amp;Cutting tools, Accessories</v>
      </c>
      <c r="E20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0" s="113" t="str">
        <f>IFERROR(INDEX(Product_Structure[Product group],MATCH(Товары[[#This Row],[SubGroup]],Product_Structure[Subgroup],0)),"")</f>
        <v>AMC_C</v>
      </c>
      <c r="G200" s="113" t="str">
        <f>IFERROR(INDEX(Product_Structure[Product group name ENG],MATCH(Товары[[#This Row],[SubGroup]],Product_Structure[Subgroup],0)),"")</f>
        <v>Accessories, Manual, Cutting</v>
      </c>
      <c r="H200" s="113" t="str">
        <f>IFERROR(INDEX(Product_Structure[Generic Name (long)3],MATCH(Товары[[#This Row],[SubGroup]],Product_Structure[Subgroup],0)),"")</f>
        <v>Сучкорезы</v>
      </c>
      <c r="I200" s="36">
        <v>9212</v>
      </c>
      <c r="J200" s="36" t="str">
        <f>IFERROR(INDEX(Product_Structure[Generic Name (long)],MATCH(Товары[[#This Row],[SubGroup]],Product_Structure[Subgroup],0)),"")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Row],[SubGroup]],DIY!$B:$C,2,FALSE),0)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3" t="str">
        <f>IFERROR(INDEX(Product_Structure[SuperCategory],MATCH(Товары[[#This Row],[SubGroup]],Product_Structure[Subgroup],0)),"")</f>
        <v>A</v>
      </c>
      <c r="D201" s="113" t="str">
        <f>IFERROR(INDEX(Product_Structure[SuperCategory Name ENG],MATCH(Товары[[#This Row],[SubGroup]],Product_Structure[Subgroup],0)),"")</f>
        <v>Hand&amp;Cutting tools, Accessories</v>
      </c>
      <c r="E20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1" s="113" t="str">
        <f>IFERROR(INDEX(Product_Structure[Product group],MATCH(Товары[[#This Row],[SubGroup]],Product_Structure[Subgroup],0)),"")</f>
        <v>AMC_C</v>
      </c>
      <c r="G201" s="113" t="str">
        <f>IFERROR(INDEX(Product_Structure[Product group name ENG],MATCH(Товары[[#This Row],[SubGroup]],Product_Structure[Subgroup],0)),"")</f>
        <v>Accessories, Manual, Cutting</v>
      </c>
      <c r="H201" s="113" t="str">
        <f>IFERROR(INDEX(Product_Structure[Generic Name (long)3],MATCH(Товары[[#This Row],[SubGroup]],Product_Structure[Subgroup],0)),"")</f>
        <v>Сучкорезы</v>
      </c>
      <c r="I201" s="36">
        <v>9212</v>
      </c>
      <c r="J201" s="36" t="str">
        <f>IFERROR(INDEX(Product_Structure[Generic Name (long)],MATCH(Товары[[#This Row],[SubGroup]],Product_Structure[Subgroup],0)),"")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Row],[SubGroup]],DIY!$B:$C,2,FALSE),0)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3" t="str">
        <f>IFERROR(INDEX(Product_Structure[SuperCategory],MATCH(Товары[[#This Row],[SubGroup]],Product_Structure[Subgroup],0)),"")</f>
        <v>A</v>
      </c>
      <c r="D202" s="113" t="str">
        <f>IFERROR(INDEX(Product_Structure[SuperCategory Name ENG],MATCH(Товары[[#This Row],[SubGroup]],Product_Structure[Subgroup],0)),"")</f>
        <v>Hand&amp;Cutting tools, Accessories</v>
      </c>
      <c r="E20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2" s="113" t="str">
        <f>IFERROR(INDEX(Product_Structure[Product group],MATCH(Товары[[#This Row],[SubGroup]],Product_Structure[Subgroup],0)),"")</f>
        <v>AMC_C</v>
      </c>
      <c r="G202" s="113" t="str">
        <f>IFERROR(INDEX(Product_Structure[Product group name ENG],MATCH(Товары[[#This Row],[SubGroup]],Product_Structure[Subgroup],0)),"")</f>
        <v>Accessories, Manual, Cutting</v>
      </c>
      <c r="H202" s="113" t="str">
        <f>IFERROR(INDEX(Product_Structure[Generic Name (long)3],MATCH(Товары[[#This Row],[SubGroup]],Product_Structure[Subgroup],0)),"")</f>
        <v>Сучкорезы</v>
      </c>
      <c r="I202" s="36">
        <v>9212</v>
      </c>
      <c r="J202" s="36" t="str">
        <f>IFERROR(INDEX(Product_Structure[Generic Name (long)],MATCH(Товары[[#This Row],[SubGroup]],Product_Structure[Subgroup],0)),"")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Row],[SubGroup]],DIY!$B:$C,2,FALSE),0)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3" t="str">
        <f>IFERROR(INDEX(Product_Structure[SuperCategory],MATCH(Товары[[#This Row],[SubGroup]],Product_Structure[Subgroup],0)),"")</f>
        <v>A</v>
      </c>
      <c r="D203" s="113" t="str">
        <f>IFERROR(INDEX(Product_Structure[SuperCategory Name ENG],MATCH(Товары[[#This Row],[SubGroup]],Product_Structure[Subgroup],0)),"")</f>
        <v>Hand&amp;Cutting tools, Accessories</v>
      </c>
      <c r="E20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3" s="113" t="str">
        <f>IFERROR(INDEX(Product_Structure[Product group],MATCH(Товары[[#This Row],[SubGroup]],Product_Structure[Subgroup],0)),"")</f>
        <v>AMC_C</v>
      </c>
      <c r="G203" s="113" t="str">
        <f>IFERROR(INDEX(Product_Structure[Product group name ENG],MATCH(Товары[[#This Row],[SubGroup]],Product_Structure[Subgroup],0)),"")</f>
        <v>Accessories, Manual, Cutting</v>
      </c>
      <c r="H203" s="113" t="str">
        <f>IFERROR(INDEX(Product_Structure[Generic Name (long)3],MATCH(Товары[[#This Row],[SubGroup]],Product_Structure[Subgroup],0)),"")</f>
        <v>Сучкорезы</v>
      </c>
      <c r="I203" s="36">
        <v>9212</v>
      </c>
      <c r="J203" s="36" t="str">
        <f>IFERROR(INDEX(Product_Structure[Generic Name (long)],MATCH(Товары[[#This Row],[SubGroup]],Product_Structure[Subgroup],0)),"")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Row],[SubGroup]],DIY!$B:$C,2,FALSE),0)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3" t="str">
        <f>IFERROR(INDEX(Product_Structure[SuperCategory],MATCH(Товары[[#This Row],[SubGroup]],Product_Structure[Subgroup],0)),"")</f>
        <v>A</v>
      </c>
      <c r="D204" s="113" t="str">
        <f>IFERROR(INDEX(Product_Structure[SuperCategory Name ENG],MATCH(Товары[[#This Row],[SubGroup]],Product_Structure[Subgroup],0)),"")</f>
        <v>Hand&amp;Cutting tools, Accessories</v>
      </c>
      <c r="E20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4" s="113" t="str">
        <f>IFERROR(INDEX(Product_Structure[Product group],MATCH(Товары[[#This Row],[SubGroup]],Product_Structure[Subgroup],0)),"")</f>
        <v>AMC_C</v>
      </c>
      <c r="G204" s="113" t="str">
        <f>IFERROR(INDEX(Product_Structure[Product group name ENG],MATCH(Товары[[#This Row],[SubGroup]],Product_Structure[Subgroup],0)),"")</f>
        <v>Accessories, Manual, Cutting</v>
      </c>
      <c r="H204" s="113" t="str">
        <f>IFERROR(INDEX(Product_Structure[Generic Name (long)3],MATCH(Товары[[#This Row],[SubGroup]],Product_Structure[Subgroup],0)),"")</f>
        <v>Сучкорезы</v>
      </c>
      <c r="I204" s="36">
        <v>9212</v>
      </c>
      <c r="J204" s="36" t="str">
        <f>IFERROR(INDEX(Product_Structure[Generic Name (long)],MATCH(Товары[[#This Row],[SubGroup]],Product_Structure[Subgroup],0)),"")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Row],[SubGroup]],DIY!$B:$C,2,FALSE),0)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3" t="str">
        <f>IFERROR(INDEX(Product_Structure[SuperCategory],MATCH(Товары[[#This Row],[SubGroup]],Product_Structure[Subgroup],0)),"")</f>
        <v>A</v>
      </c>
      <c r="D205" s="113" t="str">
        <f>IFERROR(INDEX(Product_Structure[SuperCategory Name ENG],MATCH(Товары[[#This Row],[SubGroup]],Product_Structure[Subgroup],0)),"")</f>
        <v>Hand&amp;Cutting tools, Accessories</v>
      </c>
      <c r="E20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5" s="113" t="str">
        <f>IFERROR(INDEX(Product_Structure[Product group],MATCH(Товары[[#This Row],[SubGroup]],Product_Structure[Subgroup],0)),"")</f>
        <v>AMC_C</v>
      </c>
      <c r="G205" s="113" t="str">
        <f>IFERROR(INDEX(Product_Structure[Product group name ENG],MATCH(Товары[[#This Row],[SubGroup]],Product_Structure[Subgroup],0)),"")</f>
        <v>Accessories, Manual, Cutting</v>
      </c>
      <c r="H205" s="113" t="str">
        <f>IFERROR(INDEX(Product_Structure[Generic Name (long)3],MATCH(Товары[[#This Row],[SubGroup]],Product_Structure[Subgroup],0)),"")</f>
        <v>Сучкорезы</v>
      </c>
      <c r="I205" s="36">
        <v>9212</v>
      </c>
      <c r="J205" s="36" t="str">
        <f>IFERROR(INDEX(Product_Structure[Generic Name (long)],MATCH(Товары[[#This Row],[SubGroup]],Product_Structure[Subgroup],0)),"")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Row],[SubGroup]],DIY!$B:$C,2,FALSE),0)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3" t="str">
        <f>IFERROR(INDEX(Product_Structure[SuperCategory],MATCH(Товары[[#This Row],[SubGroup]],Product_Structure[Subgroup],0)),"")</f>
        <v>A</v>
      </c>
      <c r="D206" s="113" t="str">
        <f>IFERROR(INDEX(Product_Structure[SuperCategory Name ENG],MATCH(Товары[[#This Row],[SubGroup]],Product_Structure[Subgroup],0)),"")</f>
        <v>Hand&amp;Cutting tools, Accessories</v>
      </c>
      <c r="E20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6" s="113" t="str">
        <f>IFERROR(INDEX(Product_Structure[Product group],MATCH(Товары[[#This Row],[SubGroup]],Product_Structure[Subgroup],0)),"")</f>
        <v>AMC_C</v>
      </c>
      <c r="G206" s="113" t="str">
        <f>IFERROR(INDEX(Product_Structure[Product group name ENG],MATCH(Товары[[#This Row],[SubGroup]],Product_Structure[Subgroup],0)),"")</f>
        <v>Accessories, Manual, Cutting</v>
      </c>
      <c r="H206" s="113" t="str">
        <f>IFERROR(INDEX(Product_Structure[Generic Name (long)3],MATCH(Товары[[#This Row],[SubGroup]],Product_Structure[Subgroup],0)),"")</f>
        <v>Сучкорезы</v>
      </c>
      <c r="I206" s="36">
        <v>9212</v>
      </c>
      <c r="J206" s="36" t="str">
        <f>IFERROR(INDEX(Product_Structure[Generic Name (long)],MATCH(Товары[[#This Row],[SubGroup]],Product_Structure[Subgroup],0)),"")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Row],[SubGroup]],DIY!$B:$C,2,FALSE),0)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3" t="str">
        <f>IFERROR(INDEX(Product_Structure[SuperCategory],MATCH(Товары[[#This Row],[SubGroup]],Product_Structure[Subgroup],0)),"")</f>
        <v>A</v>
      </c>
      <c r="D207" s="113" t="str">
        <f>IFERROR(INDEX(Product_Structure[SuperCategory Name ENG],MATCH(Товары[[#This Row],[SubGroup]],Product_Structure[Subgroup],0)),"")</f>
        <v>Hand&amp;Cutting tools, Accessories</v>
      </c>
      <c r="E20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7" s="113" t="str">
        <f>IFERROR(INDEX(Product_Structure[Product group],MATCH(Товары[[#This Row],[SubGroup]],Product_Structure[Subgroup],0)),"")</f>
        <v>AMC_C</v>
      </c>
      <c r="G207" s="113" t="str">
        <f>IFERROR(INDEX(Product_Structure[Product group name ENG],MATCH(Товары[[#This Row],[SubGroup]],Product_Structure[Subgroup],0)),"")</f>
        <v>Accessories, Manual, Cutting</v>
      </c>
      <c r="H207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07" s="36">
        <v>9213</v>
      </c>
      <c r="J207" s="36" t="str">
        <f>IFERROR(INDEX(Product_Structure[Generic Name (long)],MATCH(Товары[[#This Row],[SubGroup]],Product_Structure[Subgroup],0)),"")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Row],[SubGroup]],DIY!$B:$C,2,FALSE),0)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3" t="str">
        <f>IFERROR(INDEX(Product_Structure[SuperCategory],MATCH(Товары[[#This Row],[SubGroup]],Product_Structure[Subgroup],0)),"")</f>
        <v>A</v>
      </c>
      <c r="D208" s="113" t="str">
        <f>IFERROR(INDEX(Product_Structure[SuperCategory Name ENG],MATCH(Товары[[#This Row],[SubGroup]],Product_Structure[Subgroup],0)),"")</f>
        <v>Hand&amp;Cutting tools, Accessories</v>
      </c>
      <c r="E20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8" s="113" t="str">
        <f>IFERROR(INDEX(Product_Structure[Product group],MATCH(Товары[[#This Row],[SubGroup]],Product_Structure[Subgroup],0)),"")</f>
        <v>AMC_C</v>
      </c>
      <c r="G208" s="113" t="str">
        <f>IFERROR(INDEX(Product_Structure[Product group name ENG],MATCH(Товары[[#This Row],[SubGroup]],Product_Structure[Subgroup],0)),"")</f>
        <v>Accessories, Manual, Cutting</v>
      </c>
      <c r="H208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08" s="36">
        <v>9213</v>
      </c>
      <c r="J208" s="36" t="str">
        <f>IFERROR(INDEX(Product_Structure[Generic Name (long)],MATCH(Товары[[#This Row],[SubGroup]],Product_Structure[Subgroup],0)),"")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Row],[SubGroup]],DIY!$B:$C,2,FALSE),0)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3" t="str">
        <f>IFERROR(INDEX(Product_Structure[SuperCategory],MATCH(Товары[[#This Row],[SubGroup]],Product_Structure[Subgroup],0)),"")</f>
        <v>A</v>
      </c>
      <c r="D209" s="113" t="str">
        <f>IFERROR(INDEX(Product_Structure[SuperCategory Name ENG],MATCH(Товары[[#This Row],[SubGroup]],Product_Structure[Subgroup],0)),"")</f>
        <v>Hand&amp;Cutting tools, Accessories</v>
      </c>
      <c r="E20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09" s="113" t="str">
        <f>IFERROR(INDEX(Product_Structure[Product group],MATCH(Товары[[#This Row],[SubGroup]],Product_Structure[Subgroup],0)),"")</f>
        <v>AMC_C</v>
      </c>
      <c r="G209" s="113" t="str">
        <f>IFERROR(INDEX(Product_Structure[Product group name ENG],MATCH(Товары[[#This Row],[SubGroup]],Product_Structure[Subgroup],0)),"")</f>
        <v>Accessories, Manual, Cutting</v>
      </c>
      <c r="H209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09" s="36">
        <v>9213</v>
      </c>
      <c r="J209" s="36" t="str">
        <f>IFERROR(INDEX(Product_Structure[Generic Name (long)],MATCH(Товары[[#This Row],[SubGroup]],Product_Structure[Subgroup],0)),"")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Row],[SubGroup]],DIY!$B:$C,2,FALSE),0)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3" t="str">
        <f>IFERROR(INDEX(Product_Structure[SuperCategory],MATCH(Товары[[#This Row],[SubGroup]],Product_Structure[Subgroup],0)),"")</f>
        <v>A</v>
      </c>
      <c r="D210" s="113" t="str">
        <f>IFERROR(INDEX(Product_Structure[SuperCategory Name ENG],MATCH(Товары[[#This Row],[SubGroup]],Product_Structure[Subgroup],0)),"")</f>
        <v>Hand&amp;Cutting tools, Accessories</v>
      </c>
      <c r="E21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0" s="113" t="str">
        <f>IFERROR(INDEX(Product_Structure[Product group],MATCH(Товары[[#This Row],[SubGroup]],Product_Structure[Subgroup],0)),"")</f>
        <v>AMC_C</v>
      </c>
      <c r="G210" s="113" t="str">
        <f>IFERROR(INDEX(Product_Structure[Product group name ENG],MATCH(Товары[[#This Row],[SubGroup]],Product_Structure[Subgroup],0)),"")</f>
        <v>Accessories, Manual, Cutting</v>
      </c>
      <c r="H210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0" s="36">
        <v>9213</v>
      </c>
      <c r="J210" s="36" t="str">
        <f>IFERROR(INDEX(Product_Structure[Generic Name (long)],MATCH(Товары[[#This Row],[SubGroup]],Product_Structure[Subgroup],0)),"")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Row],[SubGroup]],DIY!$B:$C,2,FALSE),0)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3" t="str">
        <f>IFERROR(INDEX(Product_Structure[SuperCategory],MATCH(Товары[[#This Row],[SubGroup]],Product_Structure[Subgroup],0)),"")</f>
        <v>A</v>
      </c>
      <c r="D211" s="113" t="str">
        <f>IFERROR(INDEX(Product_Structure[SuperCategory Name ENG],MATCH(Товары[[#This Row],[SubGroup]],Product_Structure[Subgroup],0)),"")</f>
        <v>Hand&amp;Cutting tools, Accessories</v>
      </c>
      <c r="E21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1" s="113" t="str">
        <f>IFERROR(INDEX(Product_Structure[Product group],MATCH(Товары[[#This Row],[SubGroup]],Product_Structure[Subgroup],0)),"")</f>
        <v>AMC_C</v>
      </c>
      <c r="G211" s="113" t="str">
        <f>IFERROR(INDEX(Product_Structure[Product group name ENG],MATCH(Товары[[#This Row],[SubGroup]],Product_Structure[Subgroup],0)),"")</f>
        <v>Accessories, Manual, Cutting</v>
      </c>
      <c r="H211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1" s="36">
        <v>9213</v>
      </c>
      <c r="J211" s="36" t="str">
        <f>IFERROR(INDEX(Product_Structure[Generic Name (long)],MATCH(Товары[[#This Row],[SubGroup]],Product_Structure[Subgroup],0)),"")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Row],[SubGroup]],DIY!$B:$C,2,FALSE),0)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3" t="str">
        <f>IFERROR(INDEX(Product_Structure[SuperCategory],MATCH(Товары[[#This Row],[SubGroup]],Product_Structure[Subgroup],0)),"")</f>
        <v>A</v>
      </c>
      <c r="D212" s="113" t="str">
        <f>IFERROR(INDEX(Product_Structure[SuperCategory Name ENG],MATCH(Товары[[#This Row],[SubGroup]],Product_Structure[Subgroup],0)),"")</f>
        <v>Hand&amp;Cutting tools, Accessories</v>
      </c>
      <c r="E21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2" s="113" t="str">
        <f>IFERROR(INDEX(Product_Structure[Product group],MATCH(Товары[[#This Row],[SubGroup]],Product_Structure[Subgroup],0)),"")</f>
        <v>AMC_C</v>
      </c>
      <c r="G212" s="113" t="str">
        <f>IFERROR(INDEX(Product_Structure[Product group name ENG],MATCH(Товары[[#This Row],[SubGroup]],Product_Structure[Subgroup],0)),"")</f>
        <v>Accessories, Manual, Cutting</v>
      </c>
      <c r="H212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2" s="36">
        <v>9213</v>
      </c>
      <c r="J212" s="36" t="str">
        <f>IFERROR(INDEX(Product_Structure[Generic Name (long)],MATCH(Товары[[#This Row],[SubGroup]],Product_Structure[Subgroup],0)),"")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Row],[SubGroup]],DIY!$B:$C,2,FALSE),0)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3" t="str">
        <f>IFERROR(INDEX(Product_Structure[SuperCategory],MATCH(Товары[[#This Row],[SubGroup]],Product_Structure[Subgroup],0)),"")</f>
        <v>A</v>
      </c>
      <c r="D213" s="113" t="str">
        <f>IFERROR(INDEX(Product_Structure[SuperCategory Name ENG],MATCH(Товары[[#This Row],[SubGroup]],Product_Structure[Subgroup],0)),"")</f>
        <v>Hand&amp;Cutting tools, Accessories</v>
      </c>
      <c r="E21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3" s="113" t="str">
        <f>IFERROR(INDEX(Product_Structure[Product group],MATCH(Товары[[#This Row],[SubGroup]],Product_Structure[Subgroup],0)),"")</f>
        <v>AMC_C</v>
      </c>
      <c r="G213" s="113" t="str">
        <f>IFERROR(INDEX(Product_Structure[Product group name ENG],MATCH(Товары[[#This Row],[SubGroup]],Product_Structure[Subgroup],0)),"")</f>
        <v>Accessories, Manual, Cutting</v>
      </c>
      <c r="H213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3" s="36">
        <v>9213</v>
      </c>
      <c r="J213" s="36" t="str">
        <f>IFERROR(INDEX(Product_Structure[Generic Name (long)],MATCH(Товары[[#This Row],[SubGroup]],Product_Structure[Subgroup],0)),"")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Row],[SubGroup]],DIY!$B:$C,2,FALSE),0)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3" t="str">
        <f>IFERROR(INDEX(Product_Structure[SuperCategory],MATCH(Товары[[#This Row],[SubGroup]],Product_Structure[Subgroup],0)),"")</f>
        <v>A</v>
      </c>
      <c r="D214" s="113" t="str">
        <f>IFERROR(INDEX(Product_Structure[SuperCategory Name ENG],MATCH(Товары[[#This Row],[SubGroup]],Product_Structure[Subgroup],0)),"")</f>
        <v>Hand&amp;Cutting tools, Accessories</v>
      </c>
      <c r="E21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4" s="113" t="str">
        <f>IFERROR(INDEX(Product_Structure[Product group],MATCH(Товары[[#This Row],[SubGroup]],Product_Structure[Subgroup],0)),"")</f>
        <v>AMC_C</v>
      </c>
      <c r="G214" s="113" t="str">
        <f>IFERROR(INDEX(Product_Structure[Product group name ENG],MATCH(Товары[[#This Row],[SubGroup]],Product_Structure[Subgroup],0)),"")</f>
        <v>Accessories, Manual, Cutting</v>
      </c>
      <c r="H214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4" s="36">
        <v>9213</v>
      </c>
      <c r="J214" s="36" t="str">
        <f>IFERROR(INDEX(Product_Structure[Generic Name (long)],MATCH(Товары[[#This Row],[SubGroup]],Product_Structure[Subgroup],0)),"")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Row],[SubGroup]],DIY!$B:$C,2,FALSE),0)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3" t="str">
        <f>IFERROR(INDEX(Product_Structure[SuperCategory],MATCH(Товары[[#This Row],[SubGroup]],Product_Structure[Subgroup],0)),"")</f>
        <v>A</v>
      </c>
      <c r="D215" s="113" t="str">
        <f>IFERROR(INDEX(Product_Structure[SuperCategory Name ENG],MATCH(Товары[[#This Row],[SubGroup]],Product_Structure[Subgroup],0)),"")</f>
        <v>Hand&amp;Cutting tools, Accessories</v>
      </c>
      <c r="E21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5" s="113" t="str">
        <f>IFERROR(INDEX(Product_Structure[Product group],MATCH(Товары[[#This Row],[SubGroup]],Product_Structure[Subgroup],0)),"")</f>
        <v>AMC_C</v>
      </c>
      <c r="G215" s="113" t="str">
        <f>IFERROR(INDEX(Product_Structure[Product group name ENG],MATCH(Товары[[#This Row],[SubGroup]],Product_Structure[Subgroup],0)),"")</f>
        <v>Accessories, Manual, Cutting</v>
      </c>
      <c r="H215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5" s="36">
        <v>9213</v>
      </c>
      <c r="J215" s="36" t="str">
        <f>IFERROR(INDEX(Product_Structure[Generic Name (long)],MATCH(Товары[[#This Row],[SubGroup]],Product_Structure[Subgroup],0)),"")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Row],[SubGroup]],DIY!$B:$C,2,FALSE),0)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3" t="str">
        <f>IFERROR(INDEX(Product_Structure[SuperCategory],MATCH(Товары[[#This Row],[SubGroup]],Product_Structure[Subgroup],0)),"")</f>
        <v>A</v>
      </c>
      <c r="D216" s="113" t="str">
        <f>IFERROR(INDEX(Product_Structure[SuperCategory Name ENG],MATCH(Товары[[#This Row],[SubGroup]],Product_Structure[Subgroup],0)),"")</f>
        <v>Hand&amp;Cutting tools, Accessories</v>
      </c>
      <c r="E2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6" s="113" t="str">
        <f>IFERROR(INDEX(Product_Structure[Product group],MATCH(Товары[[#This Row],[SubGroup]],Product_Structure[Subgroup],0)),"")</f>
        <v>AMC_C</v>
      </c>
      <c r="G216" s="113" t="str">
        <f>IFERROR(INDEX(Product_Structure[Product group name ENG],MATCH(Товары[[#This Row],[SubGroup]],Product_Structure[Subgroup],0)),"")</f>
        <v>Accessories, Manual, Cutting</v>
      </c>
      <c r="H216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6" s="36">
        <v>9213</v>
      </c>
      <c r="J216" s="36" t="str">
        <f>IFERROR(INDEX(Product_Structure[Generic Name (long)],MATCH(Товары[[#This Row],[SubGroup]],Product_Structure[Subgroup],0)),"")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Row],[SubGroup]],DIY!$B:$C,2,FALSE),0)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3" t="str">
        <f>IFERROR(INDEX(Product_Structure[SuperCategory],MATCH(Товары[[#This Row],[SubGroup]],Product_Structure[Subgroup],0)),"")</f>
        <v>A</v>
      </c>
      <c r="D217" s="113" t="str">
        <f>IFERROR(INDEX(Product_Structure[SuperCategory Name ENG],MATCH(Товары[[#This Row],[SubGroup]],Product_Structure[Subgroup],0)),"")</f>
        <v>Hand&amp;Cutting tools, Accessories</v>
      </c>
      <c r="E2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7" s="113" t="str">
        <f>IFERROR(INDEX(Product_Structure[Product group],MATCH(Товары[[#This Row],[SubGroup]],Product_Structure[Subgroup],0)),"")</f>
        <v>AMC_C</v>
      </c>
      <c r="G217" s="113" t="str">
        <f>IFERROR(INDEX(Product_Structure[Product group name ENG],MATCH(Товары[[#This Row],[SubGroup]],Product_Structure[Subgroup],0)),"")</f>
        <v>Accessories, Manual, Cutting</v>
      </c>
      <c r="H217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7" s="36">
        <v>9213</v>
      </c>
      <c r="J217" s="36" t="str">
        <f>IFERROR(INDEX(Product_Structure[Generic Name (long)],MATCH(Товары[[#This Row],[SubGroup]],Product_Structure[Subgroup],0)),"")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Row],[SubGroup]],DIY!$B:$C,2,FALSE),0)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3" t="str">
        <f>IFERROR(INDEX(Product_Structure[SuperCategory],MATCH(Товары[[#This Row],[SubGroup]],Product_Structure[Subgroup],0)),"")</f>
        <v>A</v>
      </c>
      <c r="D218" s="113" t="str">
        <f>IFERROR(INDEX(Product_Structure[SuperCategory Name ENG],MATCH(Товары[[#This Row],[SubGroup]],Product_Structure[Subgroup],0)),"")</f>
        <v>Hand&amp;Cutting tools, Accessories</v>
      </c>
      <c r="E2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8" s="113" t="str">
        <f>IFERROR(INDEX(Product_Structure[Product group],MATCH(Товары[[#This Row],[SubGroup]],Product_Structure[Subgroup],0)),"")</f>
        <v>AMC_C</v>
      </c>
      <c r="G218" s="113" t="str">
        <f>IFERROR(INDEX(Product_Structure[Product group name ENG],MATCH(Товары[[#This Row],[SubGroup]],Product_Structure[Subgroup],0)),"")</f>
        <v>Accessories, Manual, Cutting</v>
      </c>
      <c r="H218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8" s="36">
        <v>9213</v>
      </c>
      <c r="J218" s="36" t="str">
        <f>IFERROR(INDEX(Product_Structure[Generic Name (long)],MATCH(Товары[[#This Row],[SubGroup]],Product_Structure[Subgroup],0)),"")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Row],[SubGroup]],DIY!$B:$C,2,FALSE),0)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3" t="str">
        <f>IFERROR(INDEX(Product_Structure[SuperCategory],MATCH(Товары[[#This Row],[SubGroup]],Product_Structure[Subgroup],0)),"")</f>
        <v>A</v>
      </c>
      <c r="D219" s="113" t="str">
        <f>IFERROR(INDEX(Product_Structure[SuperCategory Name ENG],MATCH(Товары[[#This Row],[SubGroup]],Product_Structure[Subgroup],0)),"")</f>
        <v>Hand&amp;Cutting tools, Accessories</v>
      </c>
      <c r="E2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19" s="113" t="str">
        <f>IFERROR(INDEX(Product_Structure[Product group],MATCH(Товары[[#This Row],[SubGroup]],Product_Structure[Subgroup],0)),"")</f>
        <v>AMC_C</v>
      </c>
      <c r="G219" s="113" t="str">
        <f>IFERROR(INDEX(Product_Structure[Product group name ENG],MATCH(Товары[[#This Row],[SubGroup]],Product_Structure[Subgroup],0)),"")</f>
        <v>Accessories, Manual, Cutting</v>
      </c>
      <c r="H219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19" s="36">
        <v>9213</v>
      </c>
      <c r="J219" s="36" t="str">
        <f>IFERROR(INDEX(Product_Structure[Generic Name (long)],MATCH(Товары[[#This Row],[SubGroup]],Product_Structure[Subgroup],0)),"")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Row],[SubGroup]],DIY!$B:$C,2,FALSE),0)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3" t="str">
        <f>IFERROR(INDEX(Product_Structure[SuperCategory],MATCH(Товары[[#This Row],[SubGroup]],Product_Structure[Subgroup],0)),"")</f>
        <v>A</v>
      </c>
      <c r="D220" s="113" t="str">
        <f>IFERROR(INDEX(Product_Structure[SuperCategory Name ENG],MATCH(Товары[[#This Row],[SubGroup]],Product_Structure[Subgroup],0)),"")</f>
        <v>Hand&amp;Cutting tools, Accessories</v>
      </c>
      <c r="E2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0" s="113" t="str">
        <f>IFERROR(INDEX(Product_Structure[Product group],MATCH(Товары[[#This Row],[SubGroup]],Product_Structure[Subgroup],0)),"")</f>
        <v>AMC_C</v>
      </c>
      <c r="G220" s="113" t="str">
        <f>IFERROR(INDEX(Product_Structure[Product group name ENG],MATCH(Товары[[#This Row],[SubGroup]],Product_Structure[Subgroup],0)),"")</f>
        <v>Accessories, Manual, Cutting</v>
      </c>
      <c r="H220" s="113" t="str">
        <f>IFERROR(INDEX(Product_Structure[Generic Name (long)3],MATCH(Товары[[#This Row],[SubGroup]],Product_Structure[Subgroup],0)),"")</f>
        <v>Пилы ручные</v>
      </c>
      <c r="I220" s="36">
        <v>9214</v>
      </c>
      <c r="J220" s="36" t="str">
        <f>IFERROR(INDEX(Product_Structure[Generic Name (long)],MATCH(Товары[[#This Row],[SubGroup]],Product_Structure[Subgroup],0)),"")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Row],[SubGroup]],DIY!$B:$C,2,FALSE),0)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3" t="str">
        <f>IFERROR(INDEX(Product_Structure[SuperCategory],MATCH(Товары[[#This Row],[SubGroup]],Product_Structure[Subgroup],0)),"")</f>
        <v>A</v>
      </c>
      <c r="D221" s="113" t="str">
        <f>IFERROR(INDEX(Product_Structure[SuperCategory Name ENG],MATCH(Товары[[#This Row],[SubGroup]],Product_Structure[Subgroup],0)),"")</f>
        <v>Hand&amp;Cutting tools, Accessories</v>
      </c>
      <c r="E2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1" s="113" t="str">
        <f>IFERROR(INDEX(Product_Structure[Product group],MATCH(Товары[[#This Row],[SubGroup]],Product_Structure[Subgroup],0)),"")</f>
        <v>AMC_C</v>
      </c>
      <c r="G221" s="113" t="str">
        <f>IFERROR(INDEX(Product_Structure[Product group name ENG],MATCH(Товары[[#This Row],[SubGroup]],Product_Structure[Subgroup],0)),"")</f>
        <v>Accessories, Manual, Cutting</v>
      </c>
      <c r="H221" s="113" t="str">
        <f>IFERROR(INDEX(Product_Structure[Generic Name (long)3],MATCH(Товары[[#This Row],[SubGroup]],Product_Structure[Subgroup],0)),"")</f>
        <v>Пилы ручные</v>
      </c>
      <c r="I221" s="36">
        <v>9214</v>
      </c>
      <c r="J221" s="36" t="str">
        <f>IFERROR(INDEX(Product_Structure[Generic Name (long)],MATCH(Товары[[#This Row],[SubGroup]],Product_Structure[Subgroup],0)),"")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Row],[SubGroup]],DIY!$B:$C,2,FALSE),0)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3" t="str">
        <f>IFERROR(INDEX(Product_Structure[SuperCategory],MATCH(Товары[[#This Row],[SubGroup]],Product_Structure[Subgroup],0)),"")</f>
        <v>A</v>
      </c>
      <c r="D222" s="113" t="str">
        <f>IFERROR(INDEX(Product_Structure[SuperCategory Name ENG],MATCH(Товары[[#This Row],[SubGroup]],Product_Structure[Subgroup],0)),"")</f>
        <v>Hand&amp;Cutting tools, Accessories</v>
      </c>
      <c r="E2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2" s="113" t="str">
        <f>IFERROR(INDEX(Product_Structure[Product group],MATCH(Товары[[#This Row],[SubGroup]],Product_Structure[Subgroup],0)),"")</f>
        <v>AMC_C</v>
      </c>
      <c r="G222" s="113" t="str">
        <f>IFERROR(INDEX(Product_Structure[Product group name ENG],MATCH(Товары[[#This Row],[SubGroup]],Product_Structure[Subgroup],0)),"")</f>
        <v>Accessories, Manual, Cutting</v>
      </c>
      <c r="H222" s="113" t="str">
        <f>IFERROR(INDEX(Product_Structure[Generic Name (long)3],MATCH(Товары[[#This Row],[SubGroup]],Product_Structure[Subgroup],0)),"")</f>
        <v>Пилы ручные</v>
      </c>
      <c r="I222" s="36">
        <v>9214</v>
      </c>
      <c r="J222" s="36" t="str">
        <f>IFERROR(INDEX(Product_Structure[Generic Name (long)],MATCH(Товары[[#This Row],[SubGroup]],Product_Structure[Subgroup],0)),"")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Row],[SubGroup]],DIY!$B:$C,2,FALSE),0)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3" t="str">
        <f>IFERROR(INDEX(Product_Structure[SuperCategory],MATCH(Товары[[#This Row],[SubGroup]],Product_Structure[Subgroup],0)),"")</f>
        <v>A</v>
      </c>
      <c r="D223" s="113" t="str">
        <f>IFERROR(INDEX(Product_Structure[SuperCategory Name ENG],MATCH(Товары[[#This Row],[SubGroup]],Product_Structure[Subgroup],0)),"")</f>
        <v>Hand&amp;Cutting tools, Accessories</v>
      </c>
      <c r="E22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3" s="113" t="str">
        <f>IFERROR(INDEX(Product_Structure[Product group],MATCH(Товары[[#This Row],[SubGroup]],Product_Structure[Subgroup],0)),"")</f>
        <v>AMC_C</v>
      </c>
      <c r="G223" s="113" t="str">
        <f>IFERROR(INDEX(Product_Structure[Product group name ENG],MATCH(Товары[[#This Row],[SubGroup]],Product_Structure[Subgroup],0)),"")</f>
        <v>Accessories, Manual, Cutting</v>
      </c>
      <c r="H223" s="113" t="str">
        <f>IFERROR(INDEX(Product_Structure[Generic Name (long)3],MATCH(Товары[[#This Row],[SubGroup]],Product_Structure[Subgroup],0)),"")</f>
        <v>Пилы ручные</v>
      </c>
      <c r="I223" s="36">
        <v>9214</v>
      </c>
      <c r="J223" s="36" t="str">
        <f>IFERROR(INDEX(Product_Structure[Generic Name (long)],MATCH(Товары[[#This Row],[SubGroup]],Product_Structure[Subgroup],0)),"")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Row],[SubGroup]],DIY!$B:$C,2,FALSE),0)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3" t="str">
        <f>IFERROR(INDEX(Product_Structure[SuperCategory],MATCH(Товары[[#This Row],[SubGroup]],Product_Structure[Subgroup],0)),"")</f>
        <v>A</v>
      </c>
      <c r="D224" s="113" t="str">
        <f>IFERROR(INDEX(Product_Structure[SuperCategory Name ENG],MATCH(Товары[[#This Row],[SubGroup]],Product_Structure[Subgroup],0)),"")</f>
        <v>Hand&amp;Cutting tools, Accessories</v>
      </c>
      <c r="E22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4" s="113" t="str">
        <f>IFERROR(INDEX(Product_Structure[Product group],MATCH(Товары[[#This Row],[SubGroup]],Product_Structure[Subgroup],0)),"")</f>
        <v>AMC_C</v>
      </c>
      <c r="G224" s="113" t="str">
        <f>IFERROR(INDEX(Product_Structure[Product group name ENG],MATCH(Товары[[#This Row],[SubGroup]],Product_Structure[Subgroup],0)),"")</f>
        <v>Accessories, Manual, Cutting</v>
      </c>
      <c r="H224" s="113" t="str">
        <f>IFERROR(INDEX(Product_Structure[Generic Name (long)3],MATCH(Товары[[#This Row],[SubGroup]],Product_Structure[Subgroup],0)),"")</f>
        <v>Пилы ручные</v>
      </c>
      <c r="I224" s="36">
        <v>9214</v>
      </c>
      <c r="J224" s="36" t="str">
        <f>IFERROR(INDEX(Product_Structure[Generic Name (long)],MATCH(Товары[[#This Row],[SubGroup]],Product_Structure[Subgroup],0)),"")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Row],[SubGroup]],DIY!$B:$C,2,FALSE),0)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3" t="str">
        <f>IFERROR(INDEX(Product_Structure[SuperCategory],MATCH(Товары[[#This Row],[SubGroup]],Product_Structure[Subgroup],0)),"")</f>
        <v>A</v>
      </c>
      <c r="D225" s="113" t="str">
        <f>IFERROR(INDEX(Product_Structure[SuperCategory Name ENG],MATCH(Товары[[#This Row],[SubGroup]],Product_Structure[Subgroup],0)),"")</f>
        <v>Hand&amp;Cutting tools, Accessories</v>
      </c>
      <c r="E22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5" s="113" t="str">
        <f>IFERROR(INDEX(Product_Structure[Product group],MATCH(Товары[[#This Row],[SubGroup]],Product_Structure[Subgroup],0)),"")</f>
        <v>AMC_C</v>
      </c>
      <c r="G225" s="113" t="str">
        <f>IFERROR(INDEX(Product_Structure[Product group name ENG],MATCH(Товары[[#This Row],[SubGroup]],Product_Structure[Subgroup],0)),"")</f>
        <v>Accessories, Manual, Cutting</v>
      </c>
      <c r="H225" s="113" t="str">
        <f>IFERROR(INDEX(Product_Structure[Generic Name (long)3],MATCH(Товары[[#This Row],[SubGroup]],Product_Structure[Subgroup],0)),"")</f>
        <v>Пилы ручные</v>
      </c>
      <c r="I225" s="36">
        <v>9214</v>
      </c>
      <c r="J225" s="36" t="str">
        <f>IFERROR(INDEX(Product_Structure[Generic Name (long)],MATCH(Товары[[#This Row],[SubGroup]],Product_Structure[Subgroup],0)),"")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Row],[SubGroup]],DIY!$B:$C,2,FALSE),0)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3" t="str">
        <f>IFERROR(INDEX(Product_Structure[SuperCategory],MATCH(Товары[[#This Row],[SubGroup]],Product_Structure[Subgroup],0)),"")</f>
        <v>A</v>
      </c>
      <c r="D226" s="113" t="str">
        <f>IFERROR(INDEX(Product_Structure[SuperCategory Name ENG],MATCH(Товары[[#This Row],[SubGroup]],Product_Structure[Subgroup],0)),"")</f>
        <v>Hand&amp;Cutting tools, Accessories</v>
      </c>
      <c r="E22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6" s="113" t="str">
        <f>IFERROR(INDEX(Product_Structure[Product group],MATCH(Товары[[#This Row],[SubGroup]],Product_Structure[Subgroup],0)),"")</f>
        <v>AMC_C</v>
      </c>
      <c r="G226" s="113" t="str">
        <f>IFERROR(INDEX(Product_Structure[Product group name ENG],MATCH(Товары[[#This Row],[SubGroup]],Product_Structure[Subgroup],0)),"")</f>
        <v>Accessories, Manual, Cutting</v>
      </c>
      <c r="H226" s="113" t="str">
        <f>IFERROR(INDEX(Product_Structure[Generic Name (long)3],MATCH(Товары[[#This Row],[SubGroup]],Product_Structure[Subgroup],0)),"")</f>
        <v>Пилы ручные</v>
      </c>
      <c r="I226" s="36">
        <v>9214</v>
      </c>
      <c r="J226" s="36" t="str">
        <f>IFERROR(INDEX(Product_Structure[Generic Name (long)],MATCH(Товары[[#This Row],[SubGroup]],Product_Structure[Subgroup],0)),"")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Row],[SubGroup]],DIY!$B:$C,2,FALSE),0)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3" t="str">
        <f>IFERROR(INDEX(Product_Structure[SuperCategory],MATCH(Товары[[#This Row],[SubGroup]],Product_Structure[Subgroup],0)),"")</f>
        <v>A</v>
      </c>
      <c r="D227" s="113" t="str">
        <f>IFERROR(INDEX(Product_Structure[SuperCategory Name ENG],MATCH(Товары[[#This Row],[SubGroup]],Product_Structure[Subgroup],0)),"")</f>
        <v>Hand&amp;Cutting tools, Accessories</v>
      </c>
      <c r="E22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7" s="113" t="str">
        <f>IFERROR(INDEX(Product_Structure[Product group],MATCH(Товары[[#This Row],[SubGroup]],Product_Structure[Subgroup],0)),"")</f>
        <v>AMC_C</v>
      </c>
      <c r="G227" s="113" t="str">
        <f>IFERROR(INDEX(Product_Structure[Product group name ENG],MATCH(Товары[[#This Row],[SubGroup]],Product_Structure[Subgroup],0)),"")</f>
        <v>Accessories, Manual, Cutting</v>
      </c>
      <c r="H227" s="113" t="str">
        <f>IFERROR(INDEX(Product_Structure[Generic Name (long)3],MATCH(Товары[[#This Row],[SubGroup]],Product_Structure[Subgroup],0)),"")</f>
        <v>Пилы ручные</v>
      </c>
      <c r="I227" s="36">
        <v>9214</v>
      </c>
      <c r="J227" s="36" t="str">
        <f>IFERROR(INDEX(Product_Structure[Generic Name (long)],MATCH(Товары[[#This Row],[SubGroup]],Product_Structure[Subgroup],0)),"")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Row],[SubGroup]],DIY!$B:$C,2,FALSE),0)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3" t="str">
        <f>IFERROR(INDEX(Product_Structure[SuperCategory],MATCH(Товары[[#This Row],[SubGroup]],Product_Structure[Subgroup],0)),"")</f>
        <v>A</v>
      </c>
      <c r="D228" s="113" t="str">
        <f>IFERROR(INDEX(Product_Structure[SuperCategory Name ENG],MATCH(Товары[[#This Row],[SubGroup]],Product_Structure[Subgroup],0)),"")</f>
        <v>Hand&amp;Cutting tools, Accessories</v>
      </c>
      <c r="E22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8" s="113" t="str">
        <f>IFERROR(INDEX(Product_Structure[Product group],MATCH(Товары[[#This Row],[SubGroup]],Product_Structure[Subgroup],0)),"")</f>
        <v>AMC_C</v>
      </c>
      <c r="G228" s="113" t="str">
        <f>IFERROR(INDEX(Product_Structure[Product group name ENG],MATCH(Товары[[#This Row],[SubGroup]],Product_Structure[Subgroup],0)),"")</f>
        <v>Accessories, Manual, Cutting</v>
      </c>
      <c r="H228" s="113" t="str">
        <f>IFERROR(INDEX(Product_Structure[Generic Name (long)3],MATCH(Товары[[#This Row],[SubGroup]],Product_Structure[Subgroup],0)),"")</f>
        <v>Пилы ручные</v>
      </c>
      <c r="I228" s="36">
        <v>9214</v>
      </c>
      <c r="J228" s="36" t="str">
        <f>IFERROR(INDEX(Product_Structure[Generic Name (long)],MATCH(Товары[[#This Row],[SubGroup]],Product_Structure[Subgroup],0)),"")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Row],[SubGroup]],DIY!$B:$C,2,FALSE),0)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3" t="str">
        <f>IFERROR(INDEX(Product_Structure[SuperCategory],MATCH(Товары[[#This Row],[SubGroup]],Product_Structure[Subgroup],0)),"")</f>
        <v>A</v>
      </c>
      <c r="D229" s="113" t="str">
        <f>IFERROR(INDEX(Product_Structure[SuperCategory Name ENG],MATCH(Товары[[#This Row],[SubGroup]],Product_Structure[Subgroup],0)),"")</f>
        <v>Hand&amp;Cutting tools, Accessories</v>
      </c>
      <c r="E22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29" s="113" t="str">
        <f>IFERROR(INDEX(Product_Structure[Product group],MATCH(Товары[[#This Row],[SubGroup]],Product_Structure[Subgroup],0)),"")</f>
        <v>AMC_C</v>
      </c>
      <c r="G229" s="113" t="str">
        <f>IFERROR(INDEX(Product_Structure[Product group name ENG],MATCH(Товары[[#This Row],[SubGroup]],Product_Structure[Subgroup],0)),"")</f>
        <v>Accessories, Manual, Cutting</v>
      </c>
      <c r="H229" s="113" t="str">
        <f>IFERROR(INDEX(Product_Structure[Generic Name (long)3],MATCH(Товары[[#This Row],[SubGroup]],Product_Structure[Subgroup],0)),"")</f>
        <v>Пилы ручные</v>
      </c>
      <c r="I229" s="36">
        <v>9214</v>
      </c>
      <c r="J229" s="36" t="str">
        <f>IFERROR(INDEX(Product_Structure[Generic Name (long)],MATCH(Товары[[#This Row],[SubGroup]],Product_Structure[Subgroup],0)),"")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Row],[SubGroup]],DIY!$B:$C,2,FALSE),0)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3" t="str">
        <f>IFERROR(INDEX(Product_Structure[SuperCategory],MATCH(Товары[[#This Row],[SubGroup]],Product_Structure[Subgroup],0)),"")</f>
        <v>A</v>
      </c>
      <c r="D230" s="113" t="str">
        <f>IFERROR(INDEX(Product_Structure[SuperCategory Name ENG],MATCH(Товары[[#This Row],[SubGroup]],Product_Structure[Subgroup],0)),"")</f>
        <v>Hand&amp;Cutting tools, Accessories</v>
      </c>
      <c r="E23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0" s="113" t="str">
        <f>IFERROR(INDEX(Product_Structure[Product group],MATCH(Товары[[#This Row],[SubGroup]],Product_Structure[Subgroup],0)),"")</f>
        <v>AMC_C</v>
      </c>
      <c r="G230" s="113" t="str">
        <f>IFERROR(INDEX(Product_Structure[Product group name ENG],MATCH(Товары[[#This Row],[SubGroup]],Product_Structure[Subgroup],0)),"")</f>
        <v>Accessories, Manual, Cutting</v>
      </c>
      <c r="H230" s="113" t="str">
        <f>IFERROR(INDEX(Product_Structure[Generic Name (long)3],MATCH(Товары[[#This Row],[SubGroup]],Product_Structure[Subgroup],0)),"")</f>
        <v>Топоры, колуны</v>
      </c>
      <c r="I230" s="36">
        <v>9215</v>
      </c>
      <c r="J230" s="36" t="str">
        <f>IFERROR(INDEX(Product_Structure[Generic Name (long)],MATCH(Товары[[#This Row],[SubGroup]],Product_Structure[Subgroup],0)),"")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Row],[SubGroup]],DIY!$B:$C,2,FALSE),0)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3" t="str">
        <f>IFERROR(INDEX(Product_Structure[SuperCategory],MATCH(Товары[[#This Row],[SubGroup]],Product_Structure[Subgroup],0)),"")</f>
        <v>A</v>
      </c>
      <c r="D231" s="113" t="str">
        <f>IFERROR(INDEX(Product_Structure[SuperCategory Name ENG],MATCH(Товары[[#This Row],[SubGroup]],Product_Structure[Subgroup],0)),"")</f>
        <v>Hand&amp;Cutting tools, Accessories</v>
      </c>
      <c r="E23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1" s="113" t="str">
        <f>IFERROR(INDEX(Product_Structure[Product group],MATCH(Товары[[#This Row],[SubGroup]],Product_Structure[Subgroup],0)),"")</f>
        <v>AMC_C</v>
      </c>
      <c r="G231" s="113" t="str">
        <f>IFERROR(INDEX(Product_Structure[Product group name ENG],MATCH(Товары[[#This Row],[SubGroup]],Product_Structure[Subgroup],0)),"")</f>
        <v>Accessories, Manual, Cutting</v>
      </c>
      <c r="H231" s="113" t="str">
        <f>IFERROR(INDEX(Product_Structure[Generic Name (long)3],MATCH(Товары[[#This Row],[SubGroup]],Product_Structure[Subgroup],0)),"")</f>
        <v>Топоры, колуны</v>
      </c>
      <c r="I231" s="36">
        <v>9215</v>
      </c>
      <c r="J231" s="36" t="str">
        <f>IFERROR(INDEX(Product_Structure[Generic Name (long)],MATCH(Товары[[#This Row],[SubGroup]],Product_Structure[Subgroup],0)),"")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Row],[SubGroup]],DIY!$B:$C,2,FALSE),0)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3" t="str">
        <f>IFERROR(INDEX(Product_Structure[SuperCategory],MATCH(Товары[[#This Row],[SubGroup]],Product_Structure[Subgroup],0)),"")</f>
        <v>A</v>
      </c>
      <c r="D232" s="113" t="str">
        <f>IFERROR(INDEX(Product_Structure[SuperCategory Name ENG],MATCH(Товары[[#This Row],[SubGroup]],Product_Structure[Subgroup],0)),"")</f>
        <v>Hand&amp;Cutting tools, Accessories</v>
      </c>
      <c r="E23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2" s="113" t="str">
        <f>IFERROR(INDEX(Product_Structure[Product group],MATCH(Товары[[#This Row],[SubGroup]],Product_Structure[Subgroup],0)),"")</f>
        <v>AMC_C</v>
      </c>
      <c r="G232" s="113" t="str">
        <f>IFERROR(INDEX(Product_Structure[Product group name ENG],MATCH(Товары[[#This Row],[SubGroup]],Product_Structure[Subgroup],0)),"")</f>
        <v>Accessories, Manual, Cutting</v>
      </c>
      <c r="H232" s="113" t="str">
        <f>IFERROR(INDEX(Product_Structure[Generic Name (long)3],MATCH(Товары[[#This Row],[SubGroup]],Product_Structure[Subgroup],0)),"")</f>
        <v>Топоры, колуны</v>
      </c>
      <c r="I232" s="36">
        <v>9215</v>
      </c>
      <c r="J232" s="36" t="str">
        <f>IFERROR(INDEX(Product_Structure[Generic Name (long)],MATCH(Товары[[#This Row],[SubGroup]],Product_Structure[Subgroup],0)),"")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Row],[SubGroup]],DIY!$B:$C,2,FALSE),0)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3" t="str">
        <f>IFERROR(INDEX(Product_Structure[SuperCategory],MATCH(Товары[[#This Row],[SubGroup]],Product_Structure[Subgroup],0)),"")</f>
        <v>A</v>
      </c>
      <c r="D233" s="113" t="str">
        <f>IFERROR(INDEX(Product_Structure[SuperCategory Name ENG],MATCH(Товары[[#This Row],[SubGroup]],Product_Structure[Subgroup],0)),"")</f>
        <v>Hand&amp;Cutting tools, Accessories</v>
      </c>
      <c r="E2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3" s="113" t="str">
        <f>IFERROR(INDEX(Product_Structure[Product group],MATCH(Товары[[#This Row],[SubGroup]],Product_Structure[Subgroup],0)),"")</f>
        <v>AMC_C</v>
      </c>
      <c r="G233" s="113" t="str">
        <f>IFERROR(INDEX(Product_Structure[Product group name ENG],MATCH(Товары[[#This Row],[SubGroup]],Product_Structure[Subgroup],0)),"")</f>
        <v>Accessories, Manual, Cutting</v>
      </c>
      <c r="H233" s="113" t="str">
        <f>IFERROR(INDEX(Product_Structure[Generic Name (long)3],MATCH(Товары[[#This Row],[SubGroup]],Product_Structure[Subgroup],0)),"")</f>
        <v>Топоры, колуны</v>
      </c>
      <c r="I233" s="36">
        <v>9215</v>
      </c>
      <c r="J233" s="36" t="str">
        <f>IFERROR(INDEX(Product_Structure[Generic Name (long)],MATCH(Товары[[#This Row],[SubGroup]],Product_Structure[Subgroup],0)),"")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Row],[SubGroup]],DIY!$B:$C,2,FALSE),0)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3" t="str">
        <f>IFERROR(INDEX(Product_Structure[SuperCategory],MATCH(Товары[[#This Row],[SubGroup]],Product_Structure[Subgroup],0)),"")</f>
        <v>A</v>
      </c>
      <c r="D234" s="113" t="str">
        <f>IFERROR(INDEX(Product_Structure[SuperCategory Name ENG],MATCH(Товары[[#This Row],[SubGroup]],Product_Structure[Subgroup],0)),"")</f>
        <v>Hand&amp;Cutting tools, Accessories</v>
      </c>
      <c r="E2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4" s="113" t="str">
        <f>IFERROR(INDEX(Product_Structure[Product group],MATCH(Товары[[#This Row],[SubGroup]],Product_Structure[Subgroup],0)),"")</f>
        <v>AMC_C</v>
      </c>
      <c r="G234" s="113" t="str">
        <f>IFERROR(INDEX(Product_Structure[Product group name ENG],MATCH(Товары[[#This Row],[SubGroup]],Product_Structure[Subgroup],0)),"")</f>
        <v>Accessories, Manual, Cutting</v>
      </c>
      <c r="H234" s="113" t="str">
        <f>IFERROR(INDEX(Product_Structure[Generic Name (long)3],MATCH(Товары[[#This Row],[SubGroup]],Product_Structure[Subgroup],0)),"")</f>
        <v>Топоры, колуны</v>
      </c>
      <c r="I234" s="36">
        <v>9215</v>
      </c>
      <c r="J234" s="36" t="str">
        <f>IFERROR(INDEX(Product_Structure[Generic Name (long)],MATCH(Товары[[#This Row],[SubGroup]],Product_Structure[Subgroup],0)),"")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Row],[SubGroup]],DIY!$B:$C,2,FALSE),0)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3" t="str">
        <f>IFERROR(INDEX(Product_Structure[SuperCategory],MATCH(Товары[[#This Row],[SubGroup]],Product_Structure[Subgroup],0)),"")</f>
        <v>A</v>
      </c>
      <c r="D235" s="113" t="str">
        <f>IFERROR(INDEX(Product_Structure[SuperCategory Name ENG],MATCH(Товары[[#This Row],[SubGroup]],Product_Structure[Subgroup],0)),"")</f>
        <v>Hand&amp;Cutting tools, Accessories</v>
      </c>
      <c r="E23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5" s="113" t="str">
        <f>IFERROR(INDEX(Product_Structure[Product group],MATCH(Товары[[#This Row],[SubGroup]],Product_Structure[Subgroup],0)),"")</f>
        <v>AMC_C</v>
      </c>
      <c r="G235" s="113" t="str">
        <f>IFERROR(INDEX(Product_Structure[Product group name ENG],MATCH(Товары[[#This Row],[SubGroup]],Product_Structure[Subgroup],0)),"")</f>
        <v>Accessories, Manual, Cutting</v>
      </c>
      <c r="H235" s="113" t="str">
        <f>IFERROR(INDEX(Product_Structure[Generic Name (long)3],MATCH(Товары[[#This Row],[SubGroup]],Product_Structure[Subgroup],0)),"")</f>
        <v>Топоры, колуны</v>
      </c>
      <c r="I235" s="36">
        <v>9215</v>
      </c>
      <c r="J235" s="36" t="str">
        <f>IFERROR(INDEX(Product_Structure[Generic Name (long)],MATCH(Товары[[#This Row],[SubGroup]],Product_Structure[Subgroup],0)),"")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Row],[SubGroup]],DIY!$B:$C,2,FALSE),0)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3" t="str">
        <f>IFERROR(INDEX(Product_Structure[SuperCategory],MATCH(Товары[[#This Row],[SubGroup]],Product_Structure[Subgroup],0)),"")</f>
        <v>A</v>
      </c>
      <c r="D236" s="113" t="str">
        <f>IFERROR(INDEX(Product_Structure[SuperCategory Name ENG],MATCH(Товары[[#This Row],[SubGroup]],Product_Structure[Subgroup],0)),"")</f>
        <v>Hand&amp;Cutting tools, Accessories</v>
      </c>
      <c r="E23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6" s="113" t="str">
        <f>IFERROR(INDEX(Product_Structure[Product group],MATCH(Товары[[#This Row],[SubGroup]],Product_Structure[Subgroup],0)),"")</f>
        <v>AMC_C</v>
      </c>
      <c r="G236" s="113" t="str">
        <f>IFERROR(INDEX(Product_Structure[Product group name ENG],MATCH(Товары[[#This Row],[SubGroup]],Product_Structure[Subgroup],0)),"")</f>
        <v>Accessories, Manual, Cutting</v>
      </c>
      <c r="H236" s="113" t="str">
        <f>IFERROR(INDEX(Product_Structure[Generic Name (long)3],MATCH(Товары[[#This Row],[SubGroup]],Product_Structure[Subgroup],0)),"")</f>
        <v>Ножницы для травы механические</v>
      </c>
      <c r="I236" s="36">
        <v>9231</v>
      </c>
      <c r="J236" s="36" t="str">
        <f>IFERROR(INDEX(Product_Structure[Generic Name (long)],MATCH(Товары[[#This Row],[SubGroup]],Product_Structure[Subgroup],0)),"")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Row],[SubGroup]],DIY!$B:$C,2,FALSE),0)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3" t="str">
        <f>IFERROR(INDEX(Product_Structure[SuperCategory],MATCH(Товары[[#This Row],[SubGroup]],Product_Structure[Subgroup],0)),"")</f>
        <v>A</v>
      </c>
      <c r="D237" s="113" t="str">
        <f>IFERROR(INDEX(Product_Structure[SuperCategory Name ENG],MATCH(Товары[[#This Row],[SubGroup]],Product_Structure[Subgroup],0)),"")</f>
        <v>Hand&amp;Cutting tools, Accessories</v>
      </c>
      <c r="E23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7" s="113" t="str">
        <f>IFERROR(INDEX(Product_Structure[Product group],MATCH(Товары[[#This Row],[SubGroup]],Product_Structure[Subgroup],0)),"")</f>
        <v>AMC_C</v>
      </c>
      <c r="G237" s="113" t="str">
        <f>IFERROR(INDEX(Product_Structure[Product group name ENG],MATCH(Товары[[#This Row],[SubGroup]],Product_Structure[Subgroup],0)),"")</f>
        <v>Accessories, Manual, Cutting</v>
      </c>
      <c r="H237" s="113" t="str">
        <f>IFERROR(INDEX(Product_Structure[Generic Name (long)3],MATCH(Товары[[#This Row],[SubGroup]],Product_Structure[Subgroup],0)),"")</f>
        <v>Ножницы для травы механические</v>
      </c>
      <c r="I237" s="36">
        <v>9231</v>
      </c>
      <c r="J237" s="36" t="str">
        <f>IFERROR(INDEX(Product_Structure[Generic Name (long)],MATCH(Товары[[#This Row],[SubGroup]],Product_Structure[Subgroup],0)),"")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Row],[SubGroup]],DIY!$B:$C,2,FALSE),0)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3" t="str">
        <f>IFERROR(INDEX(Product_Structure[SuperCategory],MATCH(Товары[[#This Row],[SubGroup]],Product_Structure[Subgroup],0)),"")</f>
        <v>A</v>
      </c>
      <c r="D238" s="113" t="str">
        <f>IFERROR(INDEX(Product_Structure[SuperCategory Name ENG],MATCH(Товары[[#This Row],[SubGroup]],Product_Structure[Subgroup],0)),"")</f>
        <v>Hand&amp;Cutting tools, Accessories</v>
      </c>
      <c r="E23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8" s="113" t="str">
        <f>IFERROR(INDEX(Product_Structure[Product group],MATCH(Товары[[#This Row],[SubGroup]],Product_Structure[Subgroup],0)),"")</f>
        <v>AMC_C</v>
      </c>
      <c r="G238" s="113" t="str">
        <f>IFERROR(INDEX(Product_Structure[Product group name ENG],MATCH(Товары[[#This Row],[SubGroup]],Product_Structure[Subgroup],0)),"")</f>
        <v>Accessories, Manual, Cutting</v>
      </c>
      <c r="H238" s="113" t="str">
        <f>IFERROR(INDEX(Product_Structure[Generic Name (long)3],MATCH(Товары[[#This Row],[SubGroup]],Product_Structure[Subgroup],0)),"")</f>
        <v>Ножницы для травы механические</v>
      </c>
      <c r="I238" s="36">
        <v>9231</v>
      </c>
      <c r="J238" s="36" t="str">
        <f>IFERROR(INDEX(Product_Structure[Generic Name (long)],MATCH(Товары[[#This Row],[SubGroup]],Product_Structure[Subgroup],0)),"")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Row],[SubGroup]],DIY!$B:$C,2,FALSE),0)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3" t="str">
        <f>IFERROR(INDEX(Product_Structure[SuperCategory],MATCH(Товары[[#This Row],[SubGroup]],Product_Structure[Subgroup],0)),"")</f>
        <v>A</v>
      </c>
      <c r="D239" s="113" t="str">
        <f>IFERROR(INDEX(Product_Structure[SuperCategory Name ENG],MATCH(Товары[[#This Row],[SubGroup]],Product_Structure[Subgroup],0)),"")</f>
        <v>Hand&amp;Cutting tools, Accessories</v>
      </c>
      <c r="E23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39" s="113" t="str">
        <f>IFERROR(INDEX(Product_Structure[Product group],MATCH(Товары[[#This Row],[SubGroup]],Product_Structure[Subgroup],0)),"")</f>
        <v>AMC_C</v>
      </c>
      <c r="G239" s="113" t="str">
        <f>IFERROR(INDEX(Product_Structure[Product group name ENG],MATCH(Товары[[#This Row],[SubGroup]],Product_Structure[Subgroup],0)),"")</f>
        <v>Accessories, Manual, Cutting</v>
      </c>
      <c r="H239" s="113" t="str">
        <f>IFERROR(INDEX(Product_Structure[Generic Name (long)3],MATCH(Товары[[#This Row],[SubGroup]],Product_Structure[Subgroup],0)),"")</f>
        <v>Ножницы для травы механические</v>
      </c>
      <c r="I239" s="36">
        <v>9231</v>
      </c>
      <c r="J239" s="36" t="str">
        <f>IFERROR(INDEX(Product_Structure[Generic Name (long)],MATCH(Товары[[#This Row],[SubGroup]],Product_Structure[Subgroup],0)),"")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Row],[SubGroup]],DIY!$B:$C,2,FALSE),0)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3" t="str">
        <f>IFERROR(INDEX(Product_Structure[SuperCategory],MATCH(Товары[[#This Row],[SubGroup]],Product_Structure[Subgroup],0)),"")</f>
        <v>A</v>
      </c>
      <c r="D240" s="113" t="str">
        <f>IFERROR(INDEX(Product_Structure[SuperCategory Name ENG],MATCH(Товары[[#This Row],[SubGroup]],Product_Structure[Subgroup],0)),"")</f>
        <v>Hand&amp;Cutting tools, Accessories</v>
      </c>
      <c r="E24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0" s="113" t="str">
        <f>IFERROR(INDEX(Product_Structure[Product group],MATCH(Товары[[#This Row],[SubGroup]],Product_Structure[Subgroup],0)),"")</f>
        <v>AMC_C</v>
      </c>
      <c r="G240" s="113" t="str">
        <f>IFERROR(INDEX(Product_Structure[Product group name ENG],MATCH(Товары[[#This Row],[SubGroup]],Product_Structure[Subgroup],0)),"")</f>
        <v>Accessories, Manual, Cutting</v>
      </c>
      <c r="H240" s="113" t="str">
        <f>IFERROR(INDEX(Product_Structure[Generic Name (long)3],MATCH(Товары[[#This Row],[SubGroup]],Product_Structure[Subgroup],0)),"")</f>
        <v>Ножницы для травы механические</v>
      </c>
      <c r="I240" s="36">
        <v>9231</v>
      </c>
      <c r="J240" s="36" t="str">
        <f>IFERROR(INDEX(Product_Structure[Generic Name (long)],MATCH(Товары[[#This Row],[SubGroup]],Product_Structure[Subgroup],0)),"")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Row],[SubGroup]],DIY!$B:$C,2,FALSE),0)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3" t="str">
        <f>IFERROR(INDEX(Product_Structure[SuperCategory],MATCH(Товары[[#This Row],[SubGroup]],Product_Structure[Subgroup],0)),"")</f>
        <v>A</v>
      </c>
      <c r="D241" s="113" t="str">
        <f>IFERROR(INDEX(Product_Structure[SuperCategory Name ENG],MATCH(Товары[[#This Row],[SubGroup]],Product_Structure[Subgroup],0)),"")</f>
        <v>Hand&amp;Cutting tools, Accessories</v>
      </c>
      <c r="E2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1" s="113" t="str">
        <f>IFERROR(INDEX(Product_Structure[Product group],MATCH(Товары[[#This Row],[SubGroup]],Product_Structure[Subgroup],0)),"")</f>
        <v>AMC_C</v>
      </c>
      <c r="G241" s="113" t="str">
        <f>IFERROR(INDEX(Product_Structure[Product group name ENG],MATCH(Товары[[#This Row],[SubGroup]],Product_Structure[Subgroup],0)),"")</f>
        <v>Accessories, Manual, Cutting</v>
      </c>
      <c r="H241" s="113" t="str">
        <f>IFERROR(INDEX(Product_Structure[Generic Name (long)3],MATCH(Товары[[#This Row],[SubGroup]],Product_Structure[Subgroup],0)),"")</f>
        <v>Ножницы для травы механические</v>
      </c>
      <c r="I241" s="36">
        <v>9231</v>
      </c>
      <c r="J241" s="36" t="str">
        <f>IFERROR(INDEX(Product_Structure[Generic Name (long)],MATCH(Товары[[#This Row],[SubGroup]],Product_Structure[Subgroup],0)),"")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Row],[SubGroup]],DIY!$B:$C,2,FALSE),0)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3" t="str">
        <f>IFERROR(INDEX(Product_Structure[SuperCategory],MATCH(Товары[[#This Row],[SubGroup]],Product_Structure[Subgroup],0)),"")</f>
        <v>A</v>
      </c>
      <c r="D242" s="113" t="str">
        <f>IFERROR(INDEX(Product_Structure[SuperCategory Name ENG],MATCH(Товары[[#This Row],[SubGroup]],Product_Structure[Subgroup],0)),"")</f>
        <v>Hand&amp;Cutting tools, Accessories</v>
      </c>
      <c r="E2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2" s="113" t="str">
        <f>IFERROR(INDEX(Product_Structure[Product group],MATCH(Товары[[#This Row],[SubGroup]],Product_Structure[Subgroup],0)),"")</f>
        <v>AMC_C</v>
      </c>
      <c r="G242" s="113" t="str">
        <f>IFERROR(INDEX(Product_Structure[Product group name ENG],MATCH(Товары[[#This Row],[SubGroup]],Product_Structure[Subgroup],0)),"")</f>
        <v>Accessories, Manual, Cutting</v>
      </c>
      <c r="H242" s="113" t="str">
        <f>IFERROR(INDEX(Product_Structure[Generic Name (long)3],MATCH(Товары[[#This Row],[SubGroup]],Product_Structure[Subgroup],0)),"")</f>
        <v>Ножницы для травы механические</v>
      </c>
      <c r="I242" s="36">
        <v>9231</v>
      </c>
      <c r="J242" s="36" t="str">
        <f>IFERROR(INDEX(Product_Structure[Generic Name (long)],MATCH(Товары[[#This Row],[SubGroup]],Product_Structure[Subgroup],0)),"")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Row],[SubGroup]],DIY!$B:$C,2,FALSE),0)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3" t="str">
        <f>IFERROR(INDEX(Product_Structure[SuperCategory],MATCH(Товары[[#This Row],[SubGroup]],Product_Structure[Subgroup],0)),"")</f>
        <v>A</v>
      </c>
      <c r="D243" s="113" t="str">
        <f>IFERROR(INDEX(Product_Structure[SuperCategory Name ENG],MATCH(Товары[[#This Row],[SubGroup]],Product_Structure[Subgroup],0)),"")</f>
        <v>Hand&amp;Cutting tools, Accessories</v>
      </c>
      <c r="E2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3" s="113" t="str">
        <f>IFERROR(INDEX(Product_Structure[Product group],MATCH(Товары[[#This Row],[SubGroup]],Product_Structure[Subgroup],0)),"")</f>
        <v>AMC_C</v>
      </c>
      <c r="G243" s="113" t="str">
        <f>IFERROR(INDEX(Product_Structure[Product group name ENG],MATCH(Товары[[#This Row],[SubGroup]],Product_Structure[Subgroup],0)),"")</f>
        <v>Accessories, Manual, Cutting</v>
      </c>
      <c r="H243" s="113" t="str">
        <f>IFERROR(INDEX(Product_Structure[Generic Name (long)3],MATCH(Товары[[#This Row],[SubGroup]],Product_Structure[Subgroup],0)),"")</f>
        <v>Ножницы для травы механические</v>
      </c>
      <c r="I243" s="36">
        <v>9231</v>
      </c>
      <c r="J243" s="36" t="str">
        <f>IFERROR(INDEX(Product_Structure[Generic Name (long)],MATCH(Товары[[#This Row],[SubGroup]],Product_Structure[Subgroup],0)),"")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Row],[SubGroup]],DIY!$B:$C,2,FALSE),0)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3" t="str">
        <f>IFERROR(INDEX(Product_Structure[SuperCategory],MATCH(Товары[[#This Row],[SubGroup]],Product_Structure[Subgroup],0)),"")</f>
        <v>A</v>
      </c>
      <c r="D244" s="113" t="str">
        <f>IFERROR(INDEX(Product_Structure[SuperCategory Name ENG],MATCH(Товары[[#This Row],[SubGroup]],Product_Structure[Subgroup],0)),"")</f>
        <v>Hand&amp;Cutting tools, Accessories</v>
      </c>
      <c r="E2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4" s="113" t="str">
        <f>IFERROR(INDEX(Product_Structure[Product group],MATCH(Товары[[#This Row],[SubGroup]],Product_Structure[Subgroup],0)),"")</f>
        <v>AMC_C</v>
      </c>
      <c r="G244" s="113" t="str">
        <f>IFERROR(INDEX(Product_Structure[Product group name ENG],MATCH(Товары[[#This Row],[SubGroup]],Product_Structure[Subgroup],0)),"")</f>
        <v>Accessories, Manual, Cutting</v>
      </c>
      <c r="H244" s="113" t="str">
        <f>IFERROR(INDEX(Product_Structure[Generic Name (long)3],MATCH(Товары[[#This Row],[SubGroup]],Product_Structure[Subgroup],0)),"")</f>
        <v>Ножницы для травы механические</v>
      </c>
      <c r="I244" s="36">
        <v>9231</v>
      </c>
      <c r="J244" s="36" t="str">
        <f>IFERROR(INDEX(Product_Structure[Generic Name (long)],MATCH(Товары[[#This Row],[SubGroup]],Product_Structure[Subgroup],0)),"")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Row],[SubGroup]],DIY!$B:$C,2,FALSE),0)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3" t="str">
        <f>IFERROR(INDEX(Product_Structure[SuperCategory],MATCH(Товары[[#This Row],[SubGroup]],Product_Structure[Subgroup],0)),"")</f>
        <v>A</v>
      </c>
      <c r="D245" s="113" t="str">
        <f>IFERROR(INDEX(Product_Structure[SuperCategory Name ENG],MATCH(Товары[[#This Row],[SubGroup]],Product_Structure[Subgroup],0)),"")</f>
        <v>Hand&amp;Cutting tools, Accessories</v>
      </c>
      <c r="E2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5" s="113" t="str">
        <f>IFERROR(INDEX(Product_Structure[Product group],MATCH(Товары[[#This Row],[SubGroup]],Product_Structure[Subgroup],0)),"")</f>
        <v>AMC_C</v>
      </c>
      <c r="G245" s="113" t="str">
        <f>IFERROR(INDEX(Product_Structure[Product group name ENG],MATCH(Товары[[#This Row],[SubGroup]],Product_Structure[Subgroup],0)),"")</f>
        <v>Accessories, Manual, Cutting</v>
      </c>
      <c r="H245" s="113" t="str">
        <f>IFERROR(INDEX(Product_Structure[Generic Name (long)3],MATCH(Товары[[#This Row],[SubGroup]],Product_Structure[Subgroup],0)),"")</f>
        <v>Ножницы для травы механические</v>
      </c>
      <c r="I245" s="36">
        <v>9231</v>
      </c>
      <c r="J245" s="36" t="str">
        <f>IFERROR(INDEX(Product_Structure[Generic Name (long)],MATCH(Товары[[#This Row],[SubGroup]],Product_Structure[Subgroup],0)),"")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Row],[SubGroup]],DIY!$B:$C,2,FALSE),0)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3" t="str">
        <f>IFERROR(INDEX(Product_Structure[SuperCategory],MATCH(Товары[[#This Row],[SubGroup]],Product_Structure[Subgroup],0)),"")</f>
        <v>A</v>
      </c>
      <c r="D246" s="113" t="str">
        <f>IFERROR(INDEX(Product_Structure[SuperCategory Name ENG],MATCH(Товары[[#This Row],[SubGroup]],Product_Structure[Subgroup],0)),"")</f>
        <v>Hand&amp;Cutting tools, Accessories</v>
      </c>
      <c r="E2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6" s="113" t="str">
        <f>IFERROR(INDEX(Product_Structure[Product group],MATCH(Товары[[#This Row],[SubGroup]],Product_Structure[Subgroup],0)),"")</f>
        <v>AMC_C</v>
      </c>
      <c r="G246" s="113" t="str">
        <f>IFERROR(INDEX(Product_Structure[Product group name ENG],MATCH(Товары[[#This Row],[SubGroup]],Product_Structure[Subgroup],0)),"")</f>
        <v>Accessories, Manual, Cutting</v>
      </c>
      <c r="H246" s="113" t="str">
        <f>IFERROR(INDEX(Product_Structure[Generic Name (long)3],MATCH(Товары[[#This Row],[SubGroup]],Product_Structure[Subgroup],0)),"")</f>
        <v>Ножницы для травы механические</v>
      </c>
      <c r="I246" s="36">
        <v>9231</v>
      </c>
      <c r="J246" s="36" t="str">
        <f>IFERROR(INDEX(Product_Structure[Generic Name (long)],MATCH(Товары[[#This Row],[SubGroup]],Product_Structure[Subgroup],0)),"")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Row],[SubGroup]],DIY!$B:$C,2,FALSE),0)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3" t="str">
        <f>IFERROR(INDEX(Product_Structure[SuperCategory],MATCH(Товары[[#This Row],[SubGroup]],Product_Structure[Subgroup],0)),"")</f>
        <v>A</v>
      </c>
      <c r="D247" s="113" t="str">
        <f>IFERROR(INDEX(Product_Structure[SuperCategory Name ENG],MATCH(Товары[[#This Row],[SubGroup]],Product_Structure[Subgroup],0)),"")</f>
        <v>Hand&amp;Cutting tools, Accessories</v>
      </c>
      <c r="E2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7" s="113" t="str">
        <f>IFERROR(INDEX(Product_Structure[Product group],MATCH(Товары[[#This Row],[SubGroup]],Product_Structure[Subgroup],0)),"")</f>
        <v>AMC_C</v>
      </c>
      <c r="G247" s="113" t="str">
        <f>IFERROR(INDEX(Product_Structure[Product group name ENG],MATCH(Товары[[#This Row],[SubGroup]],Product_Structure[Subgroup],0)),"")</f>
        <v>Accessories, Manual, Cutting</v>
      </c>
      <c r="H247" s="113" t="str">
        <f>IFERROR(INDEX(Product_Structure[Generic Name (long)3],MATCH(Товары[[#This Row],[SubGroup]],Product_Structure[Subgroup],0)),"")</f>
        <v>Ножницы для травы механические</v>
      </c>
      <c r="I247" s="36">
        <v>9231</v>
      </c>
      <c r="J247" s="36" t="str">
        <f>IFERROR(INDEX(Product_Structure[Generic Name (long)],MATCH(Товары[[#This Row],[SubGroup]],Product_Structure[Subgroup],0)),"")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Row],[SubGroup]],DIY!$B:$C,2,FALSE),0)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3" t="str">
        <f>IFERROR(INDEX(Product_Structure[SuperCategory],MATCH(Товары[[#This Row],[SubGroup]],Product_Structure[Subgroup],0)),"")</f>
        <v>A</v>
      </c>
      <c r="D248" s="113" t="str">
        <f>IFERROR(INDEX(Product_Structure[SuperCategory Name ENG],MATCH(Товары[[#This Row],[SubGroup]],Product_Structure[Subgroup],0)),"")</f>
        <v>Hand&amp;Cutting tools, Accessories</v>
      </c>
      <c r="E2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8" s="113" t="str">
        <f>IFERROR(INDEX(Product_Structure[Product group],MATCH(Товары[[#This Row],[SubGroup]],Product_Structure[Subgroup],0)),"")</f>
        <v>AMC_C</v>
      </c>
      <c r="G248" s="113" t="str">
        <f>IFERROR(INDEX(Product_Structure[Product group name ENG],MATCH(Товары[[#This Row],[SubGroup]],Product_Structure[Subgroup],0)),"")</f>
        <v>Accessories, Manual, Cutting</v>
      </c>
      <c r="H248" s="113" t="str">
        <f>IFERROR(INDEX(Product_Structure[Generic Name (long)3],MATCH(Товары[[#This Row],[SubGroup]],Product_Structure[Subgroup],0)),"")</f>
        <v>Ножницы для травы механические</v>
      </c>
      <c r="I248" s="36">
        <v>9231</v>
      </c>
      <c r="J248" s="36" t="str">
        <f>IFERROR(INDEX(Product_Structure[Generic Name (long)],MATCH(Товары[[#This Row],[SubGroup]],Product_Structure[Subgroup],0)),"")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Row],[SubGroup]],DIY!$B:$C,2,FALSE),0)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3" t="str">
        <f>IFERROR(INDEX(Product_Structure[SuperCategory],MATCH(Товары[[#This Row],[SubGroup]],Product_Structure[Subgroup],0)),"")</f>
        <v>A</v>
      </c>
      <c r="D249" s="113" t="str">
        <f>IFERROR(INDEX(Product_Structure[SuperCategory Name ENG],MATCH(Товары[[#This Row],[SubGroup]],Product_Structure[Subgroup],0)),"")</f>
        <v>Hand&amp;Cutting tools, Accessories</v>
      </c>
      <c r="E2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49" s="113" t="str">
        <f>IFERROR(INDEX(Product_Structure[Product group],MATCH(Товары[[#This Row],[SubGroup]],Product_Structure[Subgroup],0)),"")</f>
        <v>AMC_C</v>
      </c>
      <c r="G249" s="113" t="str">
        <f>IFERROR(INDEX(Product_Structure[Product group name ENG],MATCH(Товары[[#This Row],[SubGroup]],Product_Structure[Subgroup],0)),"")</f>
        <v>Accessories, Manual, Cutting</v>
      </c>
      <c r="H249" s="113" t="str">
        <f>IFERROR(INDEX(Product_Structure[Generic Name (long)3],MATCH(Товары[[#This Row],[SubGroup]],Product_Structure[Subgroup],0)),"")</f>
        <v>Ножницы для травы механические</v>
      </c>
      <c r="I249" s="36">
        <v>9231</v>
      </c>
      <c r="J249" s="36" t="str">
        <f>IFERROR(INDEX(Product_Structure[Generic Name (long)],MATCH(Товары[[#This Row],[SubGroup]],Product_Structure[Subgroup],0)),"")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Row],[SubGroup]],DIY!$B:$C,2,FALSE),0)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3" t="str">
        <f>IFERROR(INDEX(Product_Structure[SuperCategory],MATCH(Товары[[#This Row],[SubGroup]],Product_Structure[Subgroup],0)),"")</f>
        <v>A</v>
      </c>
      <c r="D250" s="113" t="str">
        <f>IFERROR(INDEX(Product_Structure[SuperCategory Name ENG],MATCH(Товары[[#This Row],[SubGroup]],Product_Structure[Subgroup],0)),"")</f>
        <v>Hand&amp;Cutting tools, Accessories</v>
      </c>
      <c r="E2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0" s="113" t="str">
        <f>IFERROR(INDEX(Product_Structure[Product group],MATCH(Товары[[#This Row],[SubGroup]],Product_Structure[Subgroup],0)),"")</f>
        <v>AMC_C</v>
      </c>
      <c r="G250" s="113" t="str">
        <f>IFERROR(INDEX(Product_Structure[Product group name ENG],MATCH(Товары[[#This Row],[SubGroup]],Product_Structure[Subgroup],0)),"")</f>
        <v>Accessories, Manual, Cutting</v>
      </c>
      <c r="H250" s="113" t="str">
        <f>IFERROR(INDEX(Product_Structure[Generic Name (long)3],MATCH(Товары[[#This Row],[SubGroup]],Product_Structure[Subgroup],0)),"")</f>
        <v>Ножницы для травы механические</v>
      </c>
      <c r="I250" s="36">
        <v>9231</v>
      </c>
      <c r="J250" s="36" t="str">
        <f>IFERROR(INDEX(Product_Structure[Generic Name (long)],MATCH(Товары[[#This Row],[SubGroup]],Product_Structure[Subgroup],0)),"")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Row],[SubGroup]],DIY!$B:$C,2,FALSE),0)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3" t="str">
        <f>IFERROR(INDEX(Product_Structure[SuperCategory],MATCH(Товары[[#This Row],[SubGroup]],Product_Structure[Subgroup],0)),"")</f>
        <v>A</v>
      </c>
      <c r="D251" s="113" t="str">
        <f>IFERROR(INDEX(Product_Structure[SuperCategory Name ENG],MATCH(Товары[[#This Row],[SubGroup]],Product_Structure[Subgroup],0)),"")</f>
        <v>Hand&amp;Cutting tools, Accessories</v>
      </c>
      <c r="E2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1" s="113" t="str">
        <f>IFERROR(INDEX(Product_Structure[Product group],MATCH(Товары[[#This Row],[SubGroup]],Product_Structure[Subgroup],0)),"")</f>
        <v>AMC_C</v>
      </c>
      <c r="G251" s="113" t="str">
        <f>IFERROR(INDEX(Product_Structure[Product group name ENG],MATCH(Товары[[#This Row],[SubGroup]],Product_Structure[Subgroup],0)),"")</f>
        <v>Accessories, Manual, Cutting</v>
      </c>
      <c r="H251" s="113" t="str">
        <f>IFERROR(INDEX(Product_Structure[Generic Name (long)3],MATCH(Товары[[#This Row],[SubGroup]],Product_Structure[Subgroup],0)),"")</f>
        <v>Ножницы для травы механические</v>
      </c>
      <c r="I251" s="36">
        <v>9231</v>
      </c>
      <c r="J251" s="36" t="str">
        <f>IFERROR(INDEX(Product_Structure[Generic Name (long)],MATCH(Товары[[#This Row],[SubGroup]],Product_Structure[Subgroup],0)),"")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Row],[SubGroup]],DIY!$B:$C,2,FALSE),0)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3" t="str">
        <f>IFERROR(INDEX(Product_Structure[SuperCategory],MATCH(Товары[[#This Row],[SubGroup]],Product_Structure[Subgroup],0)),"")</f>
        <v>A</v>
      </c>
      <c r="D252" s="113" t="str">
        <f>IFERROR(INDEX(Product_Structure[SuperCategory Name ENG],MATCH(Товары[[#This Row],[SubGroup]],Product_Structure[Subgroup],0)),"")</f>
        <v>Hand&amp;Cutting tools, Accessories</v>
      </c>
      <c r="E2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2" s="113" t="str">
        <f>IFERROR(INDEX(Product_Structure[Product group],MATCH(Товары[[#This Row],[SubGroup]],Product_Structure[Subgroup],0)),"")</f>
        <v>AMC_C</v>
      </c>
      <c r="G252" s="113" t="str">
        <f>IFERROR(INDEX(Product_Structure[Product group name ENG],MATCH(Товары[[#This Row],[SubGroup]],Product_Structure[Subgroup],0)),"")</f>
        <v>Accessories, Manual, Cutting</v>
      </c>
      <c r="H252" s="113" t="str">
        <f>IFERROR(INDEX(Product_Structure[Generic Name (long)3],MATCH(Товары[[#This Row],[SubGroup]],Product_Structure[Subgroup],0)),"")</f>
        <v>Ножницы для травы механические</v>
      </c>
      <c r="I252" s="36">
        <v>9231</v>
      </c>
      <c r="J252" s="36" t="str">
        <f>IFERROR(INDEX(Product_Structure[Generic Name (long)],MATCH(Товары[[#This Row],[SubGroup]],Product_Structure[Subgroup],0)),"")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Row],[SubGroup]],DIY!$B:$C,2,FALSE),0)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3" t="str">
        <f>IFERROR(INDEX(Product_Structure[SuperCategory],MATCH(Товары[[#This Row],[SubGroup]],Product_Structure[Subgroup],0)),"")</f>
        <v>A</v>
      </c>
      <c r="D253" s="113" t="str">
        <f>IFERROR(INDEX(Product_Structure[SuperCategory Name ENG],MATCH(Товары[[#This Row],[SubGroup]],Product_Structure[Subgroup],0)),"")</f>
        <v>Hand&amp;Cutting tools, Accessories</v>
      </c>
      <c r="E2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3" s="113" t="str">
        <f>IFERROR(INDEX(Product_Structure[Product group],MATCH(Товары[[#This Row],[SubGroup]],Product_Structure[Subgroup],0)),"")</f>
        <v>AMC_C</v>
      </c>
      <c r="G253" s="113" t="str">
        <f>IFERROR(INDEX(Product_Structure[Product group name ENG],MATCH(Товары[[#This Row],[SubGroup]],Product_Structure[Subgroup],0)),"")</f>
        <v>Accessories, Manual, Cutting</v>
      </c>
      <c r="H253" s="113" t="str">
        <f>IFERROR(INDEX(Product_Structure[Generic Name (long)3],MATCH(Товары[[#This Row],[SubGroup]],Product_Structure[Subgroup],0)),"")</f>
        <v>Ножницы для травы механические</v>
      </c>
      <c r="I253" s="36">
        <v>9231</v>
      </c>
      <c r="J253" s="36" t="str">
        <f>IFERROR(INDEX(Product_Structure[Generic Name (long)],MATCH(Товары[[#This Row],[SubGroup]],Product_Structure[Subgroup],0)),"")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Row],[SubGroup]],DIY!$B:$C,2,FALSE),0)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3" t="str">
        <f>IFERROR(INDEX(Product_Structure[SuperCategory],MATCH(Товары[[#This Row],[SubGroup]],Product_Structure[Subgroup],0)),"")</f>
        <v>A</v>
      </c>
      <c r="D254" s="113" t="str">
        <f>IFERROR(INDEX(Product_Structure[SuperCategory Name ENG],MATCH(Товары[[#This Row],[SubGroup]],Product_Structure[Subgroup],0)),"")</f>
        <v>Hand&amp;Cutting tools, Accessories</v>
      </c>
      <c r="E2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4" s="113" t="str">
        <f>IFERROR(INDEX(Product_Structure[Product group],MATCH(Товары[[#This Row],[SubGroup]],Product_Structure[Subgroup],0)),"")</f>
        <v>AMC_C</v>
      </c>
      <c r="G254" s="113" t="str">
        <f>IFERROR(INDEX(Product_Structure[Product group name ENG],MATCH(Товары[[#This Row],[SubGroup]],Product_Structure[Subgroup],0)),"")</f>
        <v>Accessories, Manual, Cutting</v>
      </c>
      <c r="H254" s="113" t="str">
        <f>IFERROR(INDEX(Product_Structure[Generic Name (long)3],MATCH(Товары[[#This Row],[SubGroup]],Product_Structure[Subgroup],0)),"")</f>
        <v>Топоры, колуны</v>
      </c>
      <c r="I254" s="36">
        <v>9215</v>
      </c>
      <c r="J254" s="36" t="str">
        <f>IFERROR(INDEX(Product_Structure[Generic Name (long)],MATCH(Товары[[#This Row],[SubGroup]],Product_Structure[Subgroup],0)),"")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Row],[SubGroup]],DIY!$B:$C,2,FALSE),0)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3" t="str">
        <f>IFERROR(INDEX(Product_Structure[SuperCategory],MATCH(Товары[[#This Row],[SubGroup]],Product_Structure[Subgroup],0)),"")</f>
        <v>A</v>
      </c>
      <c r="D255" s="113" t="str">
        <f>IFERROR(INDEX(Product_Structure[SuperCategory Name ENG],MATCH(Товары[[#This Row],[SubGroup]],Product_Structure[Subgroup],0)),"")</f>
        <v>Hand&amp;Cutting tools, Accessories</v>
      </c>
      <c r="E2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5" s="113" t="str">
        <f>IFERROR(INDEX(Product_Structure[Product group],MATCH(Товары[[#This Row],[SubGroup]],Product_Structure[Subgroup],0)),"")</f>
        <v>AMC_C</v>
      </c>
      <c r="G255" s="113" t="str">
        <f>IFERROR(INDEX(Product_Structure[Product group name ENG],MATCH(Товары[[#This Row],[SubGroup]],Product_Structure[Subgroup],0)),"")</f>
        <v>Accessories, Manual, Cutting</v>
      </c>
      <c r="H255" s="113" t="str">
        <f>IFERROR(INDEX(Product_Structure[Generic Name (long)3],MATCH(Товары[[#This Row],[SubGroup]],Product_Structure[Subgroup],0)),"")</f>
        <v>Секаторы</v>
      </c>
      <c r="I255" s="36">
        <v>9211</v>
      </c>
      <c r="J255" s="36" t="str">
        <f>IFERROR(INDEX(Product_Structure[Generic Name (long)],MATCH(Товары[[#This Row],[SubGroup]],Product_Structure[Subgroup],0)),"")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Row],[SubGroup]],DIY!$B:$C,2,FALSE),0)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3" t="str">
        <f>IFERROR(INDEX(Product_Structure[SuperCategory],MATCH(Товары[[#This Row],[SubGroup]],Product_Structure[Subgroup],0)),"")</f>
        <v>A</v>
      </c>
      <c r="D256" s="113" t="str">
        <f>IFERROR(INDEX(Product_Structure[SuperCategory Name ENG],MATCH(Товары[[#This Row],[SubGroup]],Product_Structure[Subgroup],0)),"")</f>
        <v>Hand&amp;Cutting tools, Accessories</v>
      </c>
      <c r="E2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6" s="113" t="str">
        <f>IFERROR(INDEX(Product_Structure[Product group],MATCH(Товары[[#This Row],[SubGroup]],Product_Structure[Subgroup],0)),"")</f>
        <v>AMC_C</v>
      </c>
      <c r="G256" s="113" t="str">
        <f>IFERROR(INDEX(Product_Structure[Product group name ENG],MATCH(Товары[[#This Row],[SubGroup]],Product_Structure[Subgroup],0)),"")</f>
        <v>Accessories, Manual, Cutting</v>
      </c>
      <c r="H256" s="113" t="str">
        <f>IFERROR(INDEX(Product_Structure[Generic Name (long)3],MATCH(Товары[[#This Row],[SubGroup]],Product_Structure[Subgroup],0)),"")</f>
        <v>Секаторы</v>
      </c>
      <c r="I256" s="36">
        <v>9211</v>
      </c>
      <c r="J256" s="36" t="str">
        <f>IFERROR(INDEX(Product_Structure[Generic Name (long)],MATCH(Товары[[#This Row],[SubGroup]],Product_Structure[Subgroup],0)),"")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Row],[SubGroup]],DIY!$B:$C,2,FALSE),0)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3" t="str">
        <f>IFERROR(INDEX(Product_Structure[SuperCategory],MATCH(Товары[[#This Row],[SubGroup]],Product_Structure[Subgroup],0)),"")</f>
        <v>A</v>
      </c>
      <c r="D257" s="113" t="str">
        <f>IFERROR(INDEX(Product_Structure[SuperCategory Name ENG],MATCH(Товары[[#This Row],[SubGroup]],Product_Structure[Subgroup],0)),"")</f>
        <v>Hand&amp;Cutting tools, Accessories</v>
      </c>
      <c r="E25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7" s="113" t="str">
        <f>IFERROR(INDEX(Product_Structure[Product group],MATCH(Товары[[#This Row],[SubGroup]],Product_Structure[Subgroup],0)),"")</f>
        <v>AMC_C</v>
      </c>
      <c r="G257" s="113" t="str">
        <f>IFERROR(INDEX(Product_Structure[Product group name ENG],MATCH(Товары[[#This Row],[SubGroup]],Product_Structure[Subgroup],0)),"")</f>
        <v>Accessories, Manual, Cutting</v>
      </c>
      <c r="H257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57" s="36">
        <v>9213</v>
      </c>
      <c r="J257" s="36" t="str">
        <f>IFERROR(INDEX(Product_Structure[Generic Name (long)],MATCH(Товары[[#This Row],[SubGroup]],Product_Structure[Subgroup],0)),"")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Row],[SubGroup]],DIY!$B:$C,2,FALSE),0)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3" t="str">
        <f>IFERROR(INDEX(Product_Structure[SuperCategory],MATCH(Товары[[#This Row],[SubGroup]],Product_Structure[Subgroup],0)),"")</f>
        <v>A</v>
      </c>
      <c r="D258" s="113" t="str">
        <f>IFERROR(INDEX(Product_Structure[SuperCategory Name ENG],MATCH(Товары[[#This Row],[SubGroup]],Product_Structure[Subgroup],0)),"")</f>
        <v>Hand&amp;Cutting tools, Accessories</v>
      </c>
      <c r="E25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8" s="113" t="str">
        <f>IFERROR(INDEX(Product_Structure[Product group],MATCH(Товары[[#This Row],[SubGroup]],Product_Structure[Subgroup],0)),"")</f>
        <v>AMC_C</v>
      </c>
      <c r="G258" s="113" t="str">
        <f>IFERROR(INDEX(Product_Structure[Product group name ENG],MATCH(Товары[[#This Row],[SubGroup]],Product_Structure[Subgroup],0)),"")</f>
        <v>Accessories, Manual, Cutting</v>
      </c>
      <c r="H258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58" s="36">
        <v>9213</v>
      </c>
      <c r="J258" s="36" t="str">
        <f>IFERROR(INDEX(Product_Structure[Generic Name (long)],MATCH(Товары[[#This Row],[SubGroup]],Product_Structure[Subgroup],0)),"")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Row],[SubGroup]],DIY!$B:$C,2,FALSE),0)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3" t="str">
        <f>IFERROR(INDEX(Product_Structure[SuperCategory],MATCH(Товары[[#This Row],[SubGroup]],Product_Structure[Subgroup],0)),"")</f>
        <v>A</v>
      </c>
      <c r="D259" s="113" t="str">
        <f>IFERROR(INDEX(Product_Structure[SuperCategory Name ENG],MATCH(Товары[[#This Row],[SubGroup]],Product_Structure[Subgroup],0)),"")</f>
        <v>Hand&amp;Cutting tools, Accessories</v>
      </c>
      <c r="E25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59" s="113" t="str">
        <f>IFERROR(INDEX(Product_Structure[Product group],MATCH(Товары[[#This Row],[SubGroup]],Product_Structure[Subgroup],0)),"")</f>
        <v>AMC_C</v>
      </c>
      <c r="G259" s="113" t="str">
        <f>IFERROR(INDEX(Product_Structure[Product group name ENG],MATCH(Товары[[#This Row],[SubGroup]],Product_Structure[Subgroup],0)),"")</f>
        <v>Accessories, Manual, Cutting</v>
      </c>
      <c r="H259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59" s="36">
        <v>9213</v>
      </c>
      <c r="J259" s="36" t="str">
        <f>IFERROR(INDEX(Product_Structure[Generic Name (long)],MATCH(Товары[[#This Row],[SubGroup]],Product_Structure[Subgroup],0)),"")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Row],[SubGroup]],DIY!$B:$C,2,FALSE),0)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3" t="str">
        <f>IFERROR(INDEX(Product_Structure[SuperCategory],MATCH(Товары[[#This Row],[SubGroup]],Product_Structure[Subgroup],0)),"")</f>
        <v>A</v>
      </c>
      <c r="D260" s="113" t="str">
        <f>IFERROR(INDEX(Product_Structure[SuperCategory Name ENG],MATCH(Товары[[#This Row],[SubGroup]],Product_Structure[Subgroup],0)),"")</f>
        <v>Hand&amp;Cutting tools, Accessories</v>
      </c>
      <c r="E26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0" s="113" t="str">
        <f>IFERROR(INDEX(Product_Structure[Product group],MATCH(Товары[[#This Row],[SubGroup]],Product_Structure[Subgroup],0)),"")</f>
        <v>AMC_C</v>
      </c>
      <c r="G260" s="113" t="str">
        <f>IFERROR(INDEX(Product_Structure[Product group name ENG],MATCH(Товары[[#This Row],[SubGroup]],Product_Structure[Subgroup],0)),"")</f>
        <v>Accessories, Manual, Cutting</v>
      </c>
      <c r="H260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0" s="36">
        <v>9213</v>
      </c>
      <c r="J260" s="36" t="str">
        <f>IFERROR(INDEX(Product_Structure[Generic Name (long)],MATCH(Товары[[#This Row],[SubGroup]],Product_Structure[Subgroup],0)),"")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Row],[SubGroup]],DIY!$B:$C,2,FALSE),0)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3" t="str">
        <f>IFERROR(INDEX(Product_Structure[SuperCategory],MATCH(Товары[[#This Row],[SubGroup]],Product_Structure[Subgroup],0)),"")</f>
        <v>A</v>
      </c>
      <c r="D261" s="113" t="str">
        <f>IFERROR(INDEX(Product_Structure[SuperCategory Name ENG],MATCH(Товары[[#This Row],[SubGroup]],Product_Structure[Subgroup],0)),"")</f>
        <v>Hand&amp;Cutting tools, Accessories</v>
      </c>
      <c r="E26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1" s="113" t="str">
        <f>IFERROR(INDEX(Product_Structure[Product group],MATCH(Товары[[#This Row],[SubGroup]],Product_Structure[Subgroup],0)),"")</f>
        <v>AMC_C</v>
      </c>
      <c r="G261" s="113" t="str">
        <f>IFERROR(INDEX(Product_Structure[Product group name ENG],MATCH(Товары[[#This Row],[SubGroup]],Product_Structure[Subgroup],0)),"")</f>
        <v>Accessories, Manual, Cutting</v>
      </c>
      <c r="H261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1" s="36">
        <v>9213</v>
      </c>
      <c r="J261" s="36" t="str">
        <f>IFERROR(INDEX(Product_Structure[Generic Name (long)],MATCH(Товары[[#This Row],[SubGroup]],Product_Structure[Subgroup],0)),"")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Row],[SubGroup]],DIY!$B:$C,2,FALSE),0)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3" t="str">
        <f>IFERROR(INDEX(Product_Structure[SuperCategory],MATCH(Товары[[#This Row],[SubGroup]],Product_Structure[Subgroup],0)),"")</f>
        <v>A</v>
      </c>
      <c r="D262" s="113" t="str">
        <f>IFERROR(INDEX(Product_Structure[SuperCategory Name ENG],MATCH(Товары[[#This Row],[SubGroup]],Product_Structure[Subgroup],0)),"")</f>
        <v>Hand&amp;Cutting tools, Accessories</v>
      </c>
      <c r="E26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2" s="113" t="str">
        <f>IFERROR(INDEX(Product_Structure[Product group],MATCH(Товары[[#This Row],[SubGroup]],Product_Structure[Subgroup],0)),"")</f>
        <v>AMC_C</v>
      </c>
      <c r="G262" s="113" t="str">
        <f>IFERROR(INDEX(Product_Structure[Product group name ENG],MATCH(Товары[[#This Row],[SubGroup]],Product_Structure[Subgroup],0)),"")</f>
        <v>Accessories, Manual, Cutting</v>
      </c>
      <c r="H262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2" s="36">
        <v>9213</v>
      </c>
      <c r="J262" s="36" t="str">
        <f>IFERROR(INDEX(Product_Structure[Generic Name (long)],MATCH(Товары[[#This Row],[SubGroup]],Product_Structure[Subgroup],0)),"")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Row],[SubGroup]],DIY!$B:$C,2,FALSE),0)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3" t="str">
        <f>IFERROR(INDEX(Product_Structure[SuperCategory],MATCH(Товары[[#This Row],[SubGroup]],Product_Structure[Subgroup],0)),"")</f>
        <v>A</v>
      </c>
      <c r="D263" s="113" t="str">
        <f>IFERROR(INDEX(Product_Structure[SuperCategory Name ENG],MATCH(Товары[[#This Row],[SubGroup]],Product_Structure[Subgroup],0)),"")</f>
        <v>Hand&amp;Cutting tools, Accessories</v>
      </c>
      <c r="E26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3" s="113" t="str">
        <f>IFERROR(INDEX(Product_Structure[Product group],MATCH(Товары[[#This Row],[SubGroup]],Product_Structure[Subgroup],0)),"")</f>
        <v>AMC_C</v>
      </c>
      <c r="G263" s="113" t="str">
        <f>IFERROR(INDEX(Product_Structure[Product group name ENG],MATCH(Товары[[#This Row],[SubGroup]],Product_Structure[Subgroup],0)),"")</f>
        <v>Accessories, Manual, Cutting</v>
      </c>
      <c r="H263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3" s="36">
        <v>9213</v>
      </c>
      <c r="J263" s="36" t="str">
        <f>IFERROR(INDEX(Product_Structure[Generic Name (long)],MATCH(Товары[[#This Row],[SubGroup]],Product_Structure[Subgroup],0)),"")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Row],[SubGroup]],DIY!$B:$C,2,FALSE),0)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3" t="str">
        <f>IFERROR(INDEX(Product_Structure[SuperCategory],MATCH(Товары[[#This Row],[SubGroup]],Product_Structure[Subgroup],0)),"")</f>
        <v>A</v>
      </c>
      <c r="D264" s="113" t="str">
        <f>IFERROR(INDEX(Product_Structure[SuperCategory Name ENG],MATCH(Товары[[#This Row],[SubGroup]],Product_Structure[Subgroup],0)),"")</f>
        <v>Hand&amp;Cutting tools, Accessories</v>
      </c>
      <c r="E26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4" s="113" t="str">
        <f>IFERROR(INDEX(Product_Structure[Product group],MATCH(Товары[[#This Row],[SubGroup]],Product_Structure[Subgroup],0)),"")</f>
        <v>AMC_C</v>
      </c>
      <c r="G264" s="113" t="str">
        <f>IFERROR(INDEX(Product_Structure[Product group name ENG],MATCH(Товары[[#This Row],[SubGroup]],Product_Structure[Subgroup],0)),"")</f>
        <v>Accessories, Manual, Cutting</v>
      </c>
      <c r="H264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4" s="36">
        <v>9213</v>
      </c>
      <c r="J264" s="36" t="str">
        <f>IFERROR(INDEX(Product_Structure[Generic Name (long)],MATCH(Товары[[#This Row],[SubGroup]],Product_Structure[Subgroup],0)),"")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Row],[SubGroup]],DIY!$B:$C,2,FALSE),0)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3" t="str">
        <f>IFERROR(INDEX(Product_Structure[SuperCategory],MATCH(Товары[[#This Row],[SubGroup]],Product_Structure[Subgroup],0)),"")</f>
        <v>A</v>
      </c>
      <c r="D265" s="113" t="str">
        <f>IFERROR(INDEX(Product_Structure[SuperCategory Name ENG],MATCH(Товары[[#This Row],[SubGroup]],Product_Structure[Subgroup],0)),"")</f>
        <v>Hand&amp;Cutting tools, Accessories</v>
      </c>
      <c r="E26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5" s="113" t="str">
        <f>IFERROR(INDEX(Product_Structure[Product group],MATCH(Товары[[#This Row],[SubGroup]],Product_Structure[Subgroup],0)),"")</f>
        <v>AMC_C</v>
      </c>
      <c r="G265" s="113" t="str">
        <f>IFERROR(INDEX(Product_Structure[Product group name ENG],MATCH(Товары[[#This Row],[SubGroup]],Product_Structure[Subgroup],0)),"")</f>
        <v>Accessories, Manual, Cutting</v>
      </c>
      <c r="H265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65" s="36">
        <v>9213</v>
      </c>
      <c r="J265" s="36" t="str">
        <f>IFERROR(INDEX(Product_Structure[Generic Name (long)],MATCH(Товары[[#This Row],[SubGroup]],Product_Structure[Subgroup],0)),"")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Row],[SubGroup]],DIY!$B:$C,2,FALSE),0)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3" t="str">
        <f>IFERROR(INDEX(Product_Structure[SuperCategory],MATCH(Товары[[#This Row],[SubGroup]],Product_Structure[Subgroup],0)),"")</f>
        <v>A</v>
      </c>
      <c r="D266" s="113" t="str">
        <f>IFERROR(INDEX(Product_Structure[SuperCategory Name ENG],MATCH(Товары[[#This Row],[SubGroup]],Product_Structure[Subgroup],0)),"")</f>
        <v>Hand&amp;Cutting tools, Accessories</v>
      </c>
      <c r="E26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6" s="113" t="str">
        <f>IFERROR(INDEX(Product_Structure[Product group],MATCH(Товары[[#This Row],[SubGroup]],Product_Structure[Subgroup],0)),"")</f>
        <v>AMC_C</v>
      </c>
      <c r="G266" s="113" t="str">
        <f>IFERROR(INDEX(Product_Structure[Product group name ENG],MATCH(Товары[[#This Row],[SubGroup]],Product_Structure[Subgroup],0)),"")</f>
        <v>Accessories, Manual, Cutting</v>
      </c>
      <c r="H266" s="113" t="str">
        <f>IFERROR(INDEX(Product_Structure[Generic Name (long)3],MATCH(Товары[[#This Row],[SubGroup]],Product_Structure[Subgroup],0)),"")</f>
        <v>Секаторы</v>
      </c>
      <c r="I266" s="36">
        <v>9211</v>
      </c>
      <c r="J266" s="36" t="str">
        <f>IFERROR(INDEX(Product_Structure[Generic Name (long)],MATCH(Товары[[#This Row],[SubGroup]],Product_Structure[Subgroup],0)),"")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Row],[SubGroup]],DIY!$B:$C,2,FALSE),0)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3" t="str">
        <f>IFERROR(INDEX(Product_Structure[SuperCategory],MATCH(Товары[[#This Row],[SubGroup]],Product_Structure[Subgroup],0)),"")</f>
        <v>A</v>
      </c>
      <c r="D267" s="113" t="str">
        <f>IFERROR(INDEX(Product_Structure[SuperCategory Name ENG],MATCH(Товары[[#This Row],[SubGroup]],Product_Structure[Subgroup],0)),"")</f>
        <v>Hand&amp;Cutting tools, Accessories</v>
      </c>
      <c r="E26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7" s="113" t="str">
        <f>IFERROR(INDEX(Product_Structure[Product group],MATCH(Товары[[#This Row],[SubGroup]],Product_Structure[Subgroup],0)),"")</f>
        <v>AMC_C</v>
      </c>
      <c r="G267" s="113" t="str">
        <f>IFERROR(INDEX(Product_Structure[Product group name ENG],MATCH(Товары[[#This Row],[SubGroup]],Product_Structure[Subgroup],0)),"")</f>
        <v>Accessories, Manual, Cutting</v>
      </c>
      <c r="H267" s="113" t="str">
        <f>IFERROR(INDEX(Product_Structure[Generic Name (long)3],MATCH(Товары[[#This Row],[SubGroup]],Product_Structure[Subgroup],0)),"")</f>
        <v>Секаторы</v>
      </c>
      <c r="I267" s="36">
        <v>9211</v>
      </c>
      <c r="J267" s="36" t="str">
        <f>IFERROR(INDEX(Product_Structure[Generic Name (long)],MATCH(Товары[[#This Row],[SubGroup]],Product_Structure[Subgroup],0)),"")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Row],[SubGroup]],DIY!$B:$C,2,FALSE),0)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3" t="str">
        <f>IFERROR(INDEX(Product_Structure[SuperCategory],MATCH(Товары[[#This Row],[SubGroup]],Product_Structure[Subgroup],0)),"")</f>
        <v>A</v>
      </c>
      <c r="D268" s="113" t="str">
        <f>IFERROR(INDEX(Product_Structure[SuperCategory Name ENG],MATCH(Товары[[#This Row],[SubGroup]],Product_Structure[Subgroup],0)),"")</f>
        <v>Hand&amp;Cutting tools, Accessories</v>
      </c>
      <c r="E26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8" s="113" t="str">
        <f>IFERROR(INDEX(Product_Structure[Product group],MATCH(Товары[[#This Row],[SubGroup]],Product_Structure[Subgroup],0)),"")</f>
        <v>AMC_C</v>
      </c>
      <c r="G268" s="113" t="str">
        <f>IFERROR(INDEX(Product_Structure[Product group name ENG],MATCH(Товары[[#This Row],[SubGroup]],Product_Structure[Subgroup],0)),"")</f>
        <v>Accessories, Manual, Cutting</v>
      </c>
      <c r="H268" s="113" t="str">
        <f>IFERROR(INDEX(Product_Structure[Generic Name (long)3],MATCH(Товары[[#This Row],[SubGroup]],Product_Structure[Subgroup],0)),"")</f>
        <v>Секаторы</v>
      </c>
      <c r="I268" s="36">
        <v>9211</v>
      </c>
      <c r="J268" s="36" t="str">
        <f>IFERROR(INDEX(Product_Structure[Generic Name (long)],MATCH(Товары[[#This Row],[SubGroup]],Product_Structure[Subgroup],0)),"")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Row],[SubGroup]],DIY!$B:$C,2,FALSE),0)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3" t="str">
        <f>IFERROR(INDEX(Product_Structure[SuperCategory],MATCH(Товары[[#This Row],[SubGroup]],Product_Structure[Subgroup],0)),"")</f>
        <v>A</v>
      </c>
      <c r="D269" s="113" t="str">
        <f>IFERROR(INDEX(Product_Structure[SuperCategory Name ENG],MATCH(Товары[[#This Row],[SubGroup]],Product_Structure[Subgroup],0)),"")</f>
        <v>Hand&amp;Cutting tools, Accessories</v>
      </c>
      <c r="E26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69" s="113" t="str">
        <f>IFERROR(INDEX(Product_Structure[Product group],MATCH(Товары[[#This Row],[SubGroup]],Product_Structure[Subgroup],0)),"")</f>
        <v>AMC_C</v>
      </c>
      <c r="G269" s="113" t="str">
        <f>IFERROR(INDEX(Product_Structure[Product group name ENG],MATCH(Товары[[#This Row],[SubGroup]],Product_Structure[Subgroup],0)),"")</f>
        <v>Accessories, Manual, Cutting</v>
      </c>
      <c r="H269" s="113" t="str">
        <f>IFERROR(INDEX(Product_Structure[Generic Name (long)3],MATCH(Товары[[#This Row],[SubGroup]],Product_Structure[Subgroup],0)),"")</f>
        <v>Сучкорезы</v>
      </c>
      <c r="I269" s="36">
        <v>9212</v>
      </c>
      <c r="J269" s="36" t="str">
        <f>IFERROR(INDEX(Product_Structure[Generic Name (long)],MATCH(Товары[[#This Row],[SubGroup]],Product_Structure[Subgroup],0)),"")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Row],[SubGroup]],DIY!$B:$C,2,FALSE),0)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3" t="str">
        <f>IFERROR(INDEX(Product_Structure[SuperCategory],MATCH(Товары[[#This Row],[SubGroup]],Product_Structure[Subgroup],0)),"")</f>
        <v>A</v>
      </c>
      <c r="D270" s="113" t="str">
        <f>IFERROR(INDEX(Product_Structure[SuperCategory Name ENG],MATCH(Товары[[#This Row],[SubGroup]],Product_Structure[Subgroup],0)),"")</f>
        <v>Hand&amp;Cutting tools, Accessories</v>
      </c>
      <c r="E27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0" s="113" t="str">
        <f>IFERROR(INDEX(Product_Structure[Product group],MATCH(Товары[[#This Row],[SubGroup]],Product_Structure[Subgroup],0)),"")</f>
        <v>AMC_C</v>
      </c>
      <c r="G270" s="113" t="str">
        <f>IFERROR(INDEX(Product_Structure[Product group name ENG],MATCH(Товары[[#This Row],[SubGroup]],Product_Structure[Subgroup],0)),"")</f>
        <v>Accessories, Manual, Cutting</v>
      </c>
      <c r="H270" s="113" t="str">
        <f>IFERROR(INDEX(Product_Structure[Generic Name (long)3],MATCH(Товары[[#This Row],[SubGroup]],Product_Structure[Subgroup],0)),"")</f>
        <v>Сучкорезы</v>
      </c>
      <c r="I270" s="36">
        <v>9212</v>
      </c>
      <c r="J270" s="36" t="str">
        <f>IFERROR(INDEX(Product_Structure[Generic Name (long)],MATCH(Товары[[#This Row],[SubGroup]],Product_Structure[Subgroup],0)),"")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Row],[SubGroup]],DIY!$B:$C,2,FALSE),0)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3" t="str">
        <f>IFERROR(INDEX(Product_Structure[SuperCategory],MATCH(Товары[[#This Row],[SubGroup]],Product_Structure[Subgroup],0)),"")</f>
        <v>A</v>
      </c>
      <c r="D271" s="113" t="str">
        <f>IFERROR(INDEX(Product_Structure[SuperCategory Name ENG],MATCH(Товары[[#This Row],[SubGroup]],Product_Structure[Subgroup],0)),"")</f>
        <v>Hand&amp;Cutting tools, Accessories</v>
      </c>
      <c r="E27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1" s="113" t="str">
        <f>IFERROR(INDEX(Product_Structure[Product group],MATCH(Товары[[#This Row],[SubGroup]],Product_Structure[Subgroup],0)),"")</f>
        <v>AMC_C</v>
      </c>
      <c r="G271" s="113" t="str">
        <f>IFERROR(INDEX(Product_Structure[Product group name ENG],MATCH(Товары[[#This Row],[SubGroup]],Product_Structure[Subgroup],0)),"")</f>
        <v>Accessories, Manual, Cutting</v>
      </c>
      <c r="H271" s="113" t="str">
        <f>IFERROR(INDEX(Product_Structure[Generic Name (long)3],MATCH(Товары[[#This Row],[SubGroup]],Product_Structure[Subgroup],0)),"")</f>
        <v>Сучкорезы</v>
      </c>
      <c r="I271" s="36">
        <v>9212</v>
      </c>
      <c r="J271" s="36" t="str">
        <f>IFERROR(INDEX(Product_Structure[Generic Name (long)],MATCH(Товары[[#This Row],[SubGroup]],Product_Structure[Subgroup],0)),"")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Row],[SubGroup]],DIY!$B:$C,2,FALSE),0)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3" t="str">
        <f>IFERROR(INDEX(Product_Structure[SuperCategory],MATCH(Товары[[#This Row],[SubGroup]],Product_Structure[Subgroup],0)),"")</f>
        <v>A</v>
      </c>
      <c r="D272" s="113" t="str">
        <f>IFERROR(INDEX(Product_Structure[SuperCategory Name ENG],MATCH(Товары[[#This Row],[SubGroup]],Product_Structure[Subgroup],0)),"")</f>
        <v>Hand&amp;Cutting tools, Accessories</v>
      </c>
      <c r="E27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2" s="113" t="str">
        <f>IFERROR(INDEX(Product_Structure[Product group],MATCH(Товары[[#This Row],[SubGroup]],Product_Structure[Subgroup],0)),"")</f>
        <v>AMC_C</v>
      </c>
      <c r="G272" s="113" t="str">
        <f>IFERROR(INDEX(Product_Structure[Product group name ENG],MATCH(Товары[[#This Row],[SubGroup]],Product_Structure[Subgroup],0)),"")</f>
        <v>Accessories, Manual, Cutting</v>
      </c>
      <c r="H272" s="113" t="str">
        <f>IFERROR(INDEX(Product_Structure[Generic Name (long)3],MATCH(Товары[[#This Row],[SubGroup]],Product_Structure[Subgroup],0)),"")</f>
        <v>Сучкорезы</v>
      </c>
      <c r="I272" s="36">
        <v>9212</v>
      </c>
      <c r="J272" s="36" t="str">
        <f>IFERROR(INDEX(Product_Structure[Generic Name (long)],MATCH(Товары[[#This Row],[SubGroup]],Product_Structure[Subgroup],0)),"")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Row],[SubGroup]],DIY!$B:$C,2,FALSE),0)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3" t="str">
        <f>IFERROR(INDEX(Product_Structure[SuperCategory],MATCH(Товары[[#This Row],[SubGroup]],Product_Structure[Subgroup],0)),"")</f>
        <v>A</v>
      </c>
      <c r="D273" s="113" t="str">
        <f>IFERROR(INDEX(Product_Structure[SuperCategory Name ENG],MATCH(Товары[[#This Row],[SubGroup]],Product_Structure[Subgroup],0)),"")</f>
        <v>Hand&amp;Cutting tools, Accessories</v>
      </c>
      <c r="E27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3" s="113" t="str">
        <f>IFERROR(INDEX(Product_Structure[Product group],MATCH(Товары[[#This Row],[SubGroup]],Product_Structure[Subgroup],0)),"")</f>
        <v>AMC_C</v>
      </c>
      <c r="G273" s="113" t="str">
        <f>IFERROR(INDEX(Product_Structure[Product group name ENG],MATCH(Товары[[#This Row],[SubGroup]],Product_Structure[Subgroup],0)),"")</f>
        <v>Accessories, Manual, Cutting</v>
      </c>
      <c r="H273" s="113" t="str">
        <f>IFERROR(INDEX(Product_Structure[Generic Name (long)3],MATCH(Товары[[#This Row],[SubGroup]],Product_Structure[Subgroup],0)),"")</f>
        <v>Ножницы для живой изгороди механические</v>
      </c>
      <c r="I273" s="36">
        <v>9213</v>
      </c>
      <c r="J273" s="36" t="str">
        <f>IFERROR(INDEX(Product_Structure[Generic Name (long)],MATCH(Товары[[#This Row],[SubGroup]],Product_Structure[Subgroup],0)),"")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Row],[SubGroup]],DIY!$B:$C,2,FALSE),0)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3" t="str">
        <f>IFERROR(INDEX(Product_Structure[SuperCategory],MATCH(Товары[[#This Row],[SubGroup]],Product_Structure[Subgroup],0)),"")</f>
        <v>A</v>
      </c>
      <c r="D274" s="113" t="str">
        <f>IFERROR(INDEX(Product_Structure[SuperCategory Name ENG],MATCH(Товары[[#This Row],[SubGroup]],Product_Structure[Subgroup],0)),"")</f>
        <v>Hand&amp;Cutting tools, Accessories</v>
      </c>
      <c r="E27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4" s="113" t="str">
        <f>IFERROR(INDEX(Product_Structure[Product group],MATCH(Товары[[#This Row],[SubGroup]],Product_Structure[Subgroup],0)),"")</f>
        <v>AMC_C</v>
      </c>
      <c r="G274" s="113" t="str">
        <f>IFERROR(INDEX(Product_Structure[Product group name ENG],MATCH(Товары[[#This Row],[SubGroup]],Product_Structure[Subgroup],0)),"")</f>
        <v>Accessories, Manual, Cutting</v>
      </c>
      <c r="H274" s="113" t="str">
        <f>IFERROR(INDEX(Product_Structure[Generic Name (long)3],MATCH(Товары[[#This Row],[SubGroup]],Product_Structure[Subgroup],0)),"")</f>
        <v>Секаторы</v>
      </c>
      <c r="I274" s="36">
        <v>9211</v>
      </c>
      <c r="J274" s="36" t="str">
        <f>IFERROR(INDEX(Product_Structure[Generic Name (long)],MATCH(Товары[[#This Row],[SubGroup]],Product_Structure[Subgroup],0)),"")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Row],[SubGroup]],DIY!$B:$C,2,FALSE),0)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3" t="str">
        <f>IFERROR(INDEX(Product_Structure[SuperCategory],MATCH(Товары[[#This Row],[SubGroup]],Product_Structure[Subgroup],0)),"")</f>
        <v>A</v>
      </c>
      <c r="D275" s="113" t="str">
        <f>IFERROR(INDEX(Product_Structure[SuperCategory Name ENG],MATCH(Товары[[#This Row],[SubGroup]],Product_Structure[Subgroup],0)),"")</f>
        <v>Hand&amp;Cutting tools, Accessories</v>
      </c>
      <c r="E27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5" s="113" t="str">
        <f>IFERROR(INDEX(Product_Structure[Product group],MATCH(Товары[[#This Row],[SubGroup]],Product_Structure[Subgroup],0)),"")</f>
        <v>AMC_C</v>
      </c>
      <c r="G275" s="113" t="str">
        <f>IFERROR(INDEX(Product_Structure[Product group name ENG],MATCH(Товары[[#This Row],[SubGroup]],Product_Structure[Subgroup],0)),"")</f>
        <v>Accessories, Manual, Cutting</v>
      </c>
      <c r="H275" s="113" t="str">
        <f>IFERROR(INDEX(Product_Structure[Generic Name (long)3],MATCH(Товары[[#This Row],[SubGroup]],Product_Structure[Subgroup],0)),"")</f>
        <v>Секаторы</v>
      </c>
      <c r="I275" s="36">
        <v>9211</v>
      </c>
      <c r="J275" s="36" t="str">
        <f>IFERROR(INDEX(Product_Structure[Generic Name (long)],MATCH(Товары[[#This Row],[SubGroup]],Product_Structure[Subgroup],0)),"")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Row],[SubGroup]],DIY!$B:$C,2,FALSE),0)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3" t="str">
        <f>IFERROR(INDEX(Product_Structure[SuperCategory],MATCH(Товары[[#This Row],[SubGroup]],Product_Structure[Subgroup],0)),"")</f>
        <v>A</v>
      </c>
      <c r="D276" s="113" t="str">
        <f>IFERROR(INDEX(Product_Structure[SuperCategory Name ENG],MATCH(Товары[[#This Row],[SubGroup]],Product_Structure[Subgroup],0)),"")</f>
        <v>Hand&amp;Cutting tools, Accessories</v>
      </c>
      <c r="E27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6" s="113" t="str">
        <f>IFERROR(INDEX(Product_Structure[Product group],MATCH(Товары[[#This Row],[SubGroup]],Product_Structure[Subgroup],0)),"")</f>
        <v>AMC_C</v>
      </c>
      <c r="G276" s="113" t="str">
        <f>IFERROR(INDEX(Product_Structure[Product group name ENG],MATCH(Товары[[#This Row],[SubGroup]],Product_Structure[Subgroup],0)),"")</f>
        <v>Accessories, Manual, Cutting</v>
      </c>
      <c r="H276" s="113" t="str">
        <f>IFERROR(INDEX(Product_Structure[Generic Name (long)3],MATCH(Товары[[#This Row],[SubGroup]],Product_Structure[Subgroup],0)),"")</f>
        <v>Сучкорезы</v>
      </c>
      <c r="I276" s="36">
        <v>9212</v>
      </c>
      <c r="J276" s="36" t="str">
        <f>IFERROR(INDEX(Product_Structure[Generic Name (long)],MATCH(Товары[[#This Row],[SubGroup]],Product_Structure[Subgroup],0)),"")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Row],[SubGroup]],DIY!$B:$C,2,FALSE),0)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3" t="str">
        <f>IFERROR(INDEX(Product_Structure[SuperCategory],MATCH(Товары[[#This Row],[SubGroup]],Product_Structure[Subgroup],0)),"")</f>
        <v>A</v>
      </c>
      <c r="D277" s="113" t="str">
        <f>IFERROR(INDEX(Product_Structure[SuperCategory Name ENG],MATCH(Товары[[#This Row],[SubGroup]],Product_Structure[Subgroup],0)),"")</f>
        <v>Hand&amp;Cutting tools, Accessories</v>
      </c>
      <c r="E27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7" s="113" t="str">
        <f>IFERROR(INDEX(Product_Structure[Product group],MATCH(Товары[[#This Row],[SubGroup]],Product_Structure[Subgroup],0)),"")</f>
        <v>AMC_C</v>
      </c>
      <c r="G277" s="113" t="str">
        <f>IFERROR(INDEX(Product_Structure[Product group name ENG],MATCH(Товары[[#This Row],[SubGroup]],Product_Structure[Subgroup],0)),"")</f>
        <v>Accessories, Manual, Cutting</v>
      </c>
      <c r="H277" s="113" t="str">
        <f>IFERROR(INDEX(Product_Structure[Generic Name (long)3],MATCH(Товары[[#This Row],[SubGroup]],Product_Structure[Subgroup],0)),"")</f>
        <v>Топоры, колуны</v>
      </c>
      <c r="I277" s="36">
        <v>9215</v>
      </c>
      <c r="J277" s="36" t="str">
        <f>IFERROR(INDEX(Product_Structure[Generic Name (long)],MATCH(Товары[[#This Row],[SubGroup]],Product_Structure[Subgroup],0)),"")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Row],[SubGroup]],DIY!$B:$C,2,FALSE),0)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3" t="str">
        <f>IFERROR(INDEX(Product_Structure[SuperCategory],MATCH(Товары[[#This Row],[SubGroup]],Product_Structure[Subgroup],0)),"")</f>
        <v>A</v>
      </c>
      <c r="D278" s="113" t="str">
        <f>IFERROR(INDEX(Product_Structure[SuperCategory Name ENG],MATCH(Товары[[#This Row],[SubGroup]],Product_Structure[Subgroup],0)),"")</f>
        <v>Hand&amp;Cutting tools, Accessories</v>
      </c>
      <c r="E27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8" s="113" t="str">
        <f>IFERROR(INDEX(Product_Structure[Product group],MATCH(Товары[[#This Row],[SubGroup]],Product_Structure[Subgroup],0)),"")</f>
        <v>AMC_C</v>
      </c>
      <c r="G278" s="113" t="str">
        <f>IFERROR(INDEX(Product_Structure[Product group name ENG],MATCH(Товары[[#This Row],[SubGroup]],Product_Structure[Subgroup],0)),"")</f>
        <v>Accessories, Manual, Cutting</v>
      </c>
      <c r="H278" s="113" t="str">
        <f>IFERROR(INDEX(Product_Structure[Generic Name (long)3],MATCH(Товары[[#This Row],[SubGroup]],Product_Structure[Subgroup],0)),"")</f>
        <v>Топоры, колуны</v>
      </c>
      <c r="I278" s="36">
        <v>9215</v>
      </c>
      <c r="J278" s="36" t="str">
        <f>IFERROR(INDEX(Product_Structure[Generic Name (long)],MATCH(Товары[[#This Row],[SubGroup]],Product_Structure[Subgroup],0)),"")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Row],[SubGroup]],DIY!$B:$C,2,FALSE),0)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3" t="str">
        <f>IFERROR(INDEX(Product_Structure[SuperCategory],MATCH(Товары[[#This Row],[SubGroup]],Product_Structure[Subgroup],0)),"")</f>
        <v>A</v>
      </c>
      <c r="D279" s="113" t="str">
        <f>IFERROR(INDEX(Product_Structure[SuperCategory Name ENG],MATCH(Товары[[#This Row],[SubGroup]],Product_Structure[Subgroup],0)),"")</f>
        <v>Hand&amp;Cutting tools, Accessories</v>
      </c>
      <c r="E27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79" s="113" t="str">
        <f>IFERROR(INDEX(Product_Structure[Product group],MATCH(Товары[[#This Row],[SubGroup]],Product_Structure[Subgroup],0)),"")</f>
        <v>AMC_C</v>
      </c>
      <c r="G279" s="113" t="str">
        <f>IFERROR(INDEX(Product_Structure[Product group name ENG],MATCH(Товары[[#This Row],[SubGroup]],Product_Structure[Subgroup],0)),"")</f>
        <v>Accessories, Manual, Cutting</v>
      </c>
      <c r="H279" s="113" t="str">
        <f>IFERROR(INDEX(Product_Structure[Generic Name (long)3],MATCH(Товары[[#This Row],[SubGroup]],Product_Structure[Subgroup],0)),"")</f>
        <v>Топоры, колуны</v>
      </c>
      <c r="I279" s="36">
        <v>9215</v>
      </c>
      <c r="J279" s="36" t="str">
        <f>IFERROR(INDEX(Product_Structure[Generic Name (long)],MATCH(Товары[[#This Row],[SubGroup]],Product_Structure[Subgroup],0)),"")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Row],[SubGroup]],DIY!$B:$C,2,FALSE),0)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3" t="str">
        <f>IFERROR(INDEX(Product_Structure[SuperCategory],MATCH(Товары[[#This Row],[SubGroup]],Product_Structure[Subgroup],0)),"")</f>
        <v>A</v>
      </c>
      <c r="D280" s="113" t="str">
        <f>IFERROR(INDEX(Product_Structure[SuperCategory Name ENG],MATCH(Товары[[#This Row],[SubGroup]],Product_Structure[Subgroup],0)),"")</f>
        <v>Hand&amp;Cutting tools, Accessories</v>
      </c>
      <c r="E28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0" s="113" t="str">
        <f>IFERROR(INDEX(Product_Structure[Product group],MATCH(Товары[[#This Row],[SubGroup]],Product_Structure[Subgroup],0)),"")</f>
        <v>AMC_C</v>
      </c>
      <c r="G280" s="113" t="str">
        <f>IFERROR(INDEX(Product_Structure[Product group name ENG],MATCH(Товары[[#This Row],[SubGroup]],Product_Structure[Subgroup],0)),"")</f>
        <v>Accessories, Manual, Cutting</v>
      </c>
      <c r="H280" s="113" t="str">
        <f>IFERROR(INDEX(Product_Structure[Generic Name (long)3],MATCH(Товары[[#This Row],[SubGroup]],Product_Structure[Subgroup],0)),"")</f>
        <v>Топоры, колуны</v>
      </c>
      <c r="I280" s="36">
        <v>9215</v>
      </c>
      <c r="J280" s="36" t="str">
        <f>IFERROR(INDEX(Product_Structure[Generic Name (long)],MATCH(Товары[[#This Row],[SubGroup]],Product_Structure[Subgroup],0)),"")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Row],[SubGroup]],DIY!$B:$C,2,FALSE),0)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3" t="str">
        <f>IFERROR(INDEX(Product_Structure[SuperCategory],MATCH(Товары[[#This Row],[SubGroup]],Product_Structure[Subgroup],0)),"")</f>
        <v>A</v>
      </c>
      <c r="D281" s="113" t="str">
        <f>IFERROR(INDEX(Product_Structure[SuperCategory Name ENG],MATCH(Товары[[#This Row],[SubGroup]],Product_Structure[Subgroup],0)),"")</f>
        <v>Hand&amp;Cutting tools, Accessories</v>
      </c>
      <c r="E28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1" s="113" t="str">
        <f>IFERROR(INDEX(Product_Structure[Product group],MATCH(Товары[[#This Row],[SubGroup]],Product_Structure[Subgroup],0)),"")</f>
        <v>AMC_C</v>
      </c>
      <c r="G281" s="113" t="str">
        <f>IFERROR(INDEX(Product_Structure[Product group name ENG],MATCH(Товары[[#This Row],[SubGroup]],Product_Structure[Subgroup],0)),"")</f>
        <v>Accessories, Manual, Cutting</v>
      </c>
      <c r="H281" s="113" t="str">
        <f>IFERROR(INDEX(Product_Structure[Generic Name (long)3],MATCH(Товары[[#This Row],[SubGroup]],Product_Structure[Subgroup],0)),"")</f>
        <v>Топоры, колуны</v>
      </c>
      <c r="I281" s="36">
        <v>9215</v>
      </c>
      <c r="J281" s="36" t="str">
        <f>IFERROR(INDEX(Product_Structure[Generic Name (long)],MATCH(Товары[[#This Row],[SubGroup]],Product_Structure[Subgroup],0)),"")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Row],[SubGroup]],DIY!$B:$C,2,FALSE),0)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3" t="str">
        <f>IFERROR(INDEX(Product_Structure[SuperCategory],MATCH(Товары[[#This Row],[SubGroup]],Product_Structure[Subgroup],0)),"")</f>
        <v>A</v>
      </c>
      <c r="D282" s="113" t="str">
        <f>IFERROR(INDEX(Product_Structure[SuperCategory Name ENG],MATCH(Товары[[#This Row],[SubGroup]],Product_Structure[Subgroup],0)),"")</f>
        <v>Hand&amp;Cutting tools, Accessories</v>
      </c>
      <c r="E28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2" s="113" t="str">
        <f>IFERROR(INDEX(Product_Structure[Product group],MATCH(Товары[[#This Row],[SubGroup]],Product_Structure[Subgroup],0)),"")</f>
        <v>AMC_C</v>
      </c>
      <c r="G282" s="113" t="str">
        <f>IFERROR(INDEX(Product_Structure[Product group name ENG],MATCH(Товары[[#This Row],[SubGroup]],Product_Structure[Subgroup],0)),"")</f>
        <v>Accessories, Manual, Cutting</v>
      </c>
      <c r="H282" s="113" t="str">
        <f>IFERROR(INDEX(Product_Structure[Generic Name (long)3],MATCH(Товары[[#This Row],[SubGroup]],Product_Structure[Subgroup],0)),"")</f>
        <v>Секаторы</v>
      </c>
      <c r="I282" s="36">
        <v>9211</v>
      </c>
      <c r="J282" s="36" t="str">
        <f>IFERROR(INDEX(Product_Structure[Generic Name (long)],MATCH(Товары[[#This Row],[SubGroup]],Product_Structure[Subgroup],0)),"")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Row],[SubGroup]],DIY!$B:$C,2,FALSE),0)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3" t="str">
        <f>IFERROR(INDEX(Product_Structure[SuperCategory],MATCH(Товары[[#This Row],[SubGroup]],Product_Structure[Subgroup],0)),"")</f>
        <v>A</v>
      </c>
      <c r="D283" s="113" t="str">
        <f>IFERROR(INDEX(Product_Structure[SuperCategory Name ENG],MATCH(Товары[[#This Row],[SubGroup]],Product_Structure[Subgroup],0)),"")</f>
        <v>Hand&amp;Cutting tools, Accessories</v>
      </c>
      <c r="E28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3" s="113" t="str">
        <f>IFERROR(INDEX(Product_Structure[Product group],MATCH(Товары[[#This Row],[SubGroup]],Product_Structure[Subgroup],0)),"")</f>
        <v>AMC_C</v>
      </c>
      <c r="G283" s="113" t="str">
        <f>IFERROR(INDEX(Product_Structure[Product group name ENG],MATCH(Товары[[#This Row],[SubGroup]],Product_Structure[Subgroup],0)),"")</f>
        <v>Accessories, Manual, Cutting</v>
      </c>
      <c r="H283" s="113" t="str">
        <f>IFERROR(INDEX(Product_Structure[Generic Name (long)3],MATCH(Товары[[#This Row],[SubGroup]],Product_Structure[Subgroup],0)),"")</f>
        <v>Пилы ручные</v>
      </c>
      <c r="I283" s="36">
        <v>9214</v>
      </c>
      <c r="J283" s="36" t="str">
        <f>IFERROR(INDEX(Product_Structure[Generic Name (long)],MATCH(Товары[[#This Row],[SubGroup]],Product_Structure[Subgroup],0)),"")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Row],[SubGroup]],DIY!$B:$C,2,FALSE),0)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3" t="str">
        <f>IFERROR(INDEX(Product_Structure[SuperCategory],MATCH(Товары[[#This Row],[SubGroup]],Product_Structure[Subgroup],0)),"")</f>
        <v>A</v>
      </c>
      <c r="D284" s="113" t="str">
        <f>IFERROR(INDEX(Product_Structure[SuperCategory Name ENG],MATCH(Товары[[#This Row],[SubGroup]],Product_Structure[Subgroup],0)),"")</f>
        <v>Hand&amp;Cutting tools, Accessories</v>
      </c>
      <c r="E28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4" s="113" t="str">
        <f>IFERROR(INDEX(Product_Structure[Product group],MATCH(Товары[[#This Row],[SubGroup]],Product_Structure[Subgroup],0)),"")</f>
        <v>AMC_C</v>
      </c>
      <c r="G284" s="113" t="str">
        <f>IFERROR(INDEX(Product_Structure[Product group name ENG],MATCH(Товары[[#This Row],[SubGroup]],Product_Structure[Subgroup],0)),"")</f>
        <v>Accessories, Manual, Cutting</v>
      </c>
      <c r="H284" s="113" t="str">
        <f>IFERROR(INDEX(Product_Structure[Generic Name (long)3],MATCH(Товары[[#This Row],[SubGroup]],Product_Structure[Subgroup],0)),"")</f>
        <v>Ножницы для травы механические</v>
      </c>
      <c r="I284" s="36">
        <v>9231</v>
      </c>
      <c r="J284" s="36" t="str">
        <f>IFERROR(INDEX(Product_Structure[Generic Name (long)],MATCH(Товары[[#This Row],[SubGroup]],Product_Structure[Subgroup],0)),"")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Row],[SubGroup]],DIY!$B:$C,2,FALSE),0)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3" t="str">
        <f>IFERROR(INDEX(Product_Structure[SuperCategory],MATCH(Товары[[#This Row],[SubGroup]],Product_Structure[Subgroup],0)),"")</f>
        <v>A</v>
      </c>
      <c r="D285" s="113" t="str">
        <f>IFERROR(INDEX(Product_Structure[SuperCategory Name ENG],MATCH(Товары[[#This Row],[SubGroup]],Product_Structure[Subgroup],0)),"")</f>
        <v>Hand&amp;Cutting tools, Accessories</v>
      </c>
      <c r="E28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5" s="113" t="str">
        <f>IFERROR(INDEX(Product_Structure[Product group],MATCH(Товары[[#This Row],[SubGroup]],Product_Structure[Subgroup],0)),"")</f>
        <v>AMC_C</v>
      </c>
      <c r="G285" s="113" t="str">
        <f>IFERROR(INDEX(Product_Structure[Product group name ENG],MATCH(Товары[[#This Row],[SubGroup]],Product_Structure[Subgroup],0)),"")</f>
        <v>Accessories, Manual, Cutting</v>
      </c>
      <c r="H285" s="113" t="str">
        <f>IFERROR(INDEX(Product_Structure[Generic Name (long)3],MATCH(Товары[[#This Row],[SubGroup]],Product_Structure[Subgroup],0)),"")</f>
        <v>Ножницы для травы механические</v>
      </c>
      <c r="I285" s="36">
        <v>9231</v>
      </c>
      <c r="J285" s="36" t="str">
        <f>IFERROR(INDEX(Product_Structure[Generic Name (long)],MATCH(Товары[[#This Row],[SubGroup]],Product_Structure[Subgroup],0)),"")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Row],[SubGroup]],DIY!$B:$C,2,FALSE),0)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3" t="str">
        <f>IFERROR(INDEX(Product_Structure[SuperCategory],MATCH(Товары[[#This Row],[SubGroup]],Product_Structure[Subgroup],0)),"")</f>
        <v>A</v>
      </c>
      <c r="D286" s="113" t="str">
        <f>IFERROR(INDEX(Product_Structure[SuperCategory Name ENG],MATCH(Товары[[#This Row],[SubGroup]],Product_Structure[Subgroup],0)),"")</f>
        <v>Hand&amp;Cutting tools, Accessories</v>
      </c>
      <c r="E28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6" s="113" t="str">
        <f>IFERROR(INDEX(Product_Structure[Product group],MATCH(Товары[[#This Row],[SubGroup]],Product_Structure[Subgroup],0)),"")</f>
        <v>AMC_C</v>
      </c>
      <c r="G286" s="113" t="str">
        <f>IFERROR(INDEX(Product_Structure[Product group name ENG],MATCH(Товары[[#This Row],[SubGroup]],Product_Structure[Subgroup],0)),"")</f>
        <v>Accessories, Manual, Cutting</v>
      </c>
      <c r="H286" s="113" t="str">
        <f>IFERROR(INDEX(Product_Structure[Generic Name (long)3],MATCH(Товары[[#This Row],[SubGroup]],Product_Structure[Subgroup],0)),"")</f>
        <v>Секаторы</v>
      </c>
      <c r="I286" s="36">
        <v>9211</v>
      </c>
      <c r="J286" s="36" t="str">
        <f>IFERROR(INDEX(Product_Structure[Generic Name (long)],MATCH(Товары[[#This Row],[SubGroup]],Product_Structure[Subgroup],0)),"")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Row],[SubGroup]],DIY!$B:$C,2,FALSE),0)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3" t="str">
        <f>IFERROR(INDEX(Product_Structure[SuperCategory],MATCH(Товары[[#This Row],[SubGroup]],Product_Structure[Subgroup],0)),"")</f>
        <v>A</v>
      </c>
      <c r="D287" s="113" t="str">
        <f>IFERROR(INDEX(Product_Structure[SuperCategory Name ENG],MATCH(Товары[[#This Row],[SubGroup]],Product_Structure[Subgroup],0)),"")</f>
        <v>Hand&amp;Cutting tools, Accessories</v>
      </c>
      <c r="E28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7" s="113" t="str">
        <f>IFERROR(INDEX(Product_Structure[Product group],MATCH(Товары[[#This Row],[SubGroup]],Product_Structure[Subgroup],0)),"")</f>
        <v>AMC_C</v>
      </c>
      <c r="G287" s="113" t="str">
        <f>IFERROR(INDEX(Product_Structure[Product group name ENG],MATCH(Товары[[#This Row],[SubGroup]],Product_Structure[Subgroup],0)),"")</f>
        <v>Accessories, Manual, Cutting</v>
      </c>
      <c r="H287" s="113" t="str">
        <f>IFERROR(INDEX(Product_Structure[Generic Name (long)3],MATCH(Товары[[#This Row],[SubGroup]],Product_Structure[Subgroup],0)),"")</f>
        <v>Секаторы</v>
      </c>
      <c r="I287" s="36">
        <v>9211</v>
      </c>
      <c r="J287" s="36" t="str">
        <f>IFERROR(INDEX(Product_Structure[Generic Name (long)],MATCH(Товары[[#This Row],[SubGroup]],Product_Structure[Subgroup],0)),"")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Row],[SubGroup]],DIY!$B:$C,2,FALSE),0)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3" t="str">
        <f>IFERROR(INDEX(Product_Structure[SuperCategory],MATCH(Товары[[#This Row],[SubGroup]],Product_Structure[Subgroup],0)),"")</f>
        <v>A</v>
      </c>
      <c r="D288" s="113" t="str">
        <f>IFERROR(INDEX(Product_Structure[SuperCategory Name ENG],MATCH(Товары[[#This Row],[SubGroup]],Product_Structure[Subgroup],0)),"")</f>
        <v>Hand&amp;Cutting tools, Accessories</v>
      </c>
      <c r="E28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8" s="113" t="str">
        <f>IFERROR(INDEX(Product_Structure[Product group],MATCH(Товары[[#This Row],[SubGroup]],Product_Structure[Subgroup],0)),"")</f>
        <v>AMC_C</v>
      </c>
      <c r="G288" s="113" t="str">
        <f>IFERROR(INDEX(Product_Structure[Product group name ENG],MATCH(Товары[[#This Row],[SubGroup]],Product_Structure[Subgroup],0)),"")</f>
        <v>Accessories, Manual, Cutting</v>
      </c>
      <c r="H288" s="113" t="str">
        <f>IFERROR(INDEX(Product_Structure[Generic Name (long)3],MATCH(Товары[[#This Row],[SubGroup]],Product_Structure[Subgroup],0)),"")</f>
        <v>Секаторы</v>
      </c>
      <c r="I288" s="36">
        <v>9211</v>
      </c>
      <c r="J288" s="36" t="str">
        <f>IFERROR(INDEX(Product_Structure[Generic Name (long)],MATCH(Товары[[#This Row],[SubGroup]],Product_Structure[Subgroup],0)),"")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Row],[SubGroup]],DIY!$B:$C,2,FALSE),0)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3" t="str">
        <f>IFERROR(INDEX(Product_Structure[SuperCategory],MATCH(Товары[[#This Row],[SubGroup]],Product_Structure[Subgroup],0)),"")</f>
        <v>A</v>
      </c>
      <c r="D289" s="113" t="str">
        <f>IFERROR(INDEX(Product_Structure[SuperCategory Name ENG],MATCH(Товары[[#This Row],[SubGroup]],Product_Structure[Subgroup],0)),"")</f>
        <v>Hand&amp;Cutting tools, Accessories</v>
      </c>
      <c r="E28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89" s="113" t="str">
        <f>IFERROR(INDEX(Product_Structure[Product group],MATCH(Товары[[#This Row],[SubGroup]],Product_Structure[Subgroup],0)),"")</f>
        <v>AMC_C</v>
      </c>
      <c r="G289" s="113" t="str">
        <f>IFERROR(INDEX(Product_Structure[Product group name ENG],MATCH(Товары[[#This Row],[SubGroup]],Product_Structure[Subgroup],0)),"")</f>
        <v>Accessories, Manual, Cutting</v>
      </c>
      <c r="H289" s="113" t="str">
        <f>IFERROR(INDEX(Product_Structure[Generic Name (long)3],MATCH(Товары[[#This Row],[SubGroup]],Product_Structure[Subgroup],0)),"")</f>
        <v>Секаторы</v>
      </c>
      <c r="I289" s="36">
        <v>9211</v>
      </c>
      <c r="J289" s="36" t="str">
        <f>IFERROR(INDEX(Product_Structure[Generic Name (long)],MATCH(Товары[[#This Row],[SubGroup]],Product_Structure[Subgroup],0)),"")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Row],[SubGroup]],DIY!$B:$C,2,FALSE),0)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3" t="str">
        <f>IFERROR(INDEX(Product_Structure[SuperCategory],MATCH(Товары[[#This Row],[SubGroup]],Product_Structure[Subgroup],0)),"")</f>
        <v>A</v>
      </c>
      <c r="D290" s="113" t="str">
        <f>IFERROR(INDEX(Product_Structure[SuperCategory Name ENG],MATCH(Товары[[#This Row],[SubGroup]],Product_Structure[Subgroup],0)),"")</f>
        <v>Hand&amp;Cutting tools, Accessories</v>
      </c>
      <c r="E29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0" s="113" t="str">
        <f>IFERROR(INDEX(Product_Structure[Product group],MATCH(Товары[[#This Row],[SubGroup]],Product_Structure[Subgroup],0)),"")</f>
        <v>AMC_C</v>
      </c>
      <c r="G290" s="113" t="str">
        <f>IFERROR(INDEX(Product_Structure[Product group name ENG],MATCH(Товары[[#This Row],[SubGroup]],Product_Structure[Subgroup],0)),"")</f>
        <v>Accessories, Manual, Cutting</v>
      </c>
      <c r="H290" s="113" t="str">
        <f>IFERROR(INDEX(Product_Structure[Generic Name (long)3],MATCH(Товары[[#This Row],[SubGroup]],Product_Structure[Subgroup],0)),"")</f>
        <v>Секаторы</v>
      </c>
      <c r="I290" s="36">
        <v>9211</v>
      </c>
      <c r="J290" s="36" t="str">
        <f>IFERROR(INDEX(Product_Structure[Generic Name (long)],MATCH(Товары[[#This Row],[SubGroup]],Product_Structure[Subgroup],0)),"")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Row],[SubGroup]],DIY!$B:$C,2,FALSE),0)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3" t="str">
        <f>IFERROR(INDEX(Product_Structure[SuperCategory],MATCH(Товары[[#This Row],[SubGroup]],Product_Structure[Subgroup],0)),"")</f>
        <v>A</v>
      </c>
      <c r="D291" s="113" t="str">
        <f>IFERROR(INDEX(Product_Structure[SuperCategory Name ENG],MATCH(Товары[[#This Row],[SubGroup]],Product_Structure[Subgroup],0)),"")</f>
        <v>Hand&amp;Cutting tools, Accessories</v>
      </c>
      <c r="E29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1" s="113" t="str">
        <f>IFERROR(INDEX(Product_Structure[Product group],MATCH(Товары[[#This Row],[SubGroup]],Product_Structure[Subgroup],0)),"")</f>
        <v>AMC_C</v>
      </c>
      <c r="G291" s="113" t="str">
        <f>IFERROR(INDEX(Product_Structure[Product group name ENG],MATCH(Товары[[#This Row],[SubGroup]],Product_Structure[Subgroup],0)),"")</f>
        <v>Accessories, Manual, Cutting</v>
      </c>
      <c r="H291" s="113" t="str">
        <f>IFERROR(INDEX(Product_Structure[Generic Name (long)3],MATCH(Товары[[#This Row],[SubGroup]],Product_Structure[Subgroup],0)),"")</f>
        <v>Секаторы</v>
      </c>
      <c r="I291" s="36">
        <v>9211</v>
      </c>
      <c r="J291" s="36" t="str">
        <f>IFERROR(INDEX(Product_Structure[Generic Name (long)],MATCH(Товары[[#This Row],[SubGroup]],Product_Structure[Subgroup],0)),"")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Row],[SubGroup]],DIY!$B:$C,2,FALSE),0)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3" t="str">
        <f>IFERROR(INDEX(Product_Structure[SuperCategory],MATCH(Товары[[#This Row],[SubGroup]],Product_Structure[Subgroup],0)),"")</f>
        <v>A</v>
      </c>
      <c r="D292" s="113" t="str">
        <f>IFERROR(INDEX(Product_Structure[SuperCategory Name ENG],MATCH(Товары[[#This Row],[SubGroup]],Product_Structure[Subgroup],0)),"")</f>
        <v>Hand&amp;Cutting tools, Accessories</v>
      </c>
      <c r="E29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2" s="113" t="str">
        <f>IFERROR(INDEX(Product_Structure[Product group],MATCH(Товары[[#This Row],[SubGroup]],Product_Structure[Subgroup],0)),"")</f>
        <v>AMC_C</v>
      </c>
      <c r="G292" s="113" t="str">
        <f>IFERROR(INDEX(Product_Structure[Product group name ENG],MATCH(Товары[[#This Row],[SubGroup]],Product_Structure[Subgroup],0)),"")</f>
        <v>Accessories, Manual, Cutting</v>
      </c>
      <c r="H292" s="113" t="str">
        <f>IFERROR(INDEX(Product_Structure[Generic Name (long)3],MATCH(Товары[[#This Row],[SubGroup]],Product_Structure[Subgroup],0)),"")</f>
        <v>Секаторы</v>
      </c>
      <c r="I292" s="36">
        <v>9211</v>
      </c>
      <c r="J292" s="36" t="str">
        <f>IFERROR(INDEX(Product_Structure[Generic Name (long)],MATCH(Товары[[#This Row],[SubGroup]],Product_Structure[Subgroup],0)),"")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Row],[SubGroup]],DIY!$B:$C,2,FALSE),0)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3" t="str">
        <f>IFERROR(INDEX(Product_Structure[SuperCategory],MATCH(Товары[[#This Row],[SubGroup]],Product_Structure[Subgroup],0)),"")</f>
        <v>A</v>
      </c>
      <c r="D293" s="113" t="str">
        <f>IFERROR(INDEX(Product_Structure[SuperCategory Name ENG],MATCH(Товары[[#This Row],[SubGroup]],Product_Structure[Subgroup],0)),"")</f>
        <v>Hand&amp;Cutting tools, Accessories</v>
      </c>
      <c r="E29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3" s="113" t="str">
        <f>IFERROR(INDEX(Product_Structure[Product group],MATCH(Товары[[#This Row],[SubGroup]],Product_Structure[Subgroup],0)),"")</f>
        <v>AMC_C</v>
      </c>
      <c r="G293" s="113" t="str">
        <f>IFERROR(INDEX(Product_Structure[Product group name ENG],MATCH(Товары[[#This Row],[SubGroup]],Product_Structure[Subgroup],0)),"")</f>
        <v>Accessories, Manual, Cutting</v>
      </c>
      <c r="H293" s="113" t="str">
        <f>IFERROR(INDEX(Product_Structure[Generic Name (long)3],MATCH(Товары[[#This Row],[SubGroup]],Product_Structure[Subgroup],0)),"")</f>
        <v>Секаторы</v>
      </c>
      <c r="I293" s="36">
        <v>9211</v>
      </c>
      <c r="J293" s="36" t="str">
        <f>IFERROR(INDEX(Product_Structure[Generic Name (long)],MATCH(Товары[[#This Row],[SubGroup]],Product_Structure[Subgroup],0)),"")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Row],[SubGroup]],DIY!$B:$C,2,FALSE),0)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3" t="str">
        <f>IFERROR(INDEX(Product_Structure[SuperCategory],MATCH(Товары[[#This Row],[SubGroup]],Product_Structure[Subgroup],0)),"")</f>
        <v>A</v>
      </c>
      <c r="D294" s="113" t="str">
        <f>IFERROR(INDEX(Product_Structure[SuperCategory Name ENG],MATCH(Товары[[#This Row],[SubGroup]],Product_Structure[Subgroup],0)),"")</f>
        <v>Hand&amp;Cutting tools, Accessories</v>
      </c>
      <c r="E29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4" s="113" t="str">
        <f>IFERROR(INDEX(Product_Structure[Product group],MATCH(Товары[[#This Row],[SubGroup]],Product_Structure[Subgroup],0)),"")</f>
        <v>AMC_C</v>
      </c>
      <c r="G294" s="113" t="str">
        <f>IFERROR(INDEX(Product_Structure[Product group name ENG],MATCH(Товары[[#This Row],[SubGroup]],Product_Structure[Subgroup],0)),"")</f>
        <v>Accessories, Manual, Cutting</v>
      </c>
      <c r="H294" s="113" t="str">
        <f>IFERROR(INDEX(Product_Structure[Generic Name (long)3],MATCH(Товары[[#This Row],[SubGroup]],Product_Structure[Subgroup],0)),"")</f>
        <v>Сучкорезы</v>
      </c>
      <c r="I294" s="36">
        <v>9212</v>
      </c>
      <c r="J294" s="36" t="str">
        <f>IFERROR(INDEX(Product_Structure[Generic Name (long)],MATCH(Товары[[#This Row],[SubGroup]],Product_Structure[Subgroup],0)),"")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Row],[SubGroup]],DIY!$B:$C,2,FALSE),0)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3" t="str">
        <f>IFERROR(INDEX(Product_Structure[SuperCategory],MATCH(Товары[[#This Row],[SubGroup]],Product_Structure[Subgroup],0)),"")</f>
        <v>A</v>
      </c>
      <c r="D295" s="113" t="str">
        <f>IFERROR(INDEX(Product_Structure[SuperCategory Name ENG],MATCH(Товары[[#This Row],[SubGroup]],Product_Structure[Subgroup],0)),"")</f>
        <v>Hand&amp;Cutting tools, Accessories</v>
      </c>
      <c r="E29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5" s="113" t="str">
        <f>IFERROR(INDEX(Product_Structure[Product group],MATCH(Товары[[#This Row],[SubGroup]],Product_Structure[Subgroup],0)),"")</f>
        <v>AMC_C</v>
      </c>
      <c r="G295" s="113" t="str">
        <f>IFERROR(INDEX(Product_Structure[Product group name ENG],MATCH(Товары[[#This Row],[SubGroup]],Product_Structure[Subgroup],0)),"")</f>
        <v>Accessories, Manual, Cutting</v>
      </c>
      <c r="H295" s="113" t="str">
        <f>IFERROR(INDEX(Product_Structure[Generic Name (long)3],MATCH(Товары[[#This Row],[SubGroup]],Product_Structure[Subgroup],0)),"")</f>
        <v>Сучкорезы</v>
      </c>
      <c r="I295" s="36">
        <v>9212</v>
      </c>
      <c r="J295" s="36" t="str">
        <f>IFERROR(INDEX(Product_Structure[Generic Name (long)],MATCH(Товары[[#This Row],[SubGroup]],Product_Structure[Subgroup],0)),"")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Row],[SubGroup]],DIY!$B:$C,2,FALSE),0)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3" t="str">
        <f>IFERROR(INDEX(Product_Structure[SuperCategory],MATCH(Товары[[#This Row],[SubGroup]],Product_Structure[Subgroup],0)),"")</f>
        <v>A</v>
      </c>
      <c r="D296" s="113" t="str">
        <f>IFERROR(INDEX(Product_Structure[SuperCategory Name ENG],MATCH(Товары[[#This Row],[SubGroup]],Product_Structure[Subgroup],0)),"")</f>
        <v>Hand&amp;Cutting tools, Accessories</v>
      </c>
      <c r="E29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6" s="113" t="str">
        <f>IFERROR(INDEX(Product_Structure[Product group],MATCH(Товары[[#This Row],[SubGroup]],Product_Structure[Subgroup],0)),"")</f>
        <v>AMC_C</v>
      </c>
      <c r="G296" s="113" t="str">
        <f>IFERROR(INDEX(Product_Structure[Product group name ENG],MATCH(Товары[[#This Row],[SubGroup]],Product_Structure[Subgroup],0)),"")</f>
        <v>Accessories, Manual, Cutting</v>
      </c>
      <c r="H296" s="113" t="str">
        <f>IFERROR(INDEX(Product_Structure[Generic Name (long)3],MATCH(Товары[[#This Row],[SubGroup]],Product_Structure[Subgroup],0)),"")</f>
        <v>Сучкорезы</v>
      </c>
      <c r="I296" s="36">
        <v>9212</v>
      </c>
      <c r="J296" s="36" t="str">
        <f>IFERROR(INDEX(Product_Structure[Generic Name (long)],MATCH(Товары[[#This Row],[SubGroup]],Product_Structure[Subgroup],0)),"")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Row],[SubGroup]],DIY!$B:$C,2,FALSE),0)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3" t="str">
        <f>IFERROR(INDEX(Product_Structure[SuperCategory],MATCH(Товары[[#This Row],[SubGroup]],Product_Structure[Subgroup],0)),"")</f>
        <v>A</v>
      </c>
      <c r="D297" s="113" t="str">
        <f>IFERROR(INDEX(Product_Structure[SuperCategory Name ENG],MATCH(Товары[[#This Row],[SubGroup]],Product_Structure[Subgroup],0)),"")</f>
        <v>Hand&amp;Cutting tools, Accessories</v>
      </c>
      <c r="E29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7" s="113" t="str">
        <f>IFERROR(INDEX(Product_Structure[Product group],MATCH(Товары[[#This Row],[SubGroup]],Product_Structure[Subgroup],0)),"")</f>
        <v>AMC_C</v>
      </c>
      <c r="G297" s="113" t="str">
        <f>IFERROR(INDEX(Product_Structure[Product group name ENG],MATCH(Товары[[#This Row],[SubGroup]],Product_Structure[Subgroup],0)),"")</f>
        <v>Accessories, Manual, Cutting</v>
      </c>
      <c r="H297" s="113" t="str">
        <f>IFERROR(INDEX(Product_Structure[Generic Name (long)3],MATCH(Товары[[#This Row],[SubGroup]],Product_Structure[Subgroup],0)),"")</f>
        <v>Сучкорезы</v>
      </c>
      <c r="I297" s="36">
        <v>9212</v>
      </c>
      <c r="J297" s="36" t="str">
        <f>IFERROR(INDEX(Product_Structure[Generic Name (long)],MATCH(Товары[[#This Row],[SubGroup]],Product_Structure[Subgroup],0)),"")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Row],[SubGroup]],DIY!$B:$C,2,FALSE),0)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3" t="str">
        <f>IFERROR(INDEX(Product_Structure[SuperCategory],MATCH(Товары[[#This Row],[SubGroup]],Product_Structure[Subgroup],0)),"")</f>
        <v>A</v>
      </c>
      <c r="D298" s="113" t="str">
        <f>IFERROR(INDEX(Product_Structure[SuperCategory Name ENG],MATCH(Товары[[#This Row],[SubGroup]],Product_Structure[Subgroup],0)),"")</f>
        <v>Hand&amp;Cutting tools, Accessories</v>
      </c>
      <c r="E29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8" s="113" t="str">
        <f>IFERROR(INDEX(Product_Structure[Product group],MATCH(Товары[[#This Row],[SubGroup]],Product_Structure[Subgroup],0)),"")</f>
        <v>AMC_C</v>
      </c>
      <c r="G298" s="113" t="str">
        <f>IFERROR(INDEX(Product_Structure[Product group name ENG],MATCH(Товары[[#This Row],[SubGroup]],Product_Structure[Subgroup],0)),"")</f>
        <v>Accessories, Manual, Cutting</v>
      </c>
      <c r="H298" s="113" t="str">
        <f>IFERROR(INDEX(Product_Structure[Generic Name (long)3],MATCH(Товары[[#This Row],[SubGroup]],Product_Structure[Subgroup],0)),"")</f>
        <v>Сучкорезы</v>
      </c>
      <c r="I298" s="36">
        <v>9212</v>
      </c>
      <c r="J298" s="36" t="str">
        <f>IFERROR(INDEX(Product_Structure[Generic Name (long)],MATCH(Товары[[#This Row],[SubGroup]],Product_Structure[Subgroup],0)),"")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Row],[SubGroup]],DIY!$B:$C,2,FALSE),0)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3" t="str">
        <f>IFERROR(INDEX(Product_Structure[SuperCategory],MATCH(Товары[[#This Row],[SubGroup]],Product_Structure[Subgroup],0)),"")</f>
        <v>A</v>
      </c>
      <c r="D299" s="113" t="str">
        <f>IFERROR(INDEX(Product_Structure[SuperCategory Name ENG],MATCH(Товары[[#This Row],[SubGroup]],Product_Structure[Subgroup],0)),"")</f>
        <v>Hand&amp;Cutting tools, Accessories</v>
      </c>
      <c r="E29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299" s="113" t="str">
        <f>IFERROR(INDEX(Product_Structure[Product group],MATCH(Товары[[#This Row],[SubGroup]],Product_Structure[Subgroup],0)),"")</f>
        <v>AMC_C</v>
      </c>
      <c r="G299" s="113" t="str">
        <f>IFERROR(INDEX(Product_Structure[Product group name ENG],MATCH(Товары[[#This Row],[SubGroup]],Product_Structure[Subgroup],0)),"")</f>
        <v>Accessories, Manual, Cutting</v>
      </c>
      <c r="H299" s="113" t="str">
        <f>IFERROR(INDEX(Product_Structure[Generic Name (long)3],MATCH(Товары[[#This Row],[SubGroup]],Product_Structure[Subgroup],0)),"")</f>
        <v>Сучкорезы</v>
      </c>
      <c r="I299" s="36">
        <v>9212</v>
      </c>
      <c r="J299" s="36" t="str">
        <f>IFERROR(INDEX(Product_Structure[Generic Name (long)],MATCH(Товары[[#This Row],[SubGroup]],Product_Structure[Subgroup],0)),"")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Row],[SubGroup]],DIY!$B:$C,2,FALSE),0)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3" t="str">
        <f>IFERROR(INDEX(Product_Structure[SuperCategory],MATCH(Товары[[#This Row],[SubGroup]],Product_Structure[Subgroup],0)),"")</f>
        <v>A</v>
      </c>
      <c r="D300" s="113" t="str">
        <f>IFERROR(INDEX(Product_Structure[SuperCategory Name ENG],MATCH(Товары[[#This Row],[SubGroup]],Product_Structure[Subgroup],0)),"")</f>
        <v>Hand&amp;Cutting tools, Accessories</v>
      </c>
      <c r="E30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0" s="113" t="str">
        <f>IFERROR(INDEX(Product_Structure[Product group],MATCH(Товары[[#This Row],[SubGroup]],Product_Structure[Subgroup],0)),"")</f>
        <v>AMC_C</v>
      </c>
      <c r="G300" s="113" t="str">
        <f>IFERROR(INDEX(Product_Structure[Product group name ENG],MATCH(Товары[[#This Row],[SubGroup]],Product_Structure[Subgroup],0)),"")</f>
        <v>Accessories, Manual, Cutting</v>
      </c>
      <c r="H300" s="113" t="str">
        <f>IFERROR(INDEX(Product_Structure[Generic Name (long)3],MATCH(Товары[[#This Row],[SubGroup]],Product_Structure[Subgroup],0)),"")</f>
        <v>Сучкорезы</v>
      </c>
      <c r="I300" s="36">
        <v>9212</v>
      </c>
      <c r="J300" s="36" t="str">
        <f>IFERROR(INDEX(Product_Structure[Generic Name (long)],MATCH(Товары[[#This Row],[SubGroup]],Product_Structure[Subgroup],0)),"")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Row],[SubGroup]],DIY!$B:$C,2,FALSE),0)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3" t="str">
        <f>IFERROR(INDEX(Product_Structure[SuperCategory],MATCH(Товары[[#This Row],[SubGroup]],Product_Structure[Subgroup],0)),"")</f>
        <v>A</v>
      </c>
      <c r="D301" s="113" t="str">
        <f>IFERROR(INDEX(Product_Structure[SuperCategory Name ENG],MATCH(Товары[[#This Row],[SubGroup]],Product_Structure[Subgroup],0)),"")</f>
        <v>Hand&amp;Cutting tools, Accessories</v>
      </c>
      <c r="E30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1" s="113" t="str">
        <f>IFERROR(INDEX(Product_Structure[Product group],MATCH(Товары[[#This Row],[SubGroup]],Product_Structure[Subgroup],0)),"")</f>
        <v>AMC_C</v>
      </c>
      <c r="G301" s="113" t="str">
        <f>IFERROR(INDEX(Product_Structure[Product group name ENG],MATCH(Товары[[#This Row],[SubGroup]],Product_Structure[Subgroup],0)),"")</f>
        <v>Accessories, Manual, Cutting</v>
      </c>
      <c r="H301" s="113" t="str">
        <f>IFERROR(INDEX(Product_Structure[Generic Name (long)3],MATCH(Товары[[#This Row],[SubGroup]],Product_Structure[Subgroup],0)),"")</f>
        <v>Сучкорезы</v>
      </c>
      <c r="I301" s="36">
        <v>9212</v>
      </c>
      <c r="J301" s="36" t="str">
        <f>IFERROR(INDEX(Product_Structure[Generic Name (long)],MATCH(Товары[[#This Row],[SubGroup]],Product_Structure[Subgroup],0)),"")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Row],[SubGroup]],DIY!$B:$C,2,FALSE),0)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3" t="str">
        <f>IFERROR(INDEX(Product_Structure[SuperCategory],MATCH(Товары[[#This Row],[SubGroup]],Product_Structure[Subgroup],0)),"")</f>
        <v>A</v>
      </c>
      <c r="D302" s="113" t="str">
        <f>IFERROR(INDEX(Product_Structure[SuperCategory Name ENG],MATCH(Товары[[#This Row],[SubGroup]],Product_Structure[Subgroup],0)),"")</f>
        <v>Hand&amp;Cutting tools, Accessories</v>
      </c>
      <c r="E30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2" s="113" t="str">
        <f>IFERROR(INDEX(Product_Structure[Product group],MATCH(Товары[[#This Row],[SubGroup]],Product_Structure[Subgroup],0)),"")</f>
        <v>AMC_C</v>
      </c>
      <c r="G302" s="113" t="str">
        <f>IFERROR(INDEX(Product_Structure[Product group name ENG],MATCH(Товары[[#This Row],[SubGroup]],Product_Structure[Subgroup],0)),"")</f>
        <v>Accessories, Manual, Cutting</v>
      </c>
      <c r="H302" s="113" t="str">
        <f>IFERROR(INDEX(Product_Structure[Generic Name (long)3],MATCH(Товары[[#This Row],[SubGroup]],Product_Structure[Subgroup],0)),"")</f>
        <v>Сучкорезы</v>
      </c>
      <c r="I302" s="36">
        <v>9212</v>
      </c>
      <c r="J302" s="36" t="str">
        <f>IFERROR(INDEX(Product_Structure[Generic Name (long)],MATCH(Товары[[#This Row],[SubGroup]],Product_Structure[Subgroup],0)),"")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Row],[SubGroup]],DIY!$B:$C,2,FALSE),0)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3" t="str">
        <f>IFERROR(INDEX(Product_Structure[SuperCategory],MATCH(Товары[[#This Row],[SubGroup]],Product_Structure[Subgroup],0)),"")</f>
        <v>A</v>
      </c>
      <c r="D303" s="113" t="str">
        <f>IFERROR(INDEX(Product_Structure[SuperCategory Name ENG],MATCH(Товары[[#This Row],[SubGroup]],Product_Structure[Subgroup],0)),"")</f>
        <v>Hand&amp;Cutting tools, Accessories</v>
      </c>
      <c r="E30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3" s="113" t="str">
        <f>IFERROR(INDEX(Product_Structure[Product group],MATCH(Товары[[#This Row],[SubGroup]],Product_Structure[Subgroup],0)),"")</f>
        <v>AMC_C</v>
      </c>
      <c r="G303" s="113" t="str">
        <f>IFERROR(INDEX(Product_Structure[Product group name ENG],MATCH(Товары[[#This Row],[SubGroup]],Product_Structure[Subgroup],0)),"")</f>
        <v>Accessories, Manual, Cutting</v>
      </c>
      <c r="H303" s="113" t="str">
        <f>IFERROR(INDEX(Product_Structure[Generic Name (long)3],MATCH(Товары[[#This Row],[SubGroup]],Product_Structure[Subgroup],0)),"")</f>
        <v>Сучкорезы</v>
      </c>
      <c r="I303" s="36">
        <v>9212</v>
      </c>
      <c r="J303" s="36" t="str">
        <f>IFERROR(INDEX(Product_Structure[Generic Name (long)],MATCH(Товары[[#This Row],[SubGroup]],Product_Structure[Subgroup],0)),"")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Row],[SubGroup]],DIY!$B:$C,2,FALSE),0)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3" t="str">
        <f>IFERROR(INDEX(Product_Structure[SuperCategory],MATCH(Товары[[#This Row],[SubGroup]],Product_Structure[Subgroup],0)),"")</f>
        <v>A</v>
      </c>
      <c r="D304" s="113" t="str">
        <f>IFERROR(INDEX(Product_Structure[SuperCategory Name ENG],MATCH(Товары[[#This Row],[SubGroup]],Product_Structure[Subgroup],0)),"")</f>
        <v>Hand&amp;Cutting tools, Accessories</v>
      </c>
      <c r="E30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4" s="113" t="str">
        <f>IFERROR(INDEX(Product_Structure[Product group],MATCH(Товары[[#This Row],[SubGroup]],Product_Structure[Subgroup],0)),"")</f>
        <v>AMC_C</v>
      </c>
      <c r="G304" s="113" t="str">
        <f>IFERROR(INDEX(Product_Structure[Product group name ENG],MATCH(Товары[[#This Row],[SubGroup]],Product_Structure[Subgroup],0)),"")</f>
        <v>Accessories, Manual, Cutting</v>
      </c>
      <c r="H304" s="113" t="str">
        <f>IFERROR(INDEX(Product_Structure[Generic Name (long)3],MATCH(Товары[[#This Row],[SubGroup]],Product_Structure[Subgroup],0)),"")</f>
        <v>Секаторы</v>
      </c>
      <c r="I304" s="36">
        <v>9211</v>
      </c>
      <c r="J304" s="36" t="str">
        <f>IFERROR(INDEX(Product_Structure[Generic Name (long)],MATCH(Товары[[#This Row],[SubGroup]],Product_Structure[Subgroup],0)),"")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Row],[SubGroup]],DIY!$B:$C,2,FALSE),0)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3" t="str">
        <f>IFERROR(INDEX(Product_Structure[SuperCategory],MATCH(Товары[[#This Row],[SubGroup]],Product_Structure[Subgroup],0)),"")</f>
        <v>A</v>
      </c>
      <c r="D305" s="113" t="str">
        <f>IFERROR(INDEX(Product_Structure[SuperCategory Name ENG],MATCH(Товары[[#This Row],[SubGroup]],Product_Structure[Subgroup],0)),"")</f>
        <v>Hand&amp;Cutting tools, Accessories</v>
      </c>
      <c r="E30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5" s="113" t="str">
        <f>IFERROR(INDEX(Product_Structure[Product group],MATCH(Товары[[#This Row],[SubGroup]],Product_Structure[Subgroup],0)),"")</f>
        <v>AMC_C</v>
      </c>
      <c r="G305" s="113" t="str">
        <f>IFERROR(INDEX(Product_Structure[Product group name ENG],MATCH(Товары[[#This Row],[SubGroup]],Product_Structure[Subgroup],0)),"")</f>
        <v>Accessories, Manual, Cutting</v>
      </c>
      <c r="H305" s="113" t="str">
        <f>IFERROR(INDEX(Product_Structure[Generic Name (long)3],MATCH(Товары[[#This Row],[SubGroup]],Product_Structure[Subgroup],0)),"")</f>
        <v>Секаторы</v>
      </c>
      <c r="I305" s="36">
        <v>9211</v>
      </c>
      <c r="J305" s="36" t="str">
        <f>IFERROR(INDEX(Product_Structure[Generic Name (long)],MATCH(Товары[[#This Row],[SubGroup]],Product_Structure[Subgroup],0)),"")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Row],[SubGroup]],DIY!$B:$C,2,FALSE),0)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3" t="str">
        <f>IFERROR(INDEX(Product_Structure[SuperCategory],MATCH(Товары[[#This Row],[SubGroup]],Product_Structure[Subgroup],0)),"")</f>
        <v>A</v>
      </c>
      <c r="D306" s="113" t="str">
        <f>IFERROR(INDEX(Product_Structure[SuperCategory Name ENG],MATCH(Товары[[#This Row],[SubGroup]],Product_Structure[Subgroup],0)),"")</f>
        <v>Hand&amp;Cutting tools, Accessories</v>
      </c>
      <c r="E30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6" s="113" t="str">
        <f>IFERROR(INDEX(Product_Structure[Product group],MATCH(Товары[[#This Row],[SubGroup]],Product_Structure[Subgroup],0)),"")</f>
        <v>AMC_C</v>
      </c>
      <c r="G306" s="113" t="str">
        <f>IFERROR(INDEX(Product_Structure[Product group name ENG],MATCH(Товары[[#This Row],[SubGroup]],Product_Structure[Subgroup],0)),"")</f>
        <v>Accessories, Manual, Cutting</v>
      </c>
      <c r="H306" s="113" t="str">
        <f>IFERROR(INDEX(Product_Structure[Generic Name (long)3],MATCH(Товары[[#This Row],[SubGroup]],Product_Structure[Subgroup],0)),"")</f>
        <v>Секаторы</v>
      </c>
      <c r="I306" s="36">
        <v>9211</v>
      </c>
      <c r="J306" s="36" t="str">
        <f>IFERROR(INDEX(Product_Structure[Generic Name (long)],MATCH(Товары[[#This Row],[SubGroup]],Product_Structure[Subgroup],0)),"")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Row],[SubGroup]],DIY!$B:$C,2,FALSE),0)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3" t="str">
        <f>IFERROR(INDEX(Product_Structure[SuperCategory],MATCH(Товары[[#This Row],[SubGroup]],Product_Structure[Subgroup],0)),"")</f>
        <v>A</v>
      </c>
      <c r="D307" s="113" t="str">
        <f>IFERROR(INDEX(Product_Structure[SuperCategory Name ENG],MATCH(Товары[[#This Row],[SubGroup]],Product_Structure[Subgroup],0)),"")</f>
        <v>Hand&amp;Cutting tools, Accessories</v>
      </c>
      <c r="E30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7" s="113" t="str">
        <f>IFERROR(INDEX(Product_Structure[Product group],MATCH(Товары[[#This Row],[SubGroup]],Product_Structure[Subgroup],0)),"")</f>
        <v>AMC_C</v>
      </c>
      <c r="G307" s="113" t="str">
        <f>IFERROR(INDEX(Product_Structure[Product group name ENG],MATCH(Товары[[#This Row],[SubGroup]],Product_Structure[Subgroup],0)),"")</f>
        <v>Accessories, Manual, Cutting</v>
      </c>
      <c r="H307" s="113" t="str">
        <f>IFERROR(INDEX(Product_Structure[Generic Name (long)3],MATCH(Товары[[#This Row],[SubGroup]],Product_Structure[Subgroup],0)),"")</f>
        <v>Секаторы</v>
      </c>
      <c r="I307" s="36">
        <v>9211</v>
      </c>
      <c r="J307" s="36" t="str">
        <f>IFERROR(INDEX(Product_Structure[Generic Name (long)],MATCH(Товары[[#This Row],[SubGroup]],Product_Structure[Subgroup],0)),"")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Row],[SubGroup]],DIY!$B:$C,2,FALSE),0)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3" t="str">
        <f>IFERROR(INDEX(Product_Structure[SuperCategory],MATCH(Товары[[#This Row],[SubGroup]],Product_Structure[Subgroup],0)),"")</f>
        <v>A</v>
      </c>
      <c r="D308" s="113" t="str">
        <f>IFERROR(INDEX(Product_Structure[SuperCategory Name ENG],MATCH(Товары[[#This Row],[SubGroup]],Product_Structure[Subgroup],0)),"")</f>
        <v>Hand&amp;Cutting tools, Accessories</v>
      </c>
      <c r="E30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8" s="113" t="str">
        <f>IFERROR(INDEX(Product_Structure[Product group],MATCH(Товары[[#This Row],[SubGroup]],Product_Structure[Subgroup],0)),"")</f>
        <v>AMC_C</v>
      </c>
      <c r="G308" s="113" t="str">
        <f>IFERROR(INDEX(Product_Structure[Product group name ENG],MATCH(Товары[[#This Row],[SubGroup]],Product_Structure[Subgroup],0)),"")</f>
        <v>Accessories, Manual, Cutting</v>
      </c>
      <c r="H308" s="113" t="str">
        <f>IFERROR(INDEX(Product_Structure[Generic Name (long)3],MATCH(Товары[[#This Row],[SubGroup]],Product_Structure[Subgroup],0)),"")</f>
        <v>Сучкорезы</v>
      </c>
      <c r="I308" s="36">
        <v>9212</v>
      </c>
      <c r="J308" s="36" t="str">
        <f>IFERROR(INDEX(Product_Structure[Generic Name (long)],MATCH(Товары[[#This Row],[SubGroup]],Product_Structure[Subgroup],0)),"")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Row],[SubGroup]],DIY!$B:$C,2,FALSE),0)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3" t="str">
        <f>IFERROR(INDEX(Product_Structure[SuperCategory],MATCH(Товары[[#This Row],[SubGroup]],Product_Structure[Subgroup],0)),"")</f>
        <v>A</v>
      </c>
      <c r="D309" s="113" t="str">
        <f>IFERROR(INDEX(Product_Structure[SuperCategory Name ENG],MATCH(Товары[[#This Row],[SubGroup]],Product_Structure[Subgroup],0)),"")</f>
        <v>Hand&amp;Cutting tools, Accessories</v>
      </c>
      <c r="E30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09" s="113" t="str">
        <f>IFERROR(INDEX(Product_Structure[Product group],MATCH(Товары[[#This Row],[SubGroup]],Product_Structure[Subgroup],0)),"")</f>
        <v>AMC_C</v>
      </c>
      <c r="G309" s="113" t="str">
        <f>IFERROR(INDEX(Product_Structure[Product group name ENG],MATCH(Товары[[#This Row],[SubGroup]],Product_Structure[Subgroup],0)),"")</f>
        <v>Accessories, Manual, Cutting</v>
      </c>
      <c r="H309" s="113" t="str">
        <f>IFERROR(INDEX(Product_Structure[Generic Name (long)3],MATCH(Товары[[#This Row],[SubGroup]],Product_Structure[Subgroup],0)),"")</f>
        <v>Секаторы</v>
      </c>
      <c r="I309" s="36">
        <v>9211</v>
      </c>
      <c r="J309" s="36" t="str">
        <f>IFERROR(INDEX(Product_Structure[Generic Name (long)],MATCH(Товары[[#This Row],[SubGroup]],Product_Structure[Subgroup],0)),"")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Row],[SubGroup]],DIY!$B:$C,2,FALSE),0)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3" t="str">
        <f>IFERROR(INDEX(Product_Structure[SuperCategory],MATCH(Товары[[#This Row],[SubGroup]],Product_Structure[Subgroup],0)),"")</f>
        <v>A</v>
      </c>
      <c r="D310" s="113" t="str">
        <f>IFERROR(INDEX(Product_Structure[SuperCategory Name ENG],MATCH(Товары[[#This Row],[SubGroup]],Product_Structure[Subgroup],0)),"")</f>
        <v>Hand&amp;Cutting tools, Accessories</v>
      </c>
      <c r="E31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0" s="113" t="str">
        <f>IFERROR(INDEX(Product_Structure[Product group],MATCH(Товары[[#This Row],[SubGroup]],Product_Structure[Subgroup],0)),"")</f>
        <v>AMC_C</v>
      </c>
      <c r="G310" s="113" t="str">
        <f>IFERROR(INDEX(Product_Structure[Product group name ENG],MATCH(Товары[[#This Row],[SubGroup]],Product_Structure[Subgroup],0)),"")</f>
        <v>Accessories, Manual, Cutting</v>
      </c>
      <c r="H310" s="113" t="str">
        <f>IFERROR(INDEX(Product_Structure[Generic Name (long)3],MATCH(Товары[[#This Row],[SubGroup]],Product_Structure[Subgroup],0)),"")</f>
        <v>Секаторы</v>
      </c>
      <c r="I310" s="36">
        <v>9211</v>
      </c>
      <c r="J310" s="36" t="str">
        <f>IFERROR(INDEX(Product_Structure[Generic Name (long)],MATCH(Товары[[#This Row],[SubGroup]],Product_Structure[Subgroup],0)),"")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Row],[SubGroup]],DIY!$B:$C,2,FALSE),0)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3" t="str">
        <f>IFERROR(INDEX(Product_Structure[SuperCategory],MATCH(Товары[[#This Row],[SubGroup]],Product_Structure[Subgroup],0)),"")</f>
        <v>A</v>
      </c>
      <c r="D311" s="113" t="str">
        <f>IFERROR(INDEX(Product_Structure[SuperCategory Name ENG],MATCH(Товары[[#This Row],[SubGroup]],Product_Structure[Subgroup],0)),"")</f>
        <v>Hand&amp;Cutting tools, Accessories</v>
      </c>
      <c r="E31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1" s="113" t="str">
        <f>IFERROR(INDEX(Product_Structure[Product group],MATCH(Товары[[#This Row],[SubGroup]],Product_Structure[Subgroup],0)),"")</f>
        <v>AMC_C</v>
      </c>
      <c r="G311" s="113" t="str">
        <f>IFERROR(INDEX(Product_Structure[Product group name ENG],MATCH(Товары[[#This Row],[SubGroup]],Product_Structure[Subgroup],0)),"")</f>
        <v>Accessories, Manual, Cutting</v>
      </c>
      <c r="H311" s="113" t="str">
        <f>IFERROR(INDEX(Product_Structure[Generic Name (long)3],MATCH(Товары[[#This Row],[SubGroup]],Product_Structure[Subgroup],0)),"")</f>
        <v>Секаторы</v>
      </c>
      <c r="I311" s="36">
        <v>9211</v>
      </c>
      <c r="J311" s="36" t="str">
        <f>IFERROR(INDEX(Product_Structure[Generic Name (long)],MATCH(Товары[[#This Row],[SubGroup]],Product_Structure[Subgroup],0)),"")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Row],[SubGroup]],DIY!$B:$C,2,FALSE),0)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3" t="str">
        <f>IFERROR(INDEX(Product_Structure[SuperCategory],MATCH(Товары[[#This Row],[SubGroup]],Product_Structure[Subgroup],0)),"")</f>
        <v>A</v>
      </c>
      <c r="D312" s="113" t="str">
        <f>IFERROR(INDEX(Product_Structure[SuperCategory Name ENG],MATCH(Товары[[#This Row],[SubGroup]],Product_Structure[Subgroup],0)),"")</f>
        <v>Hand&amp;Cutting tools, Accessories</v>
      </c>
      <c r="E31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2" s="113" t="str">
        <f>IFERROR(INDEX(Product_Structure[Product group],MATCH(Товары[[#This Row],[SubGroup]],Product_Structure[Subgroup],0)),"")</f>
        <v>AMC_C</v>
      </c>
      <c r="G312" s="113" t="str">
        <f>IFERROR(INDEX(Product_Structure[Product group name ENG],MATCH(Товары[[#This Row],[SubGroup]],Product_Structure[Subgroup],0)),"")</f>
        <v>Accessories, Manual, Cutting</v>
      </c>
      <c r="H312" s="113" t="str">
        <f>IFERROR(INDEX(Product_Structure[Generic Name (long)3],MATCH(Товары[[#This Row],[SubGroup]],Product_Structure[Subgroup],0)),"")</f>
        <v>Секаторы</v>
      </c>
      <c r="I312" s="36">
        <v>9211</v>
      </c>
      <c r="J312" s="36" t="str">
        <f>IFERROR(INDEX(Product_Structure[Generic Name (long)],MATCH(Товары[[#This Row],[SubGroup]],Product_Structure[Subgroup],0)),"")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Row],[SubGroup]],DIY!$B:$C,2,FALSE),0)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3" t="str">
        <f>IFERROR(INDEX(Product_Structure[SuperCategory],MATCH(Товары[[#This Row],[SubGroup]],Product_Structure[Subgroup],0)),"")</f>
        <v>A</v>
      </c>
      <c r="D313" s="113" t="str">
        <f>IFERROR(INDEX(Product_Structure[SuperCategory Name ENG],MATCH(Товары[[#This Row],[SubGroup]],Product_Structure[Subgroup],0)),"")</f>
        <v>Hand&amp;Cutting tools, Accessories</v>
      </c>
      <c r="E31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3" s="113" t="str">
        <f>IFERROR(INDEX(Product_Structure[Product group],MATCH(Товары[[#This Row],[SubGroup]],Product_Structure[Subgroup],0)),"")</f>
        <v>AMC_C</v>
      </c>
      <c r="G313" s="113" t="str">
        <f>IFERROR(INDEX(Product_Structure[Product group name ENG],MATCH(Товары[[#This Row],[SubGroup]],Product_Structure[Subgroup],0)),"")</f>
        <v>Accessories, Manual, Cutting</v>
      </c>
      <c r="H313" s="113" t="str">
        <f>IFERROR(INDEX(Product_Structure[Generic Name (long)3],MATCH(Товары[[#This Row],[SubGroup]],Product_Structure[Subgroup],0)),"")</f>
        <v>Секаторы</v>
      </c>
      <c r="I313" s="36">
        <v>9211</v>
      </c>
      <c r="J313" s="36" t="str">
        <f>IFERROR(INDEX(Product_Structure[Generic Name (long)],MATCH(Товары[[#This Row],[SubGroup]],Product_Structure[Subgroup],0)),"")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Row],[SubGroup]],DIY!$B:$C,2,FALSE),0)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3" t="str">
        <f>IFERROR(INDEX(Product_Structure[SuperCategory],MATCH(Товары[[#This Row],[SubGroup]],Product_Structure[Subgroup],0)),"")</f>
        <v>A</v>
      </c>
      <c r="D314" s="113" t="str">
        <f>IFERROR(INDEX(Product_Structure[SuperCategory Name ENG],MATCH(Товары[[#This Row],[SubGroup]],Product_Structure[Subgroup],0)),"")</f>
        <v>Hand&amp;Cutting tools, Accessories</v>
      </c>
      <c r="E31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4" s="113" t="str">
        <f>IFERROR(INDEX(Product_Structure[Product group],MATCH(Товары[[#This Row],[SubGroup]],Product_Structure[Subgroup],0)),"")</f>
        <v>AMC_C</v>
      </c>
      <c r="G314" s="113" t="str">
        <f>IFERROR(INDEX(Product_Structure[Product group name ENG],MATCH(Товары[[#This Row],[SubGroup]],Product_Structure[Subgroup],0)),"")</f>
        <v>Accessories, Manual, Cutting</v>
      </c>
      <c r="H314" s="113" t="str">
        <f>IFERROR(INDEX(Product_Structure[Generic Name (long)3],MATCH(Товары[[#This Row],[SubGroup]],Product_Structure[Subgroup],0)),"")</f>
        <v>Секаторы</v>
      </c>
      <c r="I314" s="36">
        <v>9211</v>
      </c>
      <c r="J314" s="36" t="str">
        <f>IFERROR(INDEX(Product_Structure[Generic Name (long)],MATCH(Товары[[#This Row],[SubGroup]],Product_Structure[Subgroup],0)),"")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Row],[SubGroup]],DIY!$B:$C,2,FALSE),0)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3" t="str">
        <f>IFERROR(INDEX(Product_Structure[SuperCategory],MATCH(Товары[[#This Row],[SubGroup]],Product_Structure[Subgroup],0)),"")</f>
        <v>A</v>
      </c>
      <c r="D315" s="113" t="str">
        <f>IFERROR(INDEX(Product_Structure[SuperCategory Name ENG],MATCH(Товары[[#This Row],[SubGroup]],Product_Structure[Subgroup],0)),"")</f>
        <v>Hand&amp;Cutting tools, Accessories</v>
      </c>
      <c r="E31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5" s="113" t="str">
        <f>IFERROR(INDEX(Product_Structure[Product group],MATCH(Товары[[#This Row],[SubGroup]],Product_Structure[Subgroup],0)),"")</f>
        <v>AMC_C</v>
      </c>
      <c r="G315" s="113" t="str">
        <f>IFERROR(INDEX(Product_Structure[Product group name ENG],MATCH(Товары[[#This Row],[SubGroup]],Product_Structure[Subgroup],0)),"")</f>
        <v>Accessories, Manual, Cutting</v>
      </c>
      <c r="H315" s="113" t="str">
        <f>IFERROR(INDEX(Product_Structure[Generic Name (long)3],MATCH(Товары[[#This Row],[SubGroup]],Product_Structure[Subgroup],0)),"")</f>
        <v>Секаторы</v>
      </c>
      <c r="I315" s="36">
        <v>9211</v>
      </c>
      <c r="J315" s="36" t="str">
        <f>IFERROR(INDEX(Product_Structure[Generic Name (long)],MATCH(Товары[[#This Row],[SubGroup]],Product_Structure[Subgroup],0)),"")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Row],[SubGroup]],DIY!$B:$C,2,FALSE),0)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3" t="str">
        <f>IFERROR(INDEX(Product_Structure[SuperCategory],MATCH(Товары[[#This Row],[SubGroup]],Product_Structure[Subgroup],0)),"")</f>
        <v>A</v>
      </c>
      <c r="D316" s="113" t="str">
        <f>IFERROR(INDEX(Product_Structure[SuperCategory Name ENG],MATCH(Товары[[#This Row],[SubGroup]],Product_Structure[Subgroup],0)),"")</f>
        <v>Hand&amp;Cutting tools, Accessories</v>
      </c>
      <c r="E3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6" s="113" t="str">
        <f>IFERROR(INDEX(Product_Structure[Product group],MATCH(Товары[[#This Row],[SubGroup]],Product_Structure[Subgroup],0)),"")</f>
        <v>AMC_C</v>
      </c>
      <c r="G316" s="113" t="str">
        <f>IFERROR(INDEX(Product_Structure[Product group name ENG],MATCH(Товары[[#This Row],[SubGroup]],Product_Structure[Subgroup],0)),"")</f>
        <v>Accessories, Manual, Cutting</v>
      </c>
      <c r="H316" s="113" t="str">
        <f>IFERROR(INDEX(Product_Structure[Generic Name (long)3],MATCH(Товары[[#This Row],[SubGroup]],Product_Structure[Subgroup],0)),"")</f>
        <v>Секаторы</v>
      </c>
      <c r="I316" s="36">
        <v>9211</v>
      </c>
      <c r="J316" s="36" t="str">
        <f>IFERROR(INDEX(Product_Structure[Generic Name (long)],MATCH(Товары[[#This Row],[SubGroup]],Product_Structure[Subgroup],0)),"")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Row],[SubGroup]],DIY!$B:$C,2,FALSE),0)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3" t="str">
        <f>IFERROR(INDEX(Product_Structure[SuperCategory],MATCH(Товары[[#This Row],[SubGroup]],Product_Structure[Subgroup],0)),"")</f>
        <v>A</v>
      </c>
      <c r="D317" s="113" t="str">
        <f>IFERROR(INDEX(Product_Structure[SuperCategory Name ENG],MATCH(Товары[[#This Row],[SubGroup]],Product_Structure[Subgroup],0)),"")</f>
        <v>Hand&amp;Cutting tools, Accessories</v>
      </c>
      <c r="E3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7" s="113" t="str">
        <f>IFERROR(INDEX(Product_Structure[Product group],MATCH(Товары[[#This Row],[SubGroup]],Product_Structure[Subgroup],0)),"")</f>
        <v>AMC_C</v>
      </c>
      <c r="G317" s="113" t="str">
        <f>IFERROR(INDEX(Product_Structure[Product group name ENG],MATCH(Товары[[#This Row],[SubGroup]],Product_Structure[Subgroup],0)),"")</f>
        <v>Accessories, Manual, Cutting</v>
      </c>
      <c r="H317" s="113" t="str">
        <f>IFERROR(INDEX(Product_Structure[Generic Name (long)3],MATCH(Товары[[#This Row],[SubGroup]],Product_Structure[Subgroup],0)),"")</f>
        <v>Секаторы</v>
      </c>
      <c r="I317" s="36">
        <v>9211</v>
      </c>
      <c r="J317" s="36" t="str">
        <f>IFERROR(INDEX(Product_Structure[Generic Name (long)],MATCH(Товары[[#This Row],[SubGroup]],Product_Structure[Subgroup],0)),"")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Row],[SubGroup]],DIY!$B:$C,2,FALSE),0)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3" t="str">
        <f>IFERROR(INDEX(Product_Structure[SuperCategory],MATCH(Товары[[#This Row],[SubGroup]],Product_Structure[Subgroup],0)),"")</f>
        <v>A</v>
      </c>
      <c r="D318" s="113" t="str">
        <f>IFERROR(INDEX(Product_Structure[SuperCategory Name ENG],MATCH(Товары[[#This Row],[SubGroup]],Product_Structure[Subgroup],0)),"")</f>
        <v>Hand&amp;Cutting tools, Accessories</v>
      </c>
      <c r="E3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8" s="113" t="str">
        <f>IFERROR(INDEX(Product_Structure[Product group],MATCH(Товары[[#This Row],[SubGroup]],Product_Structure[Subgroup],0)),"")</f>
        <v>AMC_C</v>
      </c>
      <c r="G318" s="113" t="str">
        <f>IFERROR(INDEX(Product_Structure[Product group name ENG],MATCH(Товары[[#This Row],[SubGroup]],Product_Structure[Subgroup],0)),"")</f>
        <v>Accessories, Manual, Cutting</v>
      </c>
      <c r="H318" s="113" t="str">
        <f>IFERROR(INDEX(Product_Structure[Generic Name (long)3],MATCH(Товары[[#This Row],[SubGroup]],Product_Structure[Subgroup],0)),"")</f>
        <v>Секаторы</v>
      </c>
      <c r="I318" s="36">
        <v>9211</v>
      </c>
      <c r="J318" s="36" t="str">
        <f>IFERROR(INDEX(Product_Structure[Generic Name (long)],MATCH(Товары[[#This Row],[SubGroup]],Product_Structure[Subgroup],0)),"")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Row],[SubGroup]],DIY!$B:$C,2,FALSE),0)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3" t="str">
        <f>IFERROR(INDEX(Product_Structure[SuperCategory],MATCH(Товары[[#This Row],[SubGroup]],Product_Structure[Subgroup],0)),"")</f>
        <v>A</v>
      </c>
      <c r="D319" s="113" t="str">
        <f>IFERROR(INDEX(Product_Structure[SuperCategory Name ENG],MATCH(Товары[[#This Row],[SubGroup]],Product_Structure[Subgroup],0)),"")</f>
        <v>Hand&amp;Cutting tools, Accessories</v>
      </c>
      <c r="E3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19" s="113" t="str">
        <f>IFERROR(INDEX(Product_Structure[Product group],MATCH(Товары[[#This Row],[SubGroup]],Product_Structure[Subgroup],0)),"")</f>
        <v>AMC_C</v>
      </c>
      <c r="G319" s="113" t="str">
        <f>IFERROR(INDEX(Product_Structure[Product group name ENG],MATCH(Товары[[#This Row],[SubGroup]],Product_Structure[Subgroup],0)),"")</f>
        <v>Accessories, Manual, Cutting</v>
      </c>
      <c r="H319" s="113" t="str">
        <f>IFERROR(INDEX(Product_Structure[Generic Name (long)3],MATCH(Товары[[#This Row],[SubGroup]],Product_Structure[Subgroup],0)),"")</f>
        <v>Секаторы</v>
      </c>
      <c r="I319" s="36">
        <v>9211</v>
      </c>
      <c r="J319" s="36" t="str">
        <f>IFERROR(INDEX(Product_Structure[Generic Name (long)],MATCH(Товары[[#This Row],[SubGroup]],Product_Structure[Subgroup],0)),"")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Row],[SubGroup]],DIY!$B:$C,2,FALSE),0)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3" t="str">
        <f>IFERROR(INDEX(Product_Structure[SuperCategory],MATCH(Товары[[#This Row],[SubGroup]],Product_Structure[Subgroup],0)),"")</f>
        <v>A</v>
      </c>
      <c r="D320" s="113" t="str">
        <f>IFERROR(INDEX(Product_Structure[SuperCategory Name ENG],MATCH(Товары[[#This Row],[SubGroup]],Product_Structure[Subgroup],0)),"")</f>
        <v>Hand&amp;Cutting tools, Accessories</v>
      </c>
      <c r="E3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0" s="113" t="str">
        <f>IFERROR(INDEX(Product_Structure[Product group],MATCH(Товары[[#This Row],[SubGroup]],Product_Structure[Subgroup],0)),"")</f>
        <v>AMC_C</v>
      </c>
      <c r="G320" s="113" t="str">
        <f>IFERROR(INDEX(Product_Structure[Product group name ENG],MATCH(Товары[[#This Row],[SubGroup]],Product_Structure[Subgroup],0)),"")</f>
        <v>Accessories, Manual, Cutting</v>
      </c>
      <c r="H320" s="113" t="str">
        <f>IFERROR(INDEX(Product_Structure[Generic Name (long)3],MATCH(Товары[[#This Row],[SubGroup]],Product_Structure[Subgroup],0)),"")</f>
        <v>Секаторы</v>
      </c>
      <c r="I320" s="36">
        <v>9211</v>
      </c>
      <c r="J320" s="36" t="str">
        <f>IFERROR(INDEX(Product_Structure[Generic Name (long)],MATCH(Товары[[#This Row],[SubGroup]],Product_Structure[Subgroup],0)),"")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Row],[SubGroup]],DIY!$B:$C,2,FALSE),0)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3" t="str">
        <f>IFERROR(INDEX(Product_Structure[SuperCategory],MATCH(Товары[[#This Row],[SubGroup]],Product_Structure[Subgroup],0)),"")</f>
        <v>A</v>
      </c>
      <c r="D321" s="113" t="str">
        <f>IFERROR(INDEX(Product_Structure[SuperCategory Name ENG],MATCH(Товары[[#This Row],[SubGroup]],Product_Structure[Subgroup],0)),"")</f>
        <v>Hand&amp;Cutting tools, Accessories</v>
      </c>
      <c r="E3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1" s="113" t="str">
        <f>IFERROR(INDEX(Product_Structure[Product group],MATCH(Товары[[#This Row],[SubGroup]],Product_Structure[Subgroup],0)),"")</f>
        <v>AMC_C</v>
      </c>
      <c r="G321" s="113" t="str">
        <f>IFERROR(INDEX(Product_Structure[Product group name ENG],MATCH(Товары[[#This Row],[SubGroup]],Product_Structure[Subgroup],0)),"")</f>
        <v>Accessories, Manual, Cutting</v>
      </c>
      <c r="H321" s="113" t="str">
        <f>IFERROR(INDEX(Product_Structure[Generic Name (long)3],MATCH(Товары[[#This Row],[SubGroup]],Product_Structure[Subgroup],0)),"")</f>
        <v>Секаторы</v>
      </c>
      <c r="I321" s="36">
        <v>9211</v>
      </c>
      <c r="J321" s="36" t="str">
        <f>IFERROR(INDEX(Product_Structure[Generic Name (long)],MATCH(Товары[[#This Row],[SubGroup]],Product_Structure[Subgroup],0)),"")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Row],[SubGroup]],DIY!$B:$C,2,FALSE),0)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3" t="str">
        <f>IFERROR(INDEX(Product_Structure[SuperCategory],MATCH(Товары[[#This Row],[SubGroup]],Product_Structure[Subgroup],0)),"")</f>
        <v>A</v>
      </c>
      <c r="D322" s="113" t="str">
        <f>IFERROR(INDEX(Product_Structure[SuperCategory Name ENG],MATCH(Товары[[#This Row],[SubGroup]],Product_Structure[Subgroup],0)),"")</f>
        <v>Hand&amp;Cutting tools, Accessories</v>
      </c>
      <c r="E3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2" s="113" t="str">
        <f>IFERROR(INDEX(Product_Structure[Product group],MATCH(Товары[[#This Row],[SubGroup]],Product_Structure[Subgroup],0)),"")</f>
        <v>AMC_C</v>
      </c>
      <c r="G322" s="113" t="str">
        <f>IFERROR(INDEX(Product_Structure[Product group name ENG],MATCH(Товары[[#This Row],[SubGroup]],Product_Structure[Subgroup],0)),"")</f>
        <v>Accessories, Manual, Cutting</v>
      </c>
      <c r="H322" s="113" t="str">
        <f>IFERROR(INDEX(Product_Structure[Generic Name (long)3],MATCH(Товары[[#This Row],[SubGroup]],Product_Structure[Subgroup],0)),"")</f>
        <v>Секаторы</v>
      </c>
      <c r="I322" s="36">
        <v>9211</v>
      </c>
      <c r="J322" s="36" t="str">
        <f>IFERROR(INDEX(Product_Structure[Generic Name (long)],MATCH(Товары[[#This Row],[SubGroup]],Product_Structure[Subgroup],0)),"")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Row],[SubGroup]],DIY!$B:$C,2,FALSE),0)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3" t="str">
        <f>IFERROR(INDEX(Product_Structure[SuperCategory],MATCH(Товары[[#This Row],[SubGroup]],Product_Structure[Subgroup],0)),"")</f>
        <v>A</v>
      </c>
      <c r="D323" s="113" t="str">
        <f>IFERROR(INDEX(Product_Structure[SuperCategory Name ENG],MATCH(Товары[[#This Row],[SubGroup]],Product_Structure[Subgroup],0)),"")</f>
        <v>Hand&amp;Cutting tools, Accessories</v>
      </c>
      <c r="E32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3" s="113" t="str">
        <f>IFERROR(INDEX(Product_Structure[Product group],MATCH(Товары[[#This Row],[SubGroup]],Product_Structure[Subgroup],0)),"")</f>
        <v>AMC_C</v>
      </c>
      <c r="G323" s="113" t="str">
        <f>IFERROR(INDEX(Product_Structure[Product group name ENG],MATCH(Товары[[#This Row],[SubGroup]],Product_Structure[Subgroup],0)),"")</f>
        <v>Accessories, Manual, Cutting</v>
      </c>
      <c r="H323" s="113" t="str">
        <f>IFERROR(INDEX(Product_Structure[Generic Name (long)3],MATCH(Товары[[#This Row],[SubGroup]],Product_Structure[Subgroup],0)),"")</f>
        <v>Секаторы</v>
      </c>
      <c r="I323" s="36">
        <v>9211</v>
      </c>
      <c r="J323" s="36" t="str">
        <f>IFERROR(INDEX(Product_Structure[Generic Name (long)],MATCH(Товары[[#This Row],[SubGroup]],Product_Structure[Subgroup],0)),"")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Row],[SubGroup]],DIY!$B:$C,2,FALSE),0)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3" t="str">
        <f>IFERROR(INDEX(Product_Structure[SuperCategory],MATCH(Товары[[#This Row],[SubGroup]],Product_Structure[Subgroup],0)),"")</f>
        <v>A</v>
      </c>
      <c r="D324" s="113" t="str">
        <f>IFERROR(INDEX(Product_Structure[SuperCategory Name ENG],MATCH(Товары[[#This Row],[SubGroup]],Product_Structure[Subgroup],0)),"")</f>
        <v>Hand&amp;Cutting tools, Accessories</v>
      </c>
      <c r="E32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4" s="113" t="str">
        <f>IFERROR(INDEX(Product_Structure[Product group],MATCH(Товары[[#This Row],[SubGroup]],Product_Structure[Subgroup],0)),"")</f>
        <v>AMC_C</v>
      </c>
      <c r="G324" s="113" t="str">
        <f>IFERROR(INDEX(Product_Structure[Product group name ENG],MATCH(Товары[[#This Row],[SubGroup]],Product_Structure[Subgroup],0)),"")</f>
        <v>Accessories, Manual, Cutting</v>
      </c>
      <c r="H324" s="113" t="str">
        <f>IFERROR(INDEX(Product_Structure[Generic Name (long)3],MATCH(Товары[[#This Row],[SubGroup]],Product_Structure[Subgroup],0)),"")</f>
        <v>Сучкорезы</v>
      </c>
      <c r="I324" s="36">
        <v>9212</v>
      </c>
      <c r="J324" s="36" t="str">
        <f>IFERROR(INDEX(Product_Structure[Generic Name (long)],MATCH(Товары[[#This Row],[SubGroup]],Product_Structure[Subgroup],0)),"")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Row],[SubGroup]],DIY!$B:$C,2,FALSE),0)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3" t="str">
        <f>IFERROR(INDEX(Product_Structure[SuperCategory],MATCH(Товары[[#This Row],[SubGroup]],Product_Structure[Subgroup],0)),"")</f>
        <v>A</v>
      </c>
      <c r="D325" s="113" t="str">
        <f>IFERROR(INDEX(Product_Structure[SuperCategory Name ENG],MATCH(Товары[[#This Row],[SubGroup]],Product_Structure[Subgroup],0)),"")</f>
        <v>Hand&amp;Cutting tools, Accessories</v>
      </c>
      <c r="E32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5" s="113" t="str">
        <f>IFERROR(INDEX(Product_Structure[Product group],MATCH(Товары[[#This Row],[SubGroup]],Product_Structure[Subgroup],0)),"")</f>
        <v>AMC_C</v>
      </c>
      <c r="G325" s="113" t="str">
        <f>IFERROR(INDEX(Product_Structure[Product group name ENG],MATCH(Товары[[#This Row],[SubGroup]],Product_Structure[Subgroup],0)),"")</f>
        <v>Accessories, Manual, Cutting</v>
      </c>
      <c r="H325" s="113" t="str">
        <f>IFERROR(INDEX(Product_Structure[Generic Name (long)3],MATCH(Товары[[#This Row],[SubGroup]],Product_Structure[Subgroup],0)),"")</f>
        <v>Сучкорезы</v>
      </c>
      <c r="I325" s="36">
        <v>9212</v>
      </c>
      <c r="J325" s="36" t="str">
        <f>IFERROR(INDEX(Product_Structure[Generic Name (long)],MATCH(Товары[[#This Row],[SubGroup]],Product_Structure[Subgroup],0)),"")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Row],[SubGroup]],DIY!$B:$C,2,FALSE),0)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3" t="str">
        <f>IFERROR(INDEX(Product_Structure[SuperCategory],MATCH(Товары[[#This Row],[SubGroup]],Product_Structure[Subgroup],0)),"")</f>
        <v>A</v>
      </c>
      <c r="D326" s="113" t="str">
        <f>IFERROR(INDEX(Product_Structure[SuperCategory Name ENG],MATCH(Товары[[#This Row],[SubGroup]],Product_Structure[Subgroup],0)),"")</f>
        <v>Hand&amp;Cutting tools, Accessories</v>
      </c>
      <c r="E32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6" s="113" t="str">
        <f>IFERROR(INDEX(Product_Structure[Product group],MATCH(Товары[[#This Row],[SubGroup]],Product_Structure[Subgroup],0)),"")</f>
        <v>AMC_C</v>
      </c>
      <c r="G326" s="113" t="str">
        <f>IFERROR(INDEX(Product_Structure[Product group name ENG],MATCH(Товары[[#This Row],[SubGroup]],Product_Structure[Subgroup],0)),"")</f>
        <v>Accessories, Manual, Cutting</v>
      </c>
      <c r="H326" s="113" t="str">
        <f>IFERROR(INDEX(Product_Structure[Generic Name (long)3],MATCH(Товары[[#This Row],[SubGroup]],Product_Structure[Subgroup],0)),"")</f>
        <v>Сучкорезы</v>
      </c>
      <c r="I326" s="36">
        <v>9212</v>
      </c>
      <c r="J326" s="36" t="str">
        <f>IFERROR(INDEX(Product_Structure[Generic Name (long)],MATCH(Товары[[#This Row],[SubGroup]],Product_Structure[Subgroup],0)),"")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Row],[SubGroup]],DIY!$B:$C,2,FALSE),0)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3" t="str">
        <f>IFERROR(INDEX(Product_Structure[SuperCategory],MATCH(Товары[[#This Row],[SubGroup]],Product_Structure[Subgroup],0)),"")</f>
        <v>A</v>
      </c>
      <c r="D327" s="113" t="str">
        <f>IFERROR(INDEX(Product_Structure[SuperCategory Name ENG],MATCH(Товары[[#This Row],[SubGroup]],Product_Structure[Subgroup],0)),"")</f>
        <v>Hand&amp;Cutting tools, Accessories</v>
      </c>
      <c r="E32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7" s="113" t="str">
        <f>IFERROR(INDEX(Product_Structure[Product group],MATCH(Товары[[#This Row],[SubGroup]],Product_Structure[Subgroup],0)),"")</f>
        <v>AMC_C</v>
      </c>
      <c r="G327" s="113" t="str">
        <f>IFERROR(INDEX(Product_Structure[Product group name ENG],MATCH(Товары[[#This Row],[SubGroup]],Product_Structure[Subgroup],0)),"")</f>
        <v>Accessories, Manual, Cutting</v>
      </c>
      <c r="H327" s="113" t="str">
        <f>IFERROR(INDEX(Product_Structure[Generic Name (long)3],MATCH(Товары[[#This Row],[SubGroup]],Product_Structure[Subgroup],0)),"")</f>
        <v>Секаторы</v>
      </c>
      <c r="I327" s="36">
        <v>9211</v>
      </c>
      <c r="J327" s="36" t="str">
        <f>IFERROR(INDEX(Product_Structure[Generic Name (long)],MATCH(Товары[[#This Row],[SubGroup]],Product_Structure[Subgroup],0)),"")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Row],[SubGroup]],DIY!$B:$C,2,FALSE),0)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3" t="str">
        <f>IFERROR(INDEX(Product_Structure[SuperCategory],MATCH(Товары[[#This Row],[SubGroup]],Product_Structure[Subgroup],0)),"")</f>
        <v>A</v>
      </c>
      <c r="D328" s="113" t="str">
        <f>IFERROR(INDEX(Product_Structure[SuperCategory Name ENG],MATCH(Товары[[#This Row],[SubGroup]],Product_Structure[Subgroup],0)),"")</f>
        <v>Hand&amp;Cutting tools, Accessories</v>
      </c>
      <c r="E32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8" s="113" t="str">
        <f>IFERROR(INDEX(Product_Structure[Product group],MATCH(Товары[[#This Row],[SubGroup]],Product_Structure[Subgroup],0)),"")</f>
        <v>AMC_C</v>
      </c>
      <c r="G328" s="113" t="str">
        <f>IFERROR(INDEX(Product_Structure[Product group name ENG],MATCH(Товары[[#This Row],[SubGroup]],Product_Structure[Subgroup],0)),"")</f>
        <v>Accessories, Manual, Cutting</v>
      </c>
      <c r="H328" s="113" t="str">
        <f>IFERROR(INDEX(Product_Structure[Generic Name (long)3],MATCH(Товары[[#This Row],[SubGroup]],Product_Structure[Subgroup],0)),"")</f>
        <v>Сучкорезы</v>
      </c>
      <c r="I328" s="36">
        <v>9212</v>
      </c>
      <c r="J328" s="36" t="str">
        <f>IFERROR(INDEX(Product_Structure[Generic Name (long)],MATCH(Товары[[#This Row],[SubGroup]],Product_Structure[Subgroup],0)),"")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Row],[SubGroup]],DIY!$B:$C,2,FALSE),0)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3" t="str">
        <f>IFERROR(INDEX(Product_Structure[SuperCategory],MATCH(Товары[[#This Row],[SubGroup]],Product_Structure[Subgroup],0)),"")</f>
        <v>A</v>
      </c>
      <c r="D329" s="113" t="str">
        <f>IFERROR(INDEX(Product_Structure[SuperCategory Name ENG],MATCH(Товары[[#This Row],[SubGroup]],Product_Structure[Subgroup],0)),"")</f>
        <v>Hand&amp;Cutting tools, Accessories</v>
      </c>
      <c r="E32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29" s="113" t="str">
        <f>IFERROR(INDEX(Product_Structure[Product group],MATCH(Товары[[#This Row],[SubGroup]],Product_Structure[Subgroup],0)),"")</f>
        <v>AMC_C</v>
      </c>
      <c r="G329" s="113" t="str">
        <f>IFERROR(INDEX(Product_Structure[Product group name ENG],MATCH(Товары[[#This Row],[SubGroup]],Product_Structure[Subgroup],0)),"")</f>
        <v>Accessories, Manual, Cutting</v>
      </c>
      <c r="H329" s="113" t="str">
        <f>IFERROR(INDEX(Product_Structure[Generic Name (long)3],MATCH(Товары[[#This Row],[SubGroup]],Product_Structure[Subgroup],0)),"")</f>
        <v>Ножницы для травы механические</v>
      </c>
      <c r="I329" s="36">
        <v>9231</v>
      </c>
      <c r="J329" s="36" t="str">
        <f>IFERROR(INDEX(Product_Structure[Generic Name (long)],MATCH(Товары[[#This Row],[SubGroup]],Product_Structure[Subgroup],0)),"")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Row],[SubGroup]],DIY!$B:$C,2,FALSE),0)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3" t="str">
        <f>IFERROR(INDEX(Product_Structure[SuperCategory],MATCH(Товары[[#This Row],[SubGroup]],Product_Structure[Subgroup],0)),"")</f>
        <v>A</v>
      </c>
      <c r="D330" s="113" t="str">
        <f>IFERROR(INDEX(Product_Structure[SuperCategory Name ENG],MATCH(Товары[[#This Row],[SubGroup]],Product_Structure[Subgroup],0)),"")</f>
        <v>Hand&amp;Cutting tools, Accessories</v>
      </c>
      <c r="E33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0" s="113" t="str">
        <f>IFERROR(INDEX(Product_Structure[Product group],MATCH(Товары[[#This Row],[SubGroup]],Product_Structure[Subgroup],0)),"")</f>
        <v>AMC_C</v>
      </c>
      <c r="G330" s="113" t="str">
        <f>IFERROR(INDEX(Product_Structure[Product group name ENG],MATCH(Товары[[#This Row],[SubGroup]],Product_Structure[Subgroup],0)),"")</f>
        <v>Accessories, Manual, Cutting</v>
      </c>
      <c r="H330" s="113" t="str">
        <f>IFERROR(INDEX(Product_Structure[Generic Name (long)3],MATCH(Товары[[#This Row],[SubGroup]],Product_Structure[Subgroup],0)),"")</f>
        <v>Ножницы для травы механические</v>
      </c>
      <c r="I330" s="36">
        <v>9231</v>
      </c>
      <c r="J330" s="36" t="str">
        <f>IFERROR(INDEX(Product_Structure[Generic Name (long)],MATCH(Товары[[#This Row],[SubGroup]],Product_Structure[Subgroup],0)),"")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Row],[SubGroup]],DIY!$B:$C,2,FALSE),0)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3" t="str">
        <f>IFERROR(INDEX(Product_Structure[SuperCategory],MATCH(Товары[[#This Row],[SubGroup]],Product_Structure[Subgroup],0)),"")</f>
        <v>A</v>
      </c>
      <c r="D331" s="113" t="str">
        <f>IFERROR(INDEX(Product_Structure[SuperCategory Name ENG],MATCH(Товары[[#This Row],[SubGroup]],Product_Structure[Subgroup],0)),"")</f>
        <v>Hand&amp;Cutting tools, Accessories</v>
      </c>
      <c r="E33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1" s="113" t="str">
        <f>IFERROR(INDEX(Product_Structure[Product group],MATCH(Товары[[#This Row],[SubGroup]],Product_Structure[Subgroup],0)),"")</f>
        <v>AMT_C</v>
      </c>
      <c r="G331" s="113" t="str">
        <f>IFERROR(INDEX(Product_Structure[Product group name ENG],MATCH(Товары[[#This Row],[SubGroup]],Product_Structure[Subgroup],0)),"")</f>
        <v>Accessories, Manual, Tools</v>
      </c>
      <c r="H33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1" s="36">
        <v>9221</v>
      </c>
      <c r="J331" s="36" t="str">
        <f>IFERROR(INDEX(Product_Structure[Generic Name (long)],MATCH(Товары[[#This Row],[SubGroup]],Product_Structure[Subgroup],0)),"")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Row],[SubGroup]],DIY!$B:$C,2,FALSE),0)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3" t="str">
        <f>IFERROR(INDEX(Product_Structure[SuperCategory],MATCH(Товары[[#This Row],[SubGroup]],Product_Structure[Subgroup],0)),"")</f>
        <v>A</v>
      </c>
      <c r="D332" s="113" t="str">
        <f>IFERROR(INDEX(Product_Structure[SuperCategory Name ENG],MATCH(Товары[[#This Row],[SubGroup]],Product_Structure[Subgroup],0)),"")</f>
        <v>Hand&amp;Cutting tools, Accessories</v>
      </c>
      <c r="E33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2" s="113" t="str">
        <f>IFERROR(INDEX(Product_Structure[Product group],MATCH(Товары[[#This Row],[SubGroup]],Product_Structure[Subgroup],0)),"")</f>
        <v>AMT_C</v>
      </c>
      <c r="G332" s="113" t="str">
        <f>IFERROR(INDEX(Product_Structure[Product group name ENG],MATCH(Товары[[#This Row],[SubGroup]],Product_Structure[Subgroup],0)),"")</f>
        <v>Accessories, Manual, Tools</v>
      </c>
      <c r="H33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2" s="36">
        <v>9221</v>
      </c>
      <c r="J332" s="36" t="str">
        <f>IFERROR(INDEX(Product_Structure[Generic Name (long)],MATCH(Товары[[#This Row],[SubGroup]],Product_Structure[Subgroup],0)),"")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Row],[SubGroup]],DIY!$B:$C,2,FALSE),0)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3" t="str">
        <f>IFERROR(INDEX(Product_Structure[SuperCategory],MATCH(Товары[[#This Row],[SubGroup]],Product_Structure[Subgroup],0)),"")</f>
        <v>A</v>
      </c>
      <c r="D333" s="113" t="str">
        <f>IFERROR(INDEX(Product_Structure[SuperCategory Name ENG],MATCH(Товары[[#This Row],[SubGroup]],Product_Structure[Subgroup],0)),"")</f>
        <v>Hand&amp;Cutting tools, Accessories</v>
      </c>
      <c r="E3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3" s="113" t="str">
        <f>IFERROR(INDEX(Product_Structure[Product group],MATCH(Товары[[#This Row],[SubGroup]],Product_Structure[Subgroup],0)),"")</f>
        <v>AMT_C</v>
      </c>
      <c r="G333" s="113" t="str">
        <f>IFERROR(INDEX(Product_Structure[Product group name ENG],MATCH(Товары[[#This Row],[SubGroup]],Product_Structure[Subgroup],0)),"")</f>
        <v>Accessories, Manual, Tools</v>
      </c>
      <c r="H33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3" s="36">
        <v>9221</v>
      </c>
      <c r="J333" s="36" t="str">
        <f>IFERROR(INDEX(Product_Structure[Generic Name (long)],MATCH(Товары[[#This Row],[SubGroup]],Product_Structure[Subgroup],0)),"")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Row],[SubGroup]],DIY!$B:$C,2,FALSE),0)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3" t="str">
        <f>IFERROR(INDEX(Product_Structure[SuperCategory],MATCH(Товары[[#This Row],[SubGroup]],Product_Structure[Subgroup],0)),"")</f>
        <v>A</v>
      </c>
      <c r="D334" s="113" t="str">
        <f>IFERROR(INDEX(Product_Structure[SuperCategory Name ENG],MATCH(Товары[[#This Row],[SubGroup]],Product_Structure[Subgroup],0)),"")</f>
        <v>Hand&amp;Cutting tools, Accessories</v>
      </c>
      <c r="E3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4" s="113" t="str">
        <f>IFERROR(INDEX(Product_Structure[Product group],MATCH(Товары[[#This Row],[SubGroup]],Product_Structure[Subgroup],0)),"")</f>
        <v>AMT_C</v>
      </c>
      <c r="G334" s="113" t="str">
        <f>IFERROR(INDEX(Product_Structure[Product group name ENG],MATCH(Товары[[#This Row],[SubGroup]],Product_Structure[Subgroup],0)),"")</f>
        <v>Accessories, Manual, Tools</v>
      </c>
      <c r="H334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4" s="36">
        <v>9221</v>
      </c>
      <c r="J334" s="36" t="str">
        <f>IFERROR(INDEX(Product_Structure[Generic Name (long)],MATCH(Товары[[#This Row],[SubGroup]],Product_Structure[Subgroup],0)),"")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Row],[SubGroup]],DIY!$B:$C,2,FALSE),0)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3" t="str">
        <f>IFERROR(INDEX(Product_Structure[SuperCategory],MATCH(Товары[[#This Row],[SubGroup]],Product_Structure[Subgroup],0)),"")</f>
        <v>A</v>
      </c>
      <c r="D335" s="113" t="str">
        <f>IFERROR(INDEX(Product_Structure[SuperCategory Name ENG],MATCH(Товары[[#This Row],[SubGroup]],Product_Structure[Subgroup],0)),"")</f>
        <v>Hand&amp;Cutting tools, Accessories</v>
      </c>
      <c r="E33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5" s="113" t="str">
        <f>IFERROR(INDEX(Product_Structure[Product group],MATCH(Товары[[#This Row],[SubGroup]],Product_Structure[Subgroup],0)),"")</f>
        <v>AMT_C</v>
      </c>
      <c r="G335" s="113" t="str">
        <f>IFERROR(INDEX(Product_Structure[Product group name ENG],MATCH(Товары[[#This Row],[SubGroup]],Product_Structure[Subgroup],0)),"")</f>
        <v>Accessories, Manual, Tools</v>
      </c>
      <c r="H335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5" s="36">
        <v>9221</v>
      </c>
      <c r="J335" s="36" t="str">
        <f>IFERROR(INDEX(Product_Structure[Generic Name (long)],MATCH(Товары[[#This Row],[SubGroup]],Product_Structure[Subgroup],0)),"")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Row],[SubGroup]],DIY!$B:$C,2,FALSE),0)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3" t="str">
        <f>IFERROR(INDEX(Product_Structure[SuperCategory],MATCH(Товары[[#This Row],[SubGroup]],Product_Structure[Subgroup],0)),"")</f>
        <v>A</v>
      </c>
      <c r="D336" s="113" t="str">
        <f>IFERROR(INDEX(Product_Structure[SuperCategory Name ENG],MATCH(Товары[[#This Row],[SubGroup]],Product_Structure[Subgroup],0)),"")</f>
        <v>Hand&amp;Cutting tools, Accessories</v>
      </c>
      <c r="E33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6" s="113" t="str">
        <f>IFERROR(INDEX(Product_Structure[Product group],MATCH(Товары[[#This Row],[SubGroup]],Product_Structure[Subgroup],0)),"")</f>
        <v>AMT_C</v>
      </c>
      <c r="G336" s="113" t="str">
        <f>IFERROR(INDEX(Product_Structure[Product group name ENG],MATCH(Товары[[#This Row],[SubGroup]],Product_Structure[Subgroup],0)),"")</f>
        <v>Accessories, Manual, Tools</v>
      </c>
      <c r="H336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6" s="36">
        <v>9221</v>
      </c>
      <c r="J336" s="36" t="str">
        <f>IFERROR(INDEX(Product_Structure[Generic Name (long)],MATCH(Товары[[#This Row],[SubGroup]],Product_Structure[Subgroup],0)),"")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Row],[SubGroup]],DIY!$B:$C,2,FALSE),0)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3" t="str">
        <f>IFERROR(INDEX(Product_Structure[SuperCategory],MATCH(Товары[[#This Row],[SubGroup]],Product_Structure[Subgroup],0)),"")</f>
        <v>A</v>
      </c>
      <c r="D337" s="113" t="str">
        <f>IFERROR(INDEX(Product_Structure[SuperCategory Name ENG],MATCH(Товары[[#This Row],[SubGroup]],Product_Structure[Subgroup],0)),"")</f>
        <v>Hand&amp;Cutting tools, Accessories</v>
      </c>
      <c r="E33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7" s="113" t="str">
        <f>IFERROR(INDEX(Product_Structure[Product group],MATCH(Товары[[#This Row],[SubGroup]],Product_Structure[Subgroup],0)),"")</f>
        <v>AMT_C</v>
      </c>
      <c r="G337" s="113" t="str">
        <f>IFERROR(INDEX(Product_Structure[Product group name ENG],MATCH(Товары[[#This Row],[SubGroup]],Product_Structure[Subgroup],0)),"")</f>
        <v>Accessories, Manual, Tools</v>
      </c>
      <c r="H337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7" s="36">
        <v>9221</v>
      </c>
      <c r="J337" s="36" t="str">
        <f>IFERROR(INDEX(Product_Structure[Generic Name (long)],MATCH(Товары[[#This Row],[SubGroup]],Product_Structure[Subgroup],0)),"")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Row],[SubGroup]],DIY!$B:$C,2,FALSE),0)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3" t="str">
        <f>IFERROR(INDEX(Product_Structure[SuperCategory],MATCH(Товары[[#This Row],[SubGroup]],Product_Structure[Subgroup],0)),"")</f>
        <v>A</v>
      </c>
      <c r="D338" s="113" t="str">
        <f>IFERROR(INDEX(Product_Structure[SuperCategory Name ENG],MATCH(Товары[[#This Row],[SubGroup]],Product_Structure[Subgroup],0)),"")</f>
        <v>Hand&amp;Cutting tools, Accessories</v>
      </c>
      <c r="E33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8" s="113" t="str">
        <f>IFERROR(INDEX(Product_Structure[Product group],MATCH(Товары[[#This Row],[SubGroup]],Product_Structure[Subgroup],0)),"")</f>
        <v>AMT_C</v>
      </c>
      <c r="G338" s="113" t="str">
        <f>IFERROR(INDEX(Product_Structure[Product group name ENG],MATCH(Товары[[#This Row],[SubGroup]],Product_Structure[Subgroup],0)),"")</f>
        <v>Accessories, Manual, Tools</v>
      </c>
      <c r="H338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8" s="36">
        <v>9221</v>
      </c>
      <c r="J338" s="36" t="str">
        <f>IFERROR(INDEX(Product_Structure[Generic Name (long)],MATCH(Товары[[#This Row],[SubGroup]],Product_Structure[Subgroup],0)),"")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Row],[SubGroup]],DIY!$B:$C,2,FALSE),0)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3" t="str">
        <f>IFERROR(INDEX(Product_Structure[SuperCategory],MATCH(Товары[[#This Row],[SubGroup]],Product_Structure[Subgroup],0)),"")</f>
        <v>A</v>
      </c>
      <c r="D339" s="113" t="str">
        <f>IFERROR(INDEX(Product_Structure[SuperCategory Name ENG],MATCH(Товары[[#This Row],[SubGroup]],Product_Structure[Subgroup],0)),"")</f>
        <v>Hand&amp;Cutting tools, Accessories</v>
      </c>
      <c r="E33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39" s="113" t="str">
        <f>IFERROR(INDEX(Product_Structure[Product group],MATCH(Товары[[#This Row],[SubGroup]],Product_Structure[Subgroup],0)),"")</f>
        <v>AMT_C</v>
      </c>
      <c r="G339" s="113" t="str">
        <f>IFERROR(INDEX(Product_Structure[Product group name ENG],MATCH(Товары[[#This Row],[SubGroup]],Product_Structure[Subgroup],0)),"")</f>
        <v>Accessories, Manual, Tools</v>
      </c>
      <c r="H33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39" s="36">
        <v>9221</v>
      </c>
      <c r="J339" s="36" t="str">
        <f>IFERROR(INDEX(Product_Structure[Generic Name (long)],MATCH(Товары[[#This Row],[SubGroup]],Product_Structure[Subgroup],0)),"")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Row],[SubGroup]],DIY!$B:$C,2,FALSE),0)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3" t="str">
        <f>IFERROR(INDEX(Product_Structure[SuperCategory],MATCH(Товары[[#This Row],[SubGroup]],Product_Structure[Subgroup],0)),"")</f>
        <v>A</v>
      </c>
      <c r="D340" s="113" t="str">
        <f>IFERROR(INDEX(Product_Structure[SuperCategory Name ENG],MATCH(Товары[[#This Row],[SubGroup]],Product_Structure[Subgroup],0)),"")</f>
        <v>Hand&amp;Cutting tools, Accessories</v>
      </c>
      <c r="E34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0" s="113" t="str">
        <f>IFERROR(INDEX(Product_Structure[Product group],MATCH(Товары[[#This Row],[SubGroup]],Product_Structure[Subgroup],0)),"")</f>
        <v>AMT_C</v>
      </c>
      <c r="G340" s="113" t="str">
        <f>IFERROR(INDEX(Product_Structure[Product group name ENG],MATCH(Товары[[#This Row],[SubGroup]],Product_Structure[Subgroup],0)),"")</f>
        <v>Accessories, Manual, Tools</v>
      </c>
      <c r="H340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0" s="36">
        <v>9221</v>
      </c>
      <c r="J340" s="36" t="str">
        <f>IFERROR(INDEX(Product_Structure[Generic Name (long)],MATCH(Товары[[#This Row],[SubGroup]],Product_Structure[Subgroup],0)),"")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Row],[SubGroup]],DIY!$B:$C,2,FALSE),0)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3" t="str">
        <f>IFERROR(INDEX(Product_Structure[SuperCategory],MATCH(Товары[[#This Row],[SubGroup]],Product_Structure[Subgroup],0)),"")</f>
        <v>A</v>
      </c>
      <c r="D341" s="113" t="str">
        <f>IFERROR(INDEX(Product_Structure[SuperCategory Name ENG],MATCH(Товары[[#This Row],[SubGroup]],Product_Structure[Subgroup],0)),"")</f>
        <v>Hand&amp;Cutting tools, Accessories</v>
      </c>
      <c r="E3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1" s="113" t="str">
        <f>IFERROR(INDEX(Product_Structure[Product group],MATCH(Товары[[#This Row],[SubGroup]],Product_Structure[Subgroup],0)),"")</f>
        <v>AMT_C</v>
      </c>
      <c r="G341" s="113" t="str">
        <f>IFERROR(INDEX(Product_Structure[Product group name ENG],MATCH(Товары[[#This Row],[SubGroup]],Product_Structure[Subgroup],0)),"")</f>
        <v>Accessories, Manual, Tools</v>
      </c>
      <c r="H34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1" s="36">
        <v>9221</v>
      </c>
      <c r="J341" s="36" t="str">
        <f>IFERROR(INDEX(Product_Structure[Generic Name (long)],MATCH(Товары[[#This Row],[SubGroup]],Product_Structure[Subgroup],0)),"")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Row],[SubGroup]],DIY!$B:$C,2,FALSE),0)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3" t="str">
        <f>IFERROR(INDEX(Product_Structure[SuperCategory],MATCH(Товары[[#This Row],[SubGroup]],Product_Structure[Subgroup],0)),"")</f>
        <v>A</v>
      </c>
      <c r="D342" s="113" t="str">
        <f>IFERROR(INDEX(Product_Structure[SuperCategory Name ENG],MATCH(Товары[[#This Row],[SubGroup]],Product_Structure[Subgroup],0)),"")</f>
        <v>Hand&amp;Cutting tools, Accessories</v>
      </c>
      <c r="E3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2" s="113" t="str">
        <f>IFERROR(INDEX(Product_Structure[Product group],MATCH(Товары[[#This Row],[SubGroup]],Product_Structure[Subgroup],0)),"")</f>
        <v>AMT_C</v>
      </c>
      <c r="G342" s="113" t="str">
        <f>IFERROR(INDEX(Product_Structure[Product group name ENG],MATCH(Товары[[#This Row],[SubGroup]],Product_Structure[Subgroup],0)),"")</f>
        <v>Accessories, Manual, Tools</v>
      </c>
      <c r="H34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2" s="36">
        <v>9221</v>
      </c>
      <c r="J342" s="36" t="str">
        <f>IFERROR(INDEX(Product_Structure[Generic Name (long)],MATCH(Товары[[#This Row],[SubGroup]],Product_Structure[Subgroup],0)),"")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Row],[SubGroup]],DIY!$B:$C,2,FALSE),0)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3" t="str">
        <f>IFERROR(INDEX(Product_Structure[SuperCategory],MATCH(Товары[[#This Row],[SubGroup]],Product_Structure[Subgroup],0)),"")</f>
        <v>A</v>
      </c>
      <c r="D343" s="113" t="str">
        <f>IFERROR(INDEX(Product_Structure[SuperCategory Name ENG],MATCH(Товары[[#This Row],[SubGroup]],Product_Structure[Subgroup],0)),"")</f>
        <v>Hand&amp;Cutting tools, Accessories</v>
      </c>
      <c r="E3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3" s="113" t="str">
        <f>IFERROR(INDEX(Product_Structure[Product group],MATCH(Товары[[#This Row],[SubGroup]],Product_Structure[Subgroup],0)),"")</f>
        <v>AMT_C</v>
      </c>
      <c r="G343" s="113" t="str">
        <f>IFERROR(INDEX(Product_Structure[Product group name ENG],MATCH(Товары[[#This Row],[SubGroup]],Product_Structure[Subgroup],0)),"")</f>
        <v>Accessories, Manual, Tools</v>
      </c>
      <c r="H34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3" s="36">
        <v>9221</v>
      </c>
      <c r="J343" s="36" t="str">
        <f>IFERROR(INDEX(Product_Structure[Generic Name (long)],MATCH(Товары[[#This Row],[SubGroup]],Product_Structure[Subgroup],0)),"")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Row],[SubGroup]],DIY!$B:$C,2,FALSE),0)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3" t="str">
        <f>IFERROR(INDEX(Product_Structure[SuperCategory],MATCH(Товары[[#This Row],[SubGroup]],Product_Structure[Subgroup],0)),"")</f>
        <v>A</v>
      </c>
      <c r="D344" s="113" t="str">
        <f>IFERROR(INDEX(Product_Structure[SuperCategory Name ENG],MATCH(Товары[[#This Row],[SubGroup]],Product_Structure[Subgroup],0)),"")</f>
        <v>Hand&amp;Cutting tools, Accessories</v>
      </c>
      <c r="E3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4" s="113" t="str">
        <f>IFERROR(INDEX(Product_Structure[Product group],MATCH(Товары[[#This Row],[SubGroup]],Product_Structure[Subgroup],0)),"")</f>
        <v>AMT_C</v>
      </c>
      <c r="G344" s="113" t="str">
        <f>IFERROR(INDEX(Product_Structure[Product group name ENG],MATCH(Товары[[#This Row],[SubGroup]],Product_Structure[Subgroup],0)),"")</f>
        <v>Accessories, Manual, Tools</v>
      </c>
      <c r="H344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4" s="36">
        <v>9221</v>
      </c>
      <c r="J344" s="36" t="str">
        <f>IFERROR(INDEX(Product_Structure[Generic Name (long)],MATCH(Товары[[#This Row],[SubGroup]],Product_Structure[Subgroup],0)),"")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Row],[SubGroup]],DIY!$B:$C,2,FALSE),0)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3" t="str">
        <f>IFERROR(INDEX(Product_Structure[SuperCategory],MATCH(Товары[[#This Row],[SubGroup]],Product_Structure[Subgroup],0)),"")</f>
        <v>A</v>
      </c>
      <c r="D345" s="113" t="str">
        <f>IFERROR(INDEX(Product_Structure[SuperCategory Name ENG],MATCH(Товары[[#This Row],[SubGroup]],Product_Structure[Subgroup],0)),"")</f>
        <v>Hand&amp;Cutting tools, Accessories</v>
      </c>
      <c r="E3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5" s="113" t="str">
        <f>IFERROR(INDEX(Product_Structure[Product group],MATCH(Товары[[#This Row],[SubGroup]],Product_Structure[Subgroup],0)),"")</f>
        <v>AMT_C</v>
      </c>
      <c r="G345" s="113" t="str">
        <f>IFERROR(INDEX(Product_Structure[Product group name ENG],MATCH(Товары[[#This Row],[SubGroup]],Product_Structure[Subgroup],0)),"")</f>
        <v>Accessories, Manual, Tools</v>
      </c>
      <c r="H345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5" s="36">
        <v>9221</v>
      </c>
      <c r="J345" s="36" t="str">
        <f>IFERROR(INDEX(Product_Structure[Generic Name (long)],MATCH(Товары[[#This Row],[SubGroup]],Product_Structure[Subgroup],0)),"")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Row],[SubGroup]],DIY!$B:$C,2,FALSE),0)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3" t="str">
        <f>IFERROR(INDEX(Product_Structure[SuperCategory],MATCH(Товары[[#This Row],[SubGroup]],Product_Structure[Subgroup],0)),"")</f>
        <v>A</v>
      </c>
      <c r="D346" s="113" t="str">
        <f>IFERROR(INDEX(Product_Structure[SuperCategory Name ENG],MATCH(Товары[[#This Row],[SubGroup]],Product_Structure[Subgroup],0)),"")</f>
        <v>Hand&amp;Cutting tools, Accessories</v>
      </c>
      <c r="E3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6" s="113" t="str">
        <f>IFERROR(INDEX(Product_Structure[Product group],MATCH(Товары[[#This Row],[SubGroup]],Product_Structure[Subgroup],0)),"")</f>
        <v>AMT_C</v>
      </c>
      <c r="G346" s="113" t="str">
        <f>IFERROR(INDEX(Product_Structure[Product group name ENG],MATCH(Товары[[#This Row],[SubGroup]],Product_Structure[Subgroup],0)),"")</f>
        <v>Accessories, Manual, Tools</v>
      </c>
      <c r="H346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6" s="36">
        <v>9221</v>
      </c>
      <c r="J346" s="36" t="str">
        <f>IFERROR(INDEX(Product_Structure[Generic Name (long)],MATCH(Товары[[#This Row],[SubGroup]],Product_Structure[Subgroup],0)),"")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Row],[SubGroup]],DIY!$B:$C,2,FALSE),0)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3" t="str">
        <f>IFERROR(INDEX(Product_Structure[SuperCategory],MATCH(Товары[[#This Row],[SubGroup]],Product_Structure[Subgroup],0)),"")</f>
        <v>A</v>
      </c>
      <c r="D347" s="113" t="str">
        <f>IFERROR(INDEX(Product_Structure[SuperCategory Name ENG],MATCH(Товары[[#This Row],[SubGroup]],Product_Structure[Subgroup],0)),"")</f>
        <v>Hand&amp;Cutting tools, Accessories</v>
      </c>
      <c r="E3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7" s="113" t="str">
        <f>IFERROR(INDEX(Product_Structure[Product group],MATCH(Товары[[#This Row],[SubGroup]],Product_Structure[Subgroup],0)),"")</f>
        <v>AMT_C</v>
      </c>
      <c r="G347" s="113" t="str">
        <f>IFERROR(INDEX(Product_Structure[Product group name ENG],MATCH(Товары[[#This Row],[SubGroup]],Product_Structure[Subgroup],0)),"")</f>
        <v>Accessories, Manual, Tools</v>
      </c>
      <c r="H347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7" s="36">
        <v>9221</v>
      </c>
      <c r="J347" s="36" t="str">
        <f>IFERROR(INDEX(Product_Structure[Generic Name (long)],MATCH(Товары[[#This Row],[SubGroup]],Product_Structure[Subgroup],0)),"")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Row],[SubGroup]],DIY!$B:$C,2,FALSE),0)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3" t="str">
        <f>IFERROR(INDEX(Product_Structure[SuperCategory],MATCH(Товары[[#This Row],[SubGroup]],Product_Structure[Subgroup],0)),"")</f>
        <v>A</v>
      </c>
      <c r="D348" s="113" t="str">
        <f>IFERROR(INDEX(Product_Structure[SuperCategory Name ENG],MATCH(Товары[[#This Row],[SubGroup]],Product_Structure[Subgroup],0)),"")</f>
        <v>Hand&amp;Cutting tools, Accessories</v>
      </c>
      <c r="E3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8" s="113" t="str">
        <f>IFERROR(INDEX(Product_Structure[Product group],MATCH(Товары[[#This Row],[SubGroup]],Product_Structure[Subgroup],0)),"")</f>
        <v>AMT_C</v>
      </c>
      <c r="G348" s="113" t="str">
        <f>IFERROR(INDEX(Product_Structure[Product group name ENG],MATCH(Товары[[#This Row],[SubGroup]],Product_Structure[Subgroup],0)),"")</f>
        <v>Accessories, Manual, Tools</v>
      </c>
      <c r="H348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8" s="36">
        <v>9221</v>
      </c>
      <c r="J348" s="36" t="str">
        <f>IFERROR(INDEX(Product_Structure[Generic Name (long)],MATCH(Товары[[#This Row],[SubGroup]],Product_Structure[Subgroup],0)),"")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Row],[SubGroup]],DIY!$B:$C,2,FALSE),0)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3" t="str">
        <f>IFERROR(INDEX(Product_Structure[SuperCategory],MATCH(Товары[[#This Row],[SubGroup]],Product_Structure[Subgroup],0)),"")</f>
        <v>A</v>
      </c>
      <c r="D349" s="113" t="str">
        <f>IFERROR(INDEX(Product_Structure[SuperCategory Name ENG],MATCH(Товары[[#This Row],[SubGroup]],Product_Structure[Subgroup],0)),"")</f>
        <v>Hand&amp;Cutting tools, Accessories</v>
      </c>
      <c r="E3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49" s="113" t="str">
        <f>IFERROR(INDEX(Product_Structure[Product group],MATCH(Товары[[#This Row],[SubGroup]],Product_Structure[Subgroup],0)),"")</f>
        <v>AMT_C</v>
      </c>
      <c r="G349" s="113" t="str">
        <f>IFERROR(INDEX(Product_Structure[Product group name ENG],MATCH(Товары[[#This Row],[SubGroup]],Product_Structure[Subgroup],0)),"")</f>
        <v>Accessories, Manual, Tools</v>
      </c>
      <c r="H34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49" s="36">
        <v>9221</v>
      </c>
      <c r="J349" s="36" t="str">
        <f>IFERROR(INDEX(Product_Structure[Generic Name (long)],MATCH(Товары[[#This Row],[SubGroup]],Product_Structure[Subgroup],0)),"")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Row],[SubGroup]],DIY!$B:$C,2,FALSE),0)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3" t="str">
        <f>IFERROR(INDEX(Product_Structure[SuperCategory],MATCH(Товары[[#This Row],[SubGroup]],Product_Structure[Subgroup],0)),"")</f>
        <v>A</v>
      </c>
      <c r="D350" s="113" t="str">
        <f>IFERROR(INDEX(Product_Structure[SuperCategory Name ENG],MATCH(Товары[[#This Row],[SubGroup]],Product_Structure[Subgroup],0)),"")</f>
        <v>Hand&amp;Cutting tools, Accessories</v>
      </c>
      <c r="E3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0" s="113" t="str">
        <f>IFERROR(INDEX(Product_Structure[Product group],MATCH(Товары[[#This Row],[SubGroup]],Product_Structure[Subgroup],0)),"")</f>
        <v>AMT_C</v>
      </c>
      <c r="G350" s="113" t="str">
        <f>IFERROR(INDEX(Product_Structure[Product group name ENG],MATCH(Товары[[#This Row],[SubGroup]],Product_Structure[Subgroup],0)),"")</f>
        <v>Accessories, Manual, Tools</v>
      </c>
      <c r="H350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0" s="36">
        <v>9221</v>
      </c>
      <c r="J350" s="36" t="str">
        <f>IFERROR(INDEX(Product_Structure[Generic Name (long)],MATCH(Товары[[#This Row],[SubGroup]],Product_Structure[Subgroup],0)),"")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Row],[SubGroup]],DIY!$B:$C,2,FALSE),0)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3" t="str">
        <f>IFERROR(INDEX(Product_Structure[SuperCategory],MATCH(Товары[[#This Row],[SubGroup]],Product_Structure[Subgroup],0)),"")</f>
        <v>A</v>
      </c>
      <c r="D351" s="113" t="str">
        <f>IFERROR(INDEX(Product_Structure[SuperCategory Name ENG],MATCH(Товары[[#This Row],[SubGroup]],Product_Structure[Subgroup],0)),"")</f>
        <v>Hand&amp;Cutting tools, Accessories</v>
      </c>
      <c r="E3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1" s="113" t="str">
        <f>IFERROR(INDEX(Product_Structure[Product group],MATCH(Товары[[#This Row],[SubGroup]],Product_Structure[Subgroup],0)),"")</f>
        <v>AMT_C</v>
      </c>
      <c r="G351" s="113" t="str">
        <f>IFERROR(INDEX(Product_Structure[Product group name ENG],MATCH(Товары[[#This Row],[SubGroup]],Product_Structure[Subgroup],0)),"")</f>
        <v>Accessories, Manual, Tools</v>
      </c>
      <c r="H35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1" s="36">
        <v>9221</v>
      </c>
      <c r="J351" s="36" t="str">
        <f>IFERROR(INDEX(Product_Structure[Generic Name (long)],MATCH(Товары[[#This Row],[SubGroup]],Product_Structure[Subgroup],0)),"")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Row],[SubGroup]],DIY!$B:$C,2,FALSE),0)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3" t="str">
        <f>IFERROR(INDEX(Product_Structure[SuperCategory],MATCH(Товары[[#This Row],[SubGroup]],Product_Structure[Subgroup],0)),"")</f>
        <v>A</v>
      </c>
      <c r="D352" s="113" t="str">
        <f>IFERROR(INDEX(Product_Structure[SuperCategory Name ENG],MATCH(Товары[[#This Row],[SubGroup]],Product_Structure[Subgroup],0)),"")</f>
        <v>Hand&amp;Cutting tools, Accessories</v>
      </c>
      <c r="E3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2" s="113" t="str">
        <f>IFERROR(INDEX(Product_Structure[Product group],MATCH(Товары[[#This Row],[SubGroup]],Product_Structure[Subgroup],0)),"")</f>
        <v>AMT_C</v>
      </c>
      <c r="G352" s="113" t="str">
        <f>IFERROR(INDEX(Product_Structure[Product group name ENG],MATCH(Товары[[#This Row],[SubGroup]],Product_Structure[Subgroup],0)),"")</f>
        <v>Accessories, Manual, Tools</v>
      </c>
      <c r="H35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2" s="36">
        <v>9221</v>
      </c>
      <c r="J352" s="36" t="str">
        <f>IFERROR(INDEX(Product_Structure[Generic Name (long)],MATCH(Товары[[#This Row],[SubGroup]],Product_Structure[Subgroup],0)),"")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Row],[SubGroup]],DIY!$B:$C,2,FALSE),0)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3" t="str">
        <f>IFERROR(INDEX(Product_Structure[SuperCategory],MATCH(Товары[[#This Row],[SubGroup]],Product_Structure[Subgroup],0)),"")</f>
        <v>A</v>
      </c>
      <c r="D353" s="113" t="str">
        <f>IFERROR(INDEX(Product_Structure[SuperCategory Name ENG],MATCH(Товары[[#This Row],[SubGroup]],Product_Structure[Subgroup],0)),"")</f>
        <v>Hand&amp;Cutting tools, Accessories</v>
      </c>
      <c r="E3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3" s="113" t="str">
        <f>IFERROR(INDEX(Product_Structure[Product group],MATCH(Товары[[#This Row],[SubGroup]],Product_Structure[Subgroup],0)),"")</f>
        <v>AMT_C</v>
      </c>
      <c r="G353" s="113" t="str">
        <f>IFERROR(INDEX(Product_Structure[Product group name ENG],MATCH(Товары[[#This Row],[SubGroup]],Product_Structure[Subgroup],0)),"")</f>
        <v>Accessories, Manual, Tools</v>
      </c>
      <c r="H35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3" s="36">
        <v>9221</v>
      </c>
      <c r="J353" s="36" t="str">
        <f>IFERROR(INDEX(Product_Structure[Generic Name (long)],MATCH(Товары[[#This Row],[SubGroup]],Product_Structure[Subgroup],0)),"")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Row],[SubGroup]],DIY!$B:$C,2,FALSE),0)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3" t="str">
        <f>IFERROR(INDEX(Product_Structure[SuperCategory],MATCH(Товары[[#This Row],[SubGroup]],Product_Structure[Subgroup],0)),"")</f>
        <v>A</v>
      </c>
      <c r="D354" s="113" t="str">
        <f>IFERROR(INDEX(Product_Structure[SuperCategory Name ENG],MATCH(Товары[[#This Row],[SubGroup]],Product_Structure[Subgroup],0)),"")</f>
        <v>Hand&amp;Cutting tools, Accessories</v>
      </c>
      <c r="E3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4" s="113" t="str">
        <f>IFERROR(INDEX(Product_Structure[Product group],MATCH(Товары[[#This Row],[SubGroup]],Product_Structure[Subgroup],0)),"")</f>
        <v>AMT_C</v>
      </c>
      <c r="G354" s="113" t="str">
        <f>IFERROR(INDEX(Product_Structure[Product group name ENG],MATCH(Товары[[#This Row],[SubGroup]],Product_Structure[Subgroup],0)),"")</f>
        <v>Accessories, Manual, Tools</v>
      </c>
      <c r="H354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4" s="36">
        <v>9221</v>
      </c>
      <c r="J354" s="36" t="str">
        <f>IFERROR(INDEX(Product_Structure[Generic Name (long)],MATCH(Товары[[#This Row],[SubGroup]],Product_Structure[Subgroup],0)),"")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Row],[SubGroup]],DIY!$B:$C,2,FALSE),0)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3" t="str">
        <f>IFERROR(INDEX(Product_Structure[SuperCategory],MATCH(Товары[[#This Row],[SubGroup]],Product_Structure[Subgroup],0)),"")</f>
        <v>A</v>
      </c>
      <c r="D355" s="113" t="str">
        <f>IFERROR(INDEX(Product_Structure[SuperCategory Name ENG],MATCH(Товары[[#This Row],[SubGroup]],Product_Structure[Subgroup],0)),"")</f>
        <v>Hand&amp;Cutting tools, Accessories</v>
      </c>
      <c r="E3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5" s="113" t="str">
        <f>IFERROR(INDEX(Product_Structure[Product group],MATCH(Товары[[#This Row],[SubGroup]],Product_Structure[Subgroup],0)),"")</f>
        <v>AMT_C</v>
      </c>
      <c r="G355" s="113" t="str">
        <f>IFERROR(INDEX(Product_Structure[Product group name ENG],MATCH(Товары[[#This Row],[SubGroup]],Product_Structure[Subgroup],0)),"")</f>
        <v>Accessories, Manual, Tools</v>
      </c>
      <c r="H355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5" s="36">
        <v>9221</v>
      </c>
      <c r="J355" s="36" t="str">
        <f>IFERROR(INDEX(Product_Structure[Generic Name (long)],MATCH(Товары[[#This Row],[SubGroup]],Product_Structure[Subgroup],0)),"")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Row],[SubGroup]],DIY!$B:$C,2,FALSE),0)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3" t="str">
        <f>IFERROR(INDEX(Product_Structure[SuperCategory],MATCH(Товары[[#This Row],[SubGroup]],Product_Structure[Subgroup],0)),"")</f>
        <v>A</v>
      </c>
      <c r="D356" s="113" t="str">
        <f>IFERROR(INDEX(Product_Structure[SuperCategory Name ENG],MATCH(Товары[[#This Row],[SubGroup]],Product_Structure[Subgroup],0)),"")</f>
        <v>Hand&amp;Cutting tools, Accessories</v>
      </c>
      <c r="E3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6" s="113" t="str">
        <f>IFERROR(INDEX(Product_Structure[Product group],MATCH(Товары[[#This Row],[SubGroup]],Product_Structure[Subgroup],0)),"")</f>
        <v>AMT_C</v>
      </c>
      <c r="G356" s="113" t="str">
        <f>IFERROR(INDEX(Product_Structure[Product group name ENG],MATCH(Товары[[#This Row],[SubGroup]],Product_Structure[Subgroup],0)),"")</f>
        <v>Accessories, Manual, Tools</v>
      </c>
      <c r="H356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6" s="36">
        <v>9221</v>
      </c>
      <c r="J356" s="36" t="str">
        <f>IFERROR(INDEX(Product_Structure[Generic Name (long)],MATCH(Товары[[#This Row],[SubGroup]],Product_Structure[Subgroup],0)),"")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Row],[SubGroup]],DIY!$B:$C,2,FALSE),0)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3" t="str">
        <f>IFERROR(INDEX(Product_Structure[SuperCategory],MATCH(Товары[[#This Row],[SubGroup]],Product_Structure[Subgroup],0)),"")</f>
        <v>A</v>
      </c>
      <c r="D357" s="113" t="str">
        <f>IFERROR(INDEX(Product_Structure[SuperCategory Name ENG],MATCH(Товары[[#This Row],[SubGroup]],Product_Structure[Subgroup],0)),"")</f>
        <v>Hand&amp;Cutting tools, Accessories</v>
      </c>
      <c r="E35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7" s="113" t="str">
        <f>IFERROR(INDEX(Product_Structure[Product group],MATCH(Товары[[#This Row],[SubGroup]],Product_Structure[Subgroup],0)),"")</f>
        <v>AMT_C</v>
      </c>
      <c r="G357" s="113" t="str">
        <f>IFERROR(INDEX(Product_Structure[Product group name ENG],MATCH(Товары[[#This Row],[SubGroup]],Product_Structure[Subgroup],0)),"")</f>
        <v>Accessories, Manual, Tools</v>
      </c>
      <c r="H357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7" s="36">
        <v>9221</v>
      </c>
      <c r="J357" s="36" t="str">
        <f>IFERROR(INDEX(Product_Structure[Generic Name (long)],MATCH(Товары[[#This Row],[SubGroup]],Product_Structure[Subgroup],0)),"")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Row],[SubGroup]],DIY!$B:$C,2,FALSE),0)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3" t="str">
        <f>IFERROR(INDEX(Product_Structure[SuperCategory],MATCH(Товары[[#This Row],[SubGroup]],Product_Structure[Subgroup],0)),"")</f>
        <v>A</v>
      </c>
      <c r="D358" s="113" t="str">
        <f>IFERROR(INDEX(Product_Structure[SuperCategory Name ENG],MATCH(Товары[[#This Row],[SubGroup]],Product_Structure[Subgroup],0)),"")</f>
        <v>Hand&amp;Cutting tools, Accessories</v>
      </c>
      <c r="E35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8" s="113" t="str">
        <f>IFERROR(INDEX(Product_Structure[Product group],MATCH(Товары[[#This Row],[SubGroup]],Product_Structure[Subgroup],0)),"")</f>
        <v>AMT_C</v>
      </c>
      <c r="G358" s="113" t="str">
        <f>IFERROR(INDEX(Product_Structure[Product group name ENG],MATCH(Товары[[#This Row],[SubGroup]],Product_Structure[Subgroup],0)),"")</f>
        <v>Accessories, Manual, Tools</v>
      </c>
      <c r="H358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8" s="36">
        <v>9221</v>
      </c>
      <c r="J358" s="36" t="str">
        <f>IFERROR(INDEX(Product_Structure[Generic Name (long)],MATCH(Товары[[#This Row],[SubGroup]],Product_Structure[Subgroup],0)),"")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Row],[SubGroup]],DIY!$B:$C,2,FALSE),0)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3" t="str">
        <f>IFERROR(INDEX(Product_Structure[SuperCategory],MATCH(Товары[[#This Row],[SubGroup]],Product_Structure[Subgroup],0)),"")</f>
        <v>A</v>
      </c>
      <c r="D359" s="113" t="str">
        <f>IFERROR(INDEX(Product_Structure[SuperCategory Name ENG],MATCH(Товары[[#This Row],[SubGroup]],Product_Structure[Subgroup],0)),"")</f>
        <v>Hand&amp;Cutting tools, Accessories</v>
      </c>
      <c r="E35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59" s="113" t="str">
        <f>IFERROR(INDEX(Product_Structure[Product group],MATCH(Товары[[#This Row],[SubGroup]],Product_Structure[Subgroup],0)),"")</f>
        <v>AMT_C</v>
      </c>
      <c r="G359" s="113" t="str">
        <f>IFERROR(INDEX(Product_Structure[Product group name ENG],MATCH(Товары[[#This Row],[SubGroup]],Product_Structure[Subgroup],0)),"")</f>
        <v>Accessories, Manual, Tools</v>
      </c>
      <c r="H35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59" s="36">
        <v>9221</v>
      </c>
      <c r="J359" s="36" t="str">
        <f>IFERROR(INDEX(Product_Structure[Generic Name (long)],MATCH(Товары[[#This Row],[SubGroup]],Product_Structure[Subgroup],0)),"")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Row],[SubGroup]],DIY!$B:$C,2,FALSE),0)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3" t="str">
        <f>IFERROR(INDEX(Product_Structure[SuperCategory],MATCH(Товары[[#This Row],[SubGroup]],Product_Structure[Subgroup],0)),"")</f>
        <v>A</v>
      </c>
      <c r="D360" s="113" t="str">
        <f>IFERROR(INDEX(Product_Structure[SuperCategory Name ENG],MATCH(Товары[[#This Row],[SubGroup]],Product_Structure[Subgroup],0)),"")</f>
        <v>Hand&amp;Cutting tools, Accessories</v>
      </c>
      <c r="E36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0" s="113" t="str">
        <f>IFERROR(INDEX(Product_Structure[Product group],MATCH(Товары[[#This Row],[SubGroup]],Product_Structure[Subgroup],0)),"")</f>
        <v>AMT_C</v>
      </c>
      <c r="G360" s="113" t="str">
        <f>IFERROR(INDEX(Product_Structure[Product group name ENG],MATCH(Товары[[#This Row],[SubGroup]],Product_Structure[Subgroup],0)),"")</f>
        <v>Accessories, Manual, Tools</v>
      </c>
      <c r="H360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60" s="36">
        <v>9221</v>
      </c>
      <c r="J360" s="36" t="str">
        <f>IFERROR(INDEX(Product_Structure[Generic Name (long)],MATCH(Товары[[#This Row],[SubGroup]],Product_Structure[Subgroup],0)),"")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Row],[SubGroup]],DIY!$B:$C,2,FALSE),0)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3" t="str">
        <f>IFERROR(INDEX(Product_Structure[SuperCategory],MATCH(Товары[[#This Row],[SubGroup]],Product_Structure[Subgroup],0)),"")</f>
        <v>A</v>
      </c>
      <c r="D361" s="113" t="str">
        <f>IFERROR(INDEX(Product_Structure[SuperCategory Name ENG],MATCH(Товары[[#This Row],[SubGroup]],Product_Structure[Subgroup],0)),"")</f>
        <v>Hand&amp;Cutting tools, Accessories</v>
      </c>
      <c r="E36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1" s="113" t="str">
        <f>IFERROR(INDEX(Product_Structure[Product group],MATCH(Товары[[#This Row],[SubGroup]],Product_Structure[Subgroup],0)),"")</f>
        <v>AMT_C</v>
      </c>
      <c r="G361" s="113" t="str">
        <f>IFERROR(INDEX(Product_Structure[Product group name ENG],MATCH(Товары[[#This Row],[SubGroup]],Product_Structure[Subgroup],0)),"")</f>
        <v>Accessories, Manual, Tools</v>
      </c>
      <c r="H36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61" s="36">
        <v>9221</v>
      </c>
      <c r="J361" s="36" t="str">
        <f>IFERROR(INDEX(Product_Structure[Generic Name (long)],MATCH(Товары[[#This Row],[SubGroup]],Product_Structure[Subgroup],0)),"")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Row],[SubGroup]],DIY!$B:$C,2,FALSE),0)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3" t="str">
        <f>IFERROR(INDEX(Product_Structure[SuperCategory],MATCH(Товары[[#This Row],[SubGroup]],Product_Structure[Subgroup],0)),"")</f>
        <v>A</v>
      </c>
      <c r="D362" s="113" t="str">
        <f>IFERROR(INDEX(Product_Structure[SuperCategory Name ENG],MATCH(Товары[[#This Row],[SubGroup]],Product_Structure[Subgroup],0)),"")</f>
        <v>Hand&amp;Cutting tools, Accessories</v>
      </c>
      <c r="E36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2" s="113" t="str">
        <f>IFERROR(INDEX(Product_Structure[Product group],MATCH(Товары[[#This Row],[SubGroup]],Product_Structure[Subgroup],0)),"")</f>
        <v>AMT_C</v>
      </c>
      <c r="G362" s="113" t="str">
        <f>IFERROR(INDEX(Product_Structure[Product group name ENG],MATCH(Товары[[#This Row],[SubGroup]],Product_Structure[Subgroup],0)),"")</f>
        <v>Accessories, Manual, Tools</v>
      </c>
      <c r="H36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62" s="36">
        <v>9221</v>
      </c>
      <c r="J362" s="36" t="str">
        <f>IFERROR(INDEX(Product_Structure[Generic Name (long)],MATCH(Товары[[#This Row],[SubGroup]],Product_Structure[Subgroup],0)),"")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Row],[SubGroup]],DIY!$B:$C,2,FALSE),0)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3" t="str">
        <f>IFERROR(INDEX(Product_Structure[SuperCategory],MATCH(Товары[[#This Row],[SubGroup]],Product_Structure[Subgroup],0)),"")</f>
        <v>A</v>
      </c>
      <c r="D363" s="113" t="str">
        <f>IFERROR(INDEX(Product_Structure[SuperCategory Name ENG],MATCH(Товары[[#This Row],[SubGroup]],Product_Structure[Subgroup],0)),"")</f>
        <v>Hand&amp;Cutting tools, Accessories</v>
      </c>
      <c r="E36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3" s="113" t="str">
        <f>IFERROR(INDEX(Product_Structure[Product group],MATCH(Товары[[#This Row],[SubGroup]],Product_Structure[Subgroup],0)),"")</f>
        <v>AMT_C</v>
      </c>
      <c r="G363" s="113" t="str">
        <f>IFERROR(INDEX(Product_Structure[Product group name ENG],MATCH(Товары[[#This Row],[SubGroup]],Product_Structure[Subgroup],0)),"")</f>
        <v>Accessories, Manual, Tools</v>
      </c>
      <c r="H36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363" s="36">
        <v>9221</v>
      </c>
      <c r="J363" s="36" t="str">
        <f>IFERROR(INDEX(Product_Structure[Generic Name (long)],MATCH(Товары[[#This Row],[SubGroup]],Product_Structure[Subgroup],0)),"")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Row],[SubGroup]],DIY!$B:$C,2,FALSE),0)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3" t="str">
        <f>IFERROR(INDEX(Product_Structure[SuperCategory],MATCH(Товары[[#This Row],[SubGroup]],Product_Structure[Subgroup],0)),"")</f>
        <v>A</v>
      </c>
      <c r="D364" s="113" t="str">
        <f>IFERROR(INDEX(Product_Structure[SuperCategory Name ENG],MATCH(Товары[[#This Row],[SubGroup]],Product_Structure[Subgroup],0)),"")</f>
        <v>Hand&amp;Cutting tools, Accessories</v>
      </c>
      <c r="E36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4" s="113" t="str">
        <f>IFERROR(INDEX(Product_Structure[Product group],MATCH(Товары[[#This Row],[SubGroup]],Product_Structure[Subgroup],0)),"")</f>
        <v>AMT_C</v>
      </c>
      <c r="G364" s="113" t="str">
        <f>IFERROR(INDEX(Product_Structure[Product group name ENG],MATCH(Товары[[#This Row],[SubGroup]],Product_Structure[Subgroup],0)),"")</f>
        <v>Accessories, Manual, Tools</v>
      </c>
      <c r="H364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4" s="36">
        <v>9222</v>
      </c>
      <c r="J364" s="36" t="str">
        <f>IFERROR(INDEX(Product_Structure[Generic Name (long)],MATCH(Товары[[#This Row],[SubGroup]],Product_Structure[Subgroup],0)),"")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Row],[SubGroup]],DIY!$B:$C,2,FALSE),0)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3" t="str">
        <f>IFERROR(INDEX(Product_Structure[SuperCategory],MATCH(Товары[[#This Row],[SubGroup]],Product_Structure[Subgroup],0)),"")</f>
        <v>A</v>
      </c>
      <c r="D365" s="113" t="str">
        <f>IFERROR(INDEX(Product_Structure[SuperCategory Name ENG],MATCH(Товары[[#This Row],[SubGroup]],Product_Structure[Subgroup],0)),"")</f>
        <v>Hand&amp;Cutting tools, Accessories</v>
      </c>
      <c r="E36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5" s="113" t="str">
        <f>IFERROR(INDEX(Product_Structure[Product group],MATCH(Товары[[#This Row],[SubGroup]],Product_Structure[Subgroup],0)),"")</f>
        <v>AMT_C</v>
      </c>
      <c r="G365" s="113" t="str">
        <f>IFERROR(INDEX(Product_Structure[Product group name ENG],MATCH(Товары[[#This Row],[SubGroup]],Product_Structure[Subgroup],0)),"")</f>
        <v>Accessories, Manual, Tools</v>
      </c>
      <c r="H365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5" s="36">
        <v>9222</v>
      </c>
      <c r="J365" s="36" t="str">
        <f>IFERROR(INDEX(Product_Structure[Generic Name (long)],MATCH(Товары[[#This Row],[SubGroup]],Product_Structure[Subgroup],0)),"")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Row],[SubGroup]],DIY!$B:$C,2,FALSE),0)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3" t="str">
        <f>IFERROR(INDEX(Product_Structure[SuperCategory],MATCH(Товары[[#This Row],[SubGroup]],Product_Structure[Subgroup],0)),"")</f>
        <v>A</v>
      </c>
      <c r="D366" s="113" t="str">
        <f>IFERROR(INDEX(Product_Structure[SuperCategory Name ENG],MATCH(Товары[[#This Row],[SubGroup]],Product_Structure[Subgroup],0)),"")</f>
        <v>Hand&amp;Cutting tools, Accessories</v>
      </c>
      <c r="E36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6" s="113" t="str">
        <f>IFERROR(INDEX(Product_Structure[Product group],MATCH(Товары[[#This Row],[SubGroup]],Product_Structure[Subgroup],0)),"")</f>
        <v>AMT_C</v>
      </c>
      <c r="G366" s="113" t="str">
        <f>IFERROR(INDEX(Product_Structure[Product group name ENG],MATCH(Товары[[#This Row],[SubGroup]],Product_Structure[Subgroup],0)),"")</f>
        <v>Accessories, Manual, Tools</v>
      </c>
      <c r="H366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6" s="36">
        <v>9222</v>
      </c>
      <c r="J366" s="36" t="str">
        <f>IFERROR(INDEX(Product_Structure[Generic Name (long)],MATCH(Товары[[#This Row],[SubGroup]],Product_Structure[Subgroup],0)),"")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Row],[SubGroup]],DIY!$B:$C,2,FALSE),0)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3" t="str">
        <f>IFERROR(INDEX(Product_Structure[SuperCategory],MATCH(Товары[[#This Row],[SubGroup]],Product_Structure[Subgroup],0)),"")</f>
        <v>A</v>
      </c>
      <c r="D367" s="113" t="str">
        <f>IFERROR(INDEX(Product_Structure[SuperCategory Name ENG],MATCH(Товары[[#This Row],[SubGroup]],Product_Structure[Subgroup],0)),"")</f>
        <v>Hand&amp;Cutting tools, Accessories</v>
      </c>
      <c r="E36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7" s="113" t="str">
        <f>IFERROR(INDEX(Product_Structure[Product group],MATCH(Товары[[#This Row],[SubGroup]],Product_Structure[Subgroup],0)),"")</f>
        <v>AMT_C</v>
      </c>
      <c r="G367" s="113" t="str">
        <f>IFERROR(INDEX(Product_Structure[Product group name ENG],MATCH(Товары[[#This Row],[SubGroup]],Product_Structure[Subgroup],0)),"")</f>
        <v>Accessories, Manual, Tools</v>
      </c>
      <c r="H367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7" s="36">
        <v>9222</v>
      </c>
      <c r="J367" s="36" t="str">
        <f>IFERROR(INDEX(Product_Structure[Generic Name (long)],MATCH(Товары[[#This Row],[SubGroup]],Product_Structure[Subgroup],0)),"")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Row],[SubGroup]],DIY!$B:$C,2,FALSE),0)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3" t="str">
        <f>IFERROR(INDEX(Product_Structure[SuperCategory],MATCH(Товары[[#This Row],[SubGroup]],Product_Structure[Subgroup],0)),"")</f>
        <v>A</v>
      </c>
      <c r="D368" s="113" t="str">
        <f>IFERROR(INDEX(Product_Structure[SuperCategory Name ENG],MATCH(Товары[[#This Row],[SubGroup]],Product_Structure[Subgroup],0)),"")</f>
        <v>Hand&amp;Cutting tools, Accessories</v>
      </c>
      <c r="E36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8" s="113" t="str">
        <f>IFERROR(INDEX(Product_Structure[Product group],MATCH(Товары[[#This Row],[SubGroup]],Product_Structure[Subgroup],0)),"")</f>
        <v>AMT_C</v>
      </c>
      <c r="G368" s="113" t="str">
        <f>IFERROR(INDEX(Product_Structure[Product group name ENG],MATCH(Товары[[#This Row],[SubGroup]],Product_Structure[Subgroup],0)),"")</f>
        <v>Accessories, Manual, Tools</v>
      </c>
      <c r="H368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8" s="36">
        <v>9222</v>
      </c>
      <c r="J368" s="36" t="str">
        <f>IFERROR(INDEX(Product_Structure[Generic Name (long)],MATCH(Товары[[#This Row],[SubGroup]],Product_Structure[Subgroup],0)),"")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Row],[SubGroup]],DIY!$B:$C,2,FALSE),0)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3" t="str">
        <f>IFERROR(INDEX(Product_Structure[SuperCategory],MATCH(Товары[[#This Row],[SubGroup]],Product_Structure[Subgroup],0)),"")</f>
        <v>A</v>
      </c>
      <c r="D369" s="113" t="str">
        <f>IFERROR(INDEX(Product_Structure[SuperCategory Name ENG],MATCH(Товары[[#This Row],[SubGroup]],Product_Structure[Subgroup],0)),"")</f>
        <v>Hand&amp;Cutting tools, Accessories</v>
      </c>
      <c r="E36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69" s="113" t="str">
        <f>IFERROR(INDEX(Product_Structure[Product group],MATCH(Товары[[#This Row],[SubGroup]],Product_Structure[Subgroup],0)),"")</f>
        <v>AMT_C</v>
      </c>
      <c r="G369" s="113" t="str">
        <f>IFERROR(INDEX(Product_Structure[Product group name ENG],MATCH(Товары[[#This Row],[SubGroup]],Product_Structure[Subgroup],0)),"")</f>
        <v>Accessories, Manual, Tools</v>
      </c>
      <c r="H369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69" s="36">
        <v>9222</v>
      </c>
      <c r="J369" s="36" t="str">
        <f>IFERROR(INDEX(Product_Structure[Generic Name (long)],MATCH(Товары[[#This Row],[SubGroup]],Product_Structure[Subgroup],0)),"")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Row],[SubGroup]],DIY!$B:$C,2,FALSE),0)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3" t="str">
        <f>IFERROR(INDEX(Product_Structure[SuperCategory],MATCH(Товары[[#This Row],[SubGroup]],Product_Structure[Subgroup],0)),"")</f>
        <v>A</v>
      </c>
      <c r="D370" s="113" t="str">
        <f>IFERROR(INDEX(Product_Structure[SuperCategory Name ENG],MATCH(Товары[[#This Row],[SubGroup]],Product_Structure[Subgroup],0)),"")</f>
        <v>Hand&amp;Cutting tools, Accessories</v>
      </c>
      <c r="E37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0" s="113" t="str">
        <f>IFERROR(INDEX(Product_Structure[Product group],MATCH(Товары[[#This Row],[SubGroup]],Product_Structure[Subgroup],0)),"")</f>
        <v>AMT_C</v>
      </c>
      <c r="G370" s="113" t="str">
        <f>IFERROR(INDEX(Product_Structure[Product group name ENG],MATCH(Товары[[#This Row],[SubGroup]],Product_Structure[Subgroup],0)),"")</f>
        <v>Accessories, Manual, Tools</v>
      </c>
      <c r="H370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0" s="36">
        <v>9222</v>
      </c>
      <c r="J370" s="36" t="str">
        <f>IFERROR(INDEX(Product_Structure[Generic Name (long)],MATCH(Товары[[#This Row],[SubGroup]],Product_Structure[Subgroup],0)),"")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Row],[SubGroup]],DIY!$B:$C,2,FALSE),0)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3" t="str">
        <f>IFERROR(INDEX(Product_Structure[SuperCategory],MATCH(Товары[[#This Row],[SubGroup]],Product_Structure[Subgroup],0)),"")</f>
        <v>A</v>
      </c>
      <c r="D371" s="113" t="str">
        <f>IFERROR(INDEX(Product_Structure[SuperCategory Name ENG],MATCH(Товары[[#This Row],[SubGroup]],Product_Structure[Subgroup],0)),"")</f>
        <v>Hand&amp;Cutting tools, Accessories</v>
      </c>
      <c r="E37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1" s="113" t="str">
        <f>IFERROR(INDEX(Product_Structure[Product group],MATCH(Товары[[#This Row],[SubGroup]],Product_Structure[Subgroup],0)),"")</f>
        <v>AMT_C</v>
      </c>
      <c r="G371" s="113" t="str">
        <f>IFERROR(INDEX(Product_Structure[Product group name ENG],MATCH(Товары[[#This Row],[SubGroup]],Product_Structure[Subgroup],0)),"")</f>
        <v>Accessories, Manual, Tools</v>
      </c>
      <c r="H371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1" s="36">
        <v>9222</v>
      </c>
      <c r="J371" s="36" t="str">
        <f>IFERROR(INDEX(Product_Structure[Generic Name (long)],MATCH(Товары[[#This Row],[SubGroup]],Product_Structure[Subgroup],0)),"")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Row],[SubGroup]],DIY!$B:$C,2,FALSE),0)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3" t="str">
        <f>IFERROR(INDEX(Product_Structure[SuperCategory],MATCH(Товары[[#This Row],[SubGroup]],Product_Structure[Subgroup],0)),"")</f>
        <v>A</v>
      </c>
      <c r="D372" s="113" t="str">
        <f>IFERROR(INDEX(Product_Structure[SuperCategory Name ENG],MATCH(Товары[[#This Row],[SubGroup]],Product_Structure[Subgroup],0)),"")</f>
        <v>Hand&amp;Cutting tools, Accessories</v>
      </c>
      <c r="E37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2" s="113" t="str">
        <f>IFERROR(INDEX(Product_Structure[Product group],MATCH(Товары[[#This Row],[SubGroup]],Product_Structure[Subgroup],0)),"")</f>
        <v>AMT_C</v>
      </c>
      <c r="G372" s="113" t="str">
        <f>IFERROR(INDEX(Product_Structure[Product group name ENG],MATCH(Товары[[#This Row],[SubGroup]],Product_Structure[Subgroup],0)),"")</f>
        <v>Accessories, Manual, Tools</v>
      </c>
      <c r="H372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2" s="36">
        <v>9222</v>
      </c>
      <c r="J372" s="36" t="str">
        <f>IFERROR(INDEX(Product_Structure[Generic Name (long)],MATCH(Товары[[#This Row],[SubGroup]],Product_Structure[Subgroup],0)),"")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Row],[SubGroup]],DIY!$B:$C,2,FALSE),0)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3" t="str">
        <f>IFERROR(INDEX(Product_Structure[SuperCategory],MATCH(Товары[[#This Row],[SubGroup]],Product_Structure[Subgroup],0)),"")</f>
        <v>A</v>
      </c>
      <c r="D373" s="113" t="str">
        <f>IFERROR(INDEX(Product_Structure[SuperCategory Name ENG],MATCH(Товары[[#This Row],[SubGroup]],Product_Structure[Subgroup],0)),"")</f>
        <v>Hand&amp;Cutting tools, Accessories</v>
      </c>
      <c r="E37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3" s="113" t="str">
        <f>IFERROR(INDEX(Product_Structure[Product group],MATCH(Товары[[#This Row],[SubGroup]],Product_Structure[Subgroup],0)),"")</f>
        <v>AMT_C</v>
      </c>
      <c r="G373" s="113" t="str">
        <f>IFERROR(INDEX(Product_Structure[Product group name ENG],MATCH(Товары[[#This Row],[SubGroup]],Product_Structure[Subgroup],0)),"")</f>
        <v>Accessories, Manual, Tools</v>
      </c>
      <c r="H373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3" s="36">
        <v>9222</v>
      </c>
      <c r="J373" s="36" t="str">
        <f>IFERROR(INDEX(Product_Structure[Generic Name (long)],MATCH(Товары[[#This Row],[SubGroup]],Product_Structure[Subgroup],0)),"")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Row],[SubGroup]],DIY!$B:$C,2,FALSE),0)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3" t="str">
        <f>IFERROR(INDEX(Product_Structure[SuperCategory],MATCH(Товары[[#This Row],[SubGroup]],Product_Structure[Subgroup],0)),"")</f>
        <v>A</v>
      </c>
      <c r="D374" s="113" t="str">
        <f>IFERROR(INDEX(Product_Structure[SuperCategory Name ENG],MATCH(Товары[[#This Row],[SubGroup]],Product_Structure[Subgroup],0)),"")</f>
        <v>Hand&amp;Cutting tools, Accessories</v>
      </c>
      <c r="E37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4" s="113" t="str">
        <f>IFERROR(INDEX(Product_Structure[Product group],MATCH(Товары[[#This Row],[SubGroup]],Product_Structure[Subgroup],0)),"")</f>
        <v>AMT_C</v>
      </c>
      <c r="G374" s="113" t="str">
        <f>IFERROR(INDEX(Product_Structure[Product group name ENG],MATCH(Товары[[#This Row],[SubGroup]],Product_Structure[Subgroup],0)),"")</f>
        <v>Accessories, Manual, Tools</v>
      </c>
      <c r="H374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4" s="36">
        <v>9222</v>
      </c>
      <c r="J374" s="36" t="str">
        <f>IFERROR(INDEX(Product_Structure[Generic Name (long)],MATCH(Товары[[#This Row],[SubGroup]],Product_Structure[Subgroup],0)),"")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Row],[SubGroup]],DIY!$B:$C,2,FALSE),0)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3" t="str">
        <f>IFERROR(INDEX(Product_Structure[SuperCategory],MATCH(Товары[[#This Row],[SubGroup]],Product_Structure[Subgroup],0)),"")</f>
        <v>A</v>
      </c>
      <c r="D375" s="113" t="str">
        <f>IFERROR(INDEX(Product_Structure[SuperCategory Name ENG],MATCH(Товары[[#This Row],[SubGroup]],Product_Structure[Subgroup],0)),"")</f>
        <v>Hand&amp;Cutting tools, Accessories</v>
      </c>
      <c r="E37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5" s="113" t="str">
        <f>IFERROR(INDEX(Product_Structure[Product group],MATCH(Товары[[#This Row],[SubGroup]],Product_Structure[Subgroup],0)),"")</f>
        <v>AMT_C</v>
      </c>
      <c r="G375" s="113" t="str">
        <f>IFERROR(INDEX(Product_Structure[Product group name ENG],MATCH(Товары[[#This Row],[SubGroup]],Product_Structure[Subgroup],0)),"")</f>
        <v>Accessories, Manual, Tools</v>
      </c>
      <c r="H375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5" s="36">
        <v>9222</v>
      </c>
      <c r="J375" s="36" t="str">
        <f>IFERROR(INDEX(Product_Structure[Generic Name (long)],MATCH(Товары[[#This Row],[SubGroup]],Product_Structure[Subgroup],0)),"")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Row],[SubGroup]],DIY!$B:$C,2,FALSE),0)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3" t="str">
        <f>IFERROR(INDEX(Product_Structure[SuperCategory],MATCH(Товары[[#This Row],[SubGroup]],Product_Structure[Subgroup],0)),"")</f>
        <v>A</v>
      </c>
      <c r="D376" s="113" t="str">
        <f>IFERROR(INDEX(Product_Structure[SuperCategory Name ENG],MATCH(Товары[[#This Row],[SubGroup]],Product_Structure[Subgroup],0)),"")</f>
        <v>Hand&amp;Cutting tools, Accessories</v>
      </c>
      <c r="E37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6" s="113" t="str">
        <f>IFERROR(INDEX(Product_Structure[Product group],MATCH(Товары[[#This Row],[SubGroup]],Product_Structure[Subgroup],0)),"")</f>
        <v>AMT_C</v>
      </c>
      <c r="G376" s="113" t="str">
        <f>IFERROR(INDEX(Product_Structure[Product group name ENG],MATCH(Товары[[#This Row],[SubGroup]],Product_Structure[Subgroup],0)),"")</f>
        <v>Accessories, Manual, Tools</v>
      </c>
      <c r="H376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6" s="36">
        <v>9222</v>
      </c>
      <c r="J376" s="36" t="str">
        <f>IFERROR(INDEX(Product_Structure[Generic Name (long)],MATCH(Товары[[#This Row],[SubGroup]],Product_Structure[Subgroup],0)),"")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Row],[SubGroup]],DIY!$B:$C,2,FALSE),0)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3" t="str">
        <f>IFERROR(INDEX(Product_Structure[SuperCategory],MATCH(Товары[[#This Row],[SubGroup]],Product_Structure[Subgroup],0)),"")</f>
        <v>A</v>
      </c>
      <c r="D377" s="113" t="str">
        <f>IFERROR(INDEX(Product_Structure[SuperCategory Name ENG],MATCH(Товары[[#This Row],[SubGroup]],Product_Structure[Subgroup],0)),"")</f>
        <v>Hand&amp;Cutting tools, Accessories</v>
      </c>
      <c r="E37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7" s="113" t="str">
        <f>IFERROR(INDEX(Product_Structure[Product group],MATCH(Товары[[#This Row],[SubGroup]],Product_Structure[Subgroup],0)),"")</f>
        <v>AMT_C</v>
      </c>
      <c r="G377" s="113" t="str">
        <f>IFERROR(INDEX(Product_Structure[Product group name ENG],MATCH(Товары[[#This Row],[SubGroup]],Product_Structure[Subgroup],0)),"")</f>
        <v>Accessories, Manual, Tools</v>
      </c>
      <c r="H377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7" s="36">
        <v>9222</v>
      </c>
      <c r="J377" s="36" t="str">
        <f>IFERROR(INDEX(Product_Structure[Generic Name (long)],MATCH(Товары[[#This Row],[SubGroup]],Product_Structure[Subgroup],0)),"")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Row],[SubGroup]],DIY!$B:$C,2,FALSE),0)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3" t="str">
        <f>IFERROR(INDEX(Product_Structure[SuperCategory],MATCH(Товары[[#This Row],[SubGroup]],Product_Structure[Subgroup],0)),"")</f>
        <v>A</v>
      </c>
      <c r="D378" s="113" t="str">
        <f>IFERROR(INDEX(Product_Structure[SuperCategory Name ENG],MATCH(Товары[[#This Row],[SubGroup]],Product_Structure[Subgroup],0)),"")</f>
        <v>Hand&amp;Cutting tools, Accessories</v>
      </c>
      <c r="E37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8" s="113" t="str">
        <f>IFERROR(INDEX(Product_Structure[Product group],MATCH(Товары[[#This Row],[SubGroup]],Product_Structure[Subgroup],0)),"")</f>
        <v>AMT_C</v>
      </c>
      <c r="G378" s="113" t="str">
        <f>IFERROR(INDEX(Product_Structure[Product group name ENG],MATCH(Товары[[#This Row],[SubGroup]],Product_Structure[Subgroup],0)),"")</f>
        <v>Accessories, Manual, Tools</v>
      </c>
      <c r="H378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78" s="36">
        <v>9222</v>
      </c>
      <c r="J378" s="36" t="str">
        <f>IFERROR(INDEX(Product_Structure[Generic Name (long)],MATCH(Товары[[#This Row],[SubGroup]],Product_Structure[Subgroup],0)),"")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Row],[SubGroup]],DIY!$B:$C,2,FALSE),0)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3" t="str">
        <f>IFERROR(INDEX(Product_Structure[SuperCategory],MATCH(Товары[[#This Row],[SubGroup]],Product_Structure[Subgroup],0)),"")</f>
        <v>A</v>
      </c>
      <c r="D379" s="113" t="str">
        <f>IFERROR(INDEX(Product_Structure[SuperCategory Name ENG],MATCH(Товары[[#This Row],[SubGroup]],Product_Structure[Subgroup],0)),"")</f>
        <v>Hand&amp;Cutting tools, Accessories</v>
      </c>
      <c r="E37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79" s="113" t="str">
        <f>IFERROR(INDEX(Product_Structure[Product group],MATCH(Товары[[#This Row],[SubGroup]],Product_Structure[Subgroup],0)),"")</f>
        <v>AMT_C</v>
      </c>
      <c r="G379" s="113" t="str">
        <f>IFERROR(INDEX(Product_Structure[Product group name ENG],MATCH(Товары[[#This Row],[SubGroup]],Product_Structure[Subgroup],0)),"")</f>
        <v>Accessories, Manual, Tools</v>
      </c>
      <c r="H379" s="113" t="str">
        <f>IFERROR(INDEX(Product_Structure[Generic Name (long)3],MATCH(Товары[[#This Row],[SubGroup]],Product_Structure[Subgroup],0)),"")</f>
        <v>Ручные инструменты для уборки</v>
      </c>
      <c r="I379" s="36">
        <v>9223</v>
      </c>
      <c r="J379" s="36" t="str">
        <f>IFERROR(INDEX(Product_Structure[Generic Name (long)],MATCH(Товары[[#This Row],[SubGroup]],Product_Structure[Subgroup],0)),"")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Row],[SubGroup]],DIY!$B:$C,2,FALSE),0)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3" t="str">
        <f>IFERROR(INDEX(Product_Structure[SuperCategory],MATCH(Товары[[#This Row],[SubGroup]],Product_Structure[Subgroup],0)),"")</f>
        <v>A</v>
      </c>
      <c r="D380" s="113" t="str">
        <f>IFERROR(INDEX(Product_Structure[SuperCategory Name ENG],MATCH(Товары[[#This Row],[SubGroup]],Product_Structure[Subgroup],0)),"")</f>
        <v>Hand&amp;Cutting tools, Accessories</v>
      </c>
      <c r="E38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0" s="113" t="str">
        <f>IFERROR(INDEX(Product_Structure[Product group],MATCH(Товары[[#This Row],[SubGroup]],Product_Structure[Subgroup],0)),"")</f>
        <v>AMT_C</v>
      </c>
      <c r="G380" s="113" t="str">
        <f>IFERROR(INDEX(Product_Structure[Product group name ENG],MATCH(Товары[[#This Row],[SubGroup]],Product_Structure[Subgroup],0)),"")</f>
        <v>Accessories, Manual, Tools</v>
      </c>
      <c r="H380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80" s="36">
        <v>9222</v>
      </c>
      <c r="J380" s="36" t="str">
        <f>IFERROR(INDEX(Product_Structure[Generic Name (long)],MATCH(Товары[[#This Row],[SubGroup]],Product_Structure[Subgroup],0)),"")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Row],[SubGroup]],DIY!$B:$C,2,FALSE),0)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3" t="str">
        <f>IFERROR(INDEX(Product_Structure[SuperCategory],MATCH(Товары[[#This Row],[SubGroup]],Product_Structure[Subgroup],0)),"")</f>
        <v>A</v>
      </c>
      <c r="D381" s="113" t="str">
        <f>IFERROR(INDEX(Product_Structure[SuperCategory Name ENG],MATCH(Товары[[#This Row],[SubGroup]],Product_Structure[Subgroup],0)),"")</f>
        <v>Hand&amp;Cutting tools, Accessories</v>
      </c>
      <c r="E38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1" s="113" t="str">
        <f>IFERROR(INDEX(Product_Structure[Product group],MATCH(Товары[[#This Row],[SubGroup]],Product_Structure[Subgroup],0)),"")</f>
        <v>AMT_C</v>
      </c>
      <c r="G381" s="113" t="str">
        <f>IFERROR(INDEX(Product_Structure[Product group name ENG],MATCH(Товары[[#This Row],[SubGroup]],Product_Structure[Subgroup],0)),"")</f>
        <v>Accessories, Manual, Tools</v>
      </c>
      <c r="H381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81" s="36">
        <v>9222</v>
      </c>
      <c r="J381" s="36" t="str">
        <f>IFERROR(INDEX(Product_Structure[Generic Name (long)],MATCH(Товары[[#This Row],[SubGroup]],Product_Structure[Subgroup],0)),"")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Row],[SubGroup]],DIY!$B:$C,2,FALSE),0)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3" t="str">
        <f>IFERROR(INDEX(Product_Structure[SuperCategory],MATCH(Товары[[#This Row],[SubGroup]],Product_Structure[Subgroup],0)),"")</f>
        <v>A</v>
      </c>
      <c r="D382" s="113" t="str">
        <f>IFERROR(INDEX(Product_Structure[SuperCategory Name ENG],MATCH(Товары[[#This Row],[SubGroup]],Product_Structure[Subgroup],0)),"")</f>
        <v>Hand&amp;Cutting tools, Accessories</v>
      </c>
      <c r="E38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2" s="113" t="str">
        <f>IFERROR(INDEX(Product_Structure[Product group],MATCH(Товары[[#This Row],[SubGroup]],Product_Structure[Subgroup],0)),"")</f>
        <v>AMT_C</v>
      </c>
      <c r="G382" s="113" t="str">
        <f>IFERROR(INDEX(Product_Structure[Product group name ENG],MATCH(Товары[[#This Row],[SubGroup]],Product_Structure[Subgroup],0)),"")</f>
        <v>Accessories, Manual, Tools</v>
      </c>
      <c r="H382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382" s="36">
        <v>9222</v>
      </c>
      <c r="J382" s="36" t="str">
        <f>IFERROR(INDEX(Product_Structure[Generic Name (long)],MATCH(Товары[[#This Row],[SubGroup]],Product_Structure[Subgroup],0)),"")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Row],[SubGroup]],DIY!$B:$C,2,FALSE),0)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3" t="str">
        <f>IFERROR(INDEX(Product_Structure[SuperCategory],MATCH(Товары[[#This Row],[SubGroup]],Product_Structure[Subgroup],0)),"")</f>
        <v>A</v>
      </c>
      <c r="D383" s="113" t="str">
        <f>IFERROR(INDEX(Product_Structure[SuperCategory Name ENG],MATCH(Товары[[#This Row],[SubGroup]],Product_Structure[Subgroup],0)),"")</f>
        <v>Hand&amp;Cutting tools, Accessories</v>
      </c>
      <c r="E38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3" s="113" t="str">
        <f>IFERROR(INDEX(Product_Structure[Product group],MATCH(Товары[[#This Row],[SubGroup]],Product_Structure[Subgroup],0)),"")</f>
        <v>AMT_C</v>
      </c>
      <c r="G383" s="113" t="str">
        <f>IFERROR(INDEX(Product_Structure[Product group name ENG],MATCH(Товары[[#This Row],[SubGroup]],Product_Structure[Subgroup],0)),"")</f>
        <v>Accessories, Manual, Tools</v>
      </c>
      <c r="H383" s="113" t="str">
        <f>IFERROR(INDEX(Product_Structure[Generic Name (long)3],MATCH(Товары[[#This Row],[SubGroup]],Product_Structure[Subgroup],0)),"")</f>
        <v>Ручные инструменты для уборки</v>
      </c>
      <c r="I383" s="36">
        <v>9223</v>
      </c>
      <c r="J383" s="36" t="str">
        <f>IFERROR(INDEX(Product_Structure[Generic Name (long)],MATCH(Товары[[#This Row],[SubGroup]],Product_Structure[Subgroup],0)),"")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Row],[SubGroup]],DIY!$B:$C,2,FALSE),0)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3" t="str">
        <f>IFERROR(INDEX(Product_Structure[SuperCategory],MATCH(Товары[[#This Row],[SubGroup]],Product_Structure[Subgroup],0)),"")</f>
        <v>A</v>
      </c>
      <c r="D384" s="113" t="str">
        <f>IFERROR(INDEX(Product_Structure[SuperCategory Name ENG],MATCH(Товары[[#This Row],[SubGroup]],Product_Structure[Subgroup],0)),"")</f>
        <v>Hand&amp;Cutting tools, Accessories</v>
      </c>
      <c r="E38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4" s="113" t="str">
        <f>IFERROR(INDEX(Product_Structure[Product group],MATCH(Товары[[#This Row],[SubGroup]],Product_Structure[Subgroup],0)),"")</f>
        <v>AMT_C</v>
      </c>
      <c r="G384" s="113" t="str">
        <f>IFERROR(INDEX(Product_Structure[Product group name ENG],MATCH(Товары[[#This Row],[SubGroup]],Product_Structure[Subgroup],0)),"")</f>
        <v>Accessories, Manual, Tools</v>
      </c>
      <c r="H384" s="113" t="str">
        <f>IFERROR(INDEX(Product_Structure[Generic Name (long)3],MATCH(Товары[[#This Row],[SubGroup]],Product_Structure[Subgroup],0)),"")</f>
        <v>Ручные инструменты для уборки</v>
      </c>
      <c r="I384" s="36">
        <v>9223</v>
      </c>
      <c r="J384" s="36" t="str">
        <f>IFERROR(INDEX(Product_Structure[Generic Name (long)],MATCH(Товары[[#This Row],[SubGroup]],Product_Structure[Subgroup],0)),"")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Row],[SubGroup]],DIY!$B:$C,2,FALSE),0)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3" t="str">
        <f>IFERROR(INDEX(Product_Structure[SuperCategory],MATCH(Товары[[#This Row],[SubGroup]],Product_Structure[Subgroup],0)),"")</f>
        <v>A</v>
      </c>
      <c r="D385" s="113" t="str">
        <f>IFERROR(INDEX(Product_Structure[SuperCategory Name ENG],MATCH(Товары[[#This Row],[SubGroup]],Product_Structure[Subgroup],0)),"")</f>
        <v>Hand&amp;Cutting tools, Accessories</v>
      </c>
      <c r="E38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5" s="113" t="str">
        <f>IFERROR(INDEX(Product_Structure[Product group],MATCH(Товары[[#This Row],[SubGroup]],Product_Structure[Subgroup],0)),"")</f>
        <v>AMT_C</v>
      </c>
      <c r="G385" s="113" t="str">
        <f>IFERROR(INDEX(Product_Structure[Product group name ENG],MATCH(Товары[[#This Row],[SubGroup]],Product_Structure[Subgroup],0)),"")</f>
        <v>Accessories, Manual, Tools</v>
      </c>
      <c r="H385" s="113" t="str">
        <f>IFERROR(INDEX(Product_Structure[Generic Name (long)3],MATCH(Товары[[#This Row],[SubGroup]],Product_Structure[Subgroup],0)),"")</f>
        <v>Ручные инструменты для уборки</v>
      </c>
      <c r="I385" s="36">
        <v>9223</v>
      </c>
      <c r="J385" s="36" t="str">
        <f>IFERROR(INDEX(Product_Structure[Generic Name (long)],MATCH(Товары[[#This Row],[SubGroup]],Product_Structure[Subgroup],0)),"")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Row],[SubGroup]],DIY!$B:$C,2,FALSE),0)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3" t="str">
        <f>IFERROR(INDEX(Product_Structure[SuperCategory],MATCH(Товары[[#This Row],[SubGroup]],Product_Structure[Subgroup],0)),"")</f>
        <v>A</v>
      </c>
      <c r="D386" s="113" t="str">
        <f>IFERROR(INDEX(Product_Structure[SuperCategory Name ENG],MATCH(Товары[[#This Row],[SubGroup]],Product_Structure[Subgroup],0)),"")</f>
        <v>Hand&amp;Cutting tools, Accessories</v>
      </c>
      <c r="E38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6" s="113" t="str">
        <f>IFERROR(INDEX(Product_Structure[Product group],MATCH(Товары[[#This Row],[SubGroup]],Product_Structure[Subgroup],0)),"")</f>
        <v>AMT_C</v>
      </c>
      <c r="G386" s="113" t="str">
        <f>IFERROR(INDEX(Product_Structure[Product group name ENG],MATCH(Товары[[#This Row],[SubGroup]],Product_Structure[Subgroup],0)),"")</f>
        <v>Accessories, Manual, Tools</v>
      </c>
      <c r="H386" s="113" t="str">
        <f>IFERROR(INDEX(Product_Structure[Generic Name (long)3],MATCH(Товары[[#This Row],[SubGroup]],Product_Structure[Subgroup],0)),"")</f>
        <v>Ручные инструменты для уборки</v>
      </c>
      <c r="I386" s="36">
        <v>9223</v>
      </c>
      <c r="J386" s="36" t="str">
        <f>IFERROR(INDEX(Product_Structure[Generic Name (long)],MATCH(Товары[[#This Row],[SubGroup]],Product_Structure[Subgroup],0)),"")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Row],[SubGroup]],DIY!$B:$C,2,FALSE),0)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3" t="str">
        <f>IFERROR(INDEX(Product_Structure[SuperCategory],MATCH(Товары[[#This Row],[SubGroup]],Product_Structure[Subgroup],0)),"")</f>
        <v>A</v>
      </c>
      <c r="D387" s="113" t="str">
        <f>IFERROR(INDEX(Product_Structure[SuperCategory Name ENG],MATCH(Товары[[#This Row],[SubGroup]],Product_Structure[Subgroup],0)),"")</f>
        <v>Hand&amp;Cutting tools, Accessories</v>
      </c>
      <c r="E38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7" s="113" t="str">
        <f>IFERROR(INDEX(Product_Structure[Product group],MATCH(Товары[[#This Row],[SubGroup]],Product_Structure[Subgroup],0)),"")</f>
        <v>AMT_C</v>
      </c>
      <c r="G387" s="113" t="str">
        <f>IFERROR(INDEX(Product_Structure[Product group name ENG],MATCH(Товары[[#This Row],[SubGroup]],Product_Structure[Subgroup],0)),"")</f>
        <v>Accessories, Manual, Tools</v>
      </c>
      <c r="H387" s="113" t="str">
        <f>IFERROR(INDEX(Product_Structure[Generic Name (long)3],MATCH(Товары[[#This Row],[SubGroup]],Product_Structure[Subgroup],0)),"")</f>
        <v>Ручные инструменты для уборки</v>
      </c>
      <c r="I387" s="36">
        <v>9223</v>
      </c>
      <c r="J387" s="36" t="str">
        <f>IFERROR(INDEX(Product_Structure[Generic Name (long)],MATCH(Товары[[#This Row],[SubGroup]],Product_Structure[Subgroup],0)),"")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Row],[SubGroup]],DIY!$B:$C,2,FALSE),0)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3" t="str">
        <f>IFERROR(INDEX(Product_Structure[SuperCategory],MATCH(Товары[[#This Row],[SubGroup]],Product_Structure[Subgroup],0)),"")</f>
        <v>A</v>
      </c>
      <c r="D388" s="113" t="str">
        <f>IFERROR(INDEX(Product_Structure[SuperCategory Name ENG],MATCH(Товары[[#This Row],[SubGroup]],Product_Structure[Subgroup],0)),"")</f>
        <v>Hand&amp;Cutting tools, Accessories</v>
      </c>
      <c r="E38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8" s="113" t="str">
        <f>IFERROR(INDEX(Product_Structure[Product group],MATCH(Товары[[#This Row],[SubGroup]],Product_Structure[Subgroup],0)),"")</f>
        <v>AMT_C</v>
      </c>
      <c r="G388" s="113" t="str">
        <f>IFERROR(INDEX(Product_Structure[Product group name ENG],MATCH(Товары[[#This Row],[SubGroup]],Product_Structure[Subgroup],0)),"")</f>
        <v>Accessories, Manual, Tools</v>
      </c>
      <c r="H388" s="113" t="str">
        <f>IFERROR(INDEX(Product_Structure[Generic Name (long)3],MATCH(Товары[[#This Row],[SubGroup]],Product_Structure[Subgroup],0)),"")</f>
        <v>Ручные инструменты для уборки</v>
      </c>
      <c r="I388" s="36">
        <v>9223</v>
      </c>
      <c r="J388" s="36" t="str">
        <f>IFERROR(INDEX(Product_Structure[Generic Name (long)],MATCH(Товары[[#This Row],[SubGroup]],Product_Structure[Subgroup],0)),"")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Row],[SubGroup]],DIY!$B:$C,2,FALSE),0)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3" t="str">
        <f>IFERROR(INDEX(Product_Structure[SuperCategory],MATCH(Товары[[#This Row],[SubGroup]],Product_Structure[Subgroup],0)),"")</f>
        <v>A</v>
      </c>
      <c r="D389" s="113" t="str">
        <f>IFERROR(INDEX(Product_Structure[SuperCategory Name ENG],MATCH(Товары[[#This Row],[SubGroup]],Product_Structure[Subgroup],0)),"")</f>
        <v>Hand&amp;Cutting tools, Accessories</v>
      </c>
      <c r="E38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89" s="113" t="str">
        <f>IFERROR(INDEX(Product_Structure[Product group],MATCH(Товары[[#This Row],[SubGroup]],Product_Structure[Subgroup],0)),"")</f>
        <v>AMT_C</v>
      </c>
      <c r="G389" s="113" t="str">
        <f>IFERROR(INDEX(Product_Structure[Product group name ENG],MATCH(Товары[[#This Row],[SubGroup]],Product_Structure[Subgroup],0)),"")</f>
        <v>Accessories, Manual, Tools</v>
      </c>
      <c r="H389" s="113" t="str">
        <f>IFERROR(INDEX(Product_Structure[Generic Name (long)3],MATCH(Товары[[#This Row],[SubGroup]],Product_Structure[Subgroup],0)),"")</f>
        <v>Ручные инструменты для уборки</v>
      </c>
      <c r="I389" s="36">
        <v>9223</v>
      </c>
      <c r="J389" s="36" t="str">
        <f>IFERROR(INDEX(Product_Structure[Generic Name (long)],MATCH(Товары[[#This Row],[SubGroup]],Product_Structure[Subgroup],0)),"")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Row],[SubGroup]],DIY!$B:$C,2,FALSE),0)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3" t="str">
        <f>IFERROR(INDEX(Product_Structure[SuperCategory],MATCH(Товары[[#This Row],[SubGroup]],Product_Structure[Subgroup],0)),"")</f>
        <v>A</v>
      </c>
      <c r="D390" s="113" t="str">
        <f>IFERROR(INDEX(Product_Structure[SuperCategory Name ENG],MATCH(Товары[[#This Row],[SubGroup]],Product_Structure[Subgroup],0)),"")</f>
        <v>Hand&amp;Cutting tools, Accessories</v>
      </c>
      <c r="E39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0" s="113" t="str">
        <f>IFERROR(INDEX(Product_Structure[Product group],MATCH(Товары[[#This Row],[SubGroup]],Product_Structure[Subgroup],0)),"")</f>
        <v>AMT_C</v>
      </c>
      <c r="G390" s="113" t="str">
        <f>IFERROR(INDEX(Product_Structure[Product group name ENG],MATCH(Товары[[#This Row],[SubGroup]],Product_Structure[Subgroup],0)),"")</f>
        <v>Accessories, Manual, Tools</v>
      </c>
      <c r="H390" s="113" t="str">
        <f>IFERROR(INDEX(Product_Structure[Generic Name (long)3],MATCH(Товары[[#This Row],[SubGroup]],Product_Structure[Subgroup],0)),"")</f>
        <v>Ручные инструменты для уборки</v>
      </c>
      <c r="I390" s="36">
        <v>9223</v>
      </c>
      <c r="J390" s="36" t="str">
        <f>IFERROR(INDEX(Product_Structure[Generic Name (long)],MATCH(Товары[[#This Row],[SubGroup]],Product_Structure[Subgroup],0)),"")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Row],[SubGroup]],DIY!$B:$C,2,FALSE),0)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3" t="str">
        <f>IFERROR(INDEX(Product_Structure[SuperCategory],MATCH(Товары[[#This Row],[SubGroup]],Product_Structure[Subgroup],0)),"")</f>
        <v>A</v>
      </c>
      <c r="D391" s="113" t="str">
        <f>IFERROR(INDEX(Product_Structure[SuperCategory Name ENG],MATCH(Товары[[#This Row],[SubGroup]],Product_Structure[Subgroup],0)),"")</f>
        <v>Hand&amp;Cutting tools, Accessories</v>
      </c>
      <c r="E39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1" s="113" t="str">
        <f>IFERROR(INDEX(Product_Structure[Product group],MATCH(Товары[[#This Row],[SubGroup]],Product_Structure[Subgroup],0)),"")</f>
        <v>AMT_C</v>
      </c>
      <c r="G391" s="113" t="str">
        <f>IFERROR(INDEX(Product_Structure[Product group name ENG],MATCH(Товары[[#This Row],[SubGroup]],Product_Structure[Subgroup],0)),"")</f>
        <v>Accessories, Manual, Tools</v>
      </c>
      <c r="H391" s="113" t="str">
        <f>IFERROR(INDEX(Product_Structure[Generic Name (long)3],MATCH(Товары[[#This Row],[SubGroup]],Product_Structure[Subgroup],0)),"")</f>
        <v>Ручные инструменты для уборки</v>
      </c>
      <c r="I391" s="36">
        <v>9223</v>
      </c>
      <c r="J391" s="36" t="str">
        <f>IFERROR(INDEX(Product_Structure[Generic Name (long)],MATCH(Товары[[#This Row],[SubGroup]],Product_Structure[Subgroup],0)),"")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Row],[SubGroup]],DIY!$B:$C,2,FALSE),0)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3" t="str">
        <f>IFERROR(INDEX(Product_Structure[SuperCategory],MATCH(Товары[[#This Row],[SubGroup]],Product_Structure[Subgroup],0)),"")</f>
        <v>A</v>
      </c>
      <c r="D392" s="113" t="str">
        <f>IFERROR(INDEX(Product_Structure[SuperCategory Name ENG],MATCH(Товары[[#This Row],[SubGroup]],Product_Structure[Subgroup],0)),"")</f>
        <v>Hand&amp;Cutting tools, Accessories</v>
      </c>
      <c r="E39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2" s="113" t="str">
        <f>IFERROR(INDEX(Product_Structure[Product group],MATCH(Товары[[#This Row],[SubGroup]],Product_Structure[Subgroup],0)),"")</f>
        <v>AMT_C</v>
      </c>
      <c r="G392" s="113" t="str">
        <f>IFERROR(INDEX(Product_Structure[Product group name ENG],MATCH(Товары[[#This Row],[SubGroup]],Product_Structure[Subgroup],0)),"")</f>
        <v>Accessories, Manual, Tools</v>
      </c>
      <c r="H392" s="113" t="str">
        <f>IFERROR(INDEX(Product_Structure[Generic Name (long)3],MATCH(Товары[[#This Row],[SubGroup]],Product_Structure[Subgroup],0)),"")</f>
        <v>Ручные инструменты для уборки</v>
      </c>
      <c r="I392" s="36">
        <v>9223</v>
      </c>
      <c r="J392" s="36" t="str">
        <f>IFERROR(INDEX(Product_Structure[Generic Name (long)],MATCH(Товары[[#This Row],[SubGroup]],Product_Structure[Subgroup],0)),"")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Row],[SubGroup]],DIY!$B:$C,2,FALSE),0)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3" t="str">
        <f>IFERROR(INDEX(Product_Structure[SuperCategory],MATCH(Товары[[#This Row],[SubGroup]],Product_Structure[Subgroup],0)),"")</f>
        <v>A</v>
      </c>
      <c r="D393" s="113" t="str">
        <f>IFERROR(INDEX(Product_Structure[SuperCategory Name ENG],MATCH(Товары[[#This Row],[SubGroup]],Product_Structure[Subgroup],0)),"")</f>
        <v>Hand&amp;Cutting tools, Accessories</v>
      </c>
      <c r="E39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3" s="113" t="str">
        <f>IFERROR(INDEX(Product_Structure[Product group],MATCH(Товары[[#This Row],[SubGroup]],Product_Structure[Subgroup],0)),"")</f>
        <v>AMT_C</v>
      </c>
      <c r="G393" s="113" t="str">
        <f>IFERROR(INDEX(Product_Structure[Product group name ENG],MATCH(Товары[[#This Row],[SubGroup]],Product_Structure[Subgroup],0)),"")</f>
        <v>Accessories, Manual, Tools</v>
      </c>
      <c r="H393" s="113" t="str">
        <f>IFERROR(INDEX(Product_Structure[Generic Name (long)3],MATCH(Товары[[#This Row],[SubGroup]],Product_Structure[Subgroup],0)),"")</f>
        <v>Ручные инструменты для уборки</v>
      </c>
      <c r="I393" s="36">
        <v>9223</v>
      </c>
      <c r="J393" s="36" t="str">
        <f>IFERROR(INDEX(Product_Structure[Generic Name (long)],MATCH(Товары[[#This Row],[SubGroup]],Product_Structure[Subgroup],0)),"")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Row],[SubGroup]],DIY!$B:$C,2,FALSE),0)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3" t="str">
        <f>IFERROR(INDEX(Product_Structure[SuperCategory],MATCH(Товары[[#This Row],[SubGroup]],Product_Structure[Subgroup],0)),"")</f>
        <v>A</v>
      </c>
      <c r="D394" s="113" t="str">
        <f>IFERROR(INDEX(Product_Structure[SuperCategory Name ENG],MATCH(Товары[[#This Row],[SubGroup]],Product_Structure[Subgroup],0)),"")</f>
        <v>Hand&amp;Cutting tools, Accessories</v>
      </c>
      <c r="E39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4" s="113" t="str">
        <f>IFERROR(INDEX(Product_Structure[Product group],MATCH(Товары[[#This Row],[SubGroup]],Product_Structure[Subgroup],0)),"")</f>
        <v>AMT_C</v>
      </c>
      <c r="G394" s="113" t="str">
        <f>IFERROR(INDEX(Product_Structure[Product group name ENG],MATCH(Товары[[#This Row],[SubGroup]],Product_Structure[Subgroup],0)),"")</f>
        <v>Accessories, Manual, Tools</v>
      </c>
      <c r="H394" s="113" t="str">
        <f>IFERROR(INDEX(Product_Structure[Generic Name (long)3],MATCH(Товары[[#This Row],[SubGroup]],Product_Structure[Subgroup],0)),"")</f>
        <v>Ручные инструменты для уборки</v>
      </c>
      <c r="I394" s="36">
        <v>9223</v>
      </c>
      <c r="J394" s="36" t="str">
        <f>IFERROR(INDEX(Product_Structure[Generic Name (long)],MATCH(Товары[[#This Row],[SubGroup]],Product_Structure[Subgroup],0)),"")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Row],[SubGroup]],DIY!$B:$C,2,FALSE),0)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3" t="str">
        <f>IFERROR(INDEX(Product_Structure[SuperCategory],MATCH(Товары[[#This Row],[SubGroup]],Product_Structure[Subgroup],0)),"")</f>
        <v>A</v>
      </c>
      <c r="D395" s="113" t="str">
        <f>IFERROR(INDEX(Product_Structure[SuperCategory Name ENG],MATCH(Товары[[#This Row],[SubGroup]],Product_Structure[Subgroup],0)),"")</f>
        <v>Hand&amp;Cutting tools, Accessories</v>
      </c>
      <c r="E39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5" s="113" t="str">
        <f>IFERROR(INDEX(Product_Structure[Product group],MATCH(Товары[[#This Row],[SubGroup]],Product_Structure[Subgroup],0)),"")</f>
        <v>AMT_C</v>
      </c>
      <c r="G395" s="113" t="str">
        <f>IFERROR(INDEX(Product_Structure[Product group name ENG],MATCH(Товары[[#This Row],[SubGroup]],Product_Structure[Subgroup],0)),"")</f>
        <v>Accessories, Manual, Tools</v>
      </c>
      <c r="H395" s="113" t="str">
        <f>IFERROR(INDEX(Product_Structure[Generic Name (long)3],MATCH(Товары[[#This Row],[SubGroup]],Product_Structure[Subgroup],0)),"")</f>
        <v>Зимние ручные инструменты</v>
      </c>
      <c r="I395" s="36">
        <v>9224</v>
      </c>
      <c r="J395" s="36" t="str">
        <f>IFERROR(INDEX(Product_Structure[Generic Name (long)],MATCH(Товары[[#This Row],[SubGroup]],Product_Structure[Subgroup],0)),"")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Row],[SubGroup]],DIY!$B:$C,2,FALSE),0)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3" t="str">
        <f>IFERROR(INDEX(Product_Structure[SuperCategory],MATCH(Товары[[#This Row],[SubGroup]],Product_Structure[Subgroup],0)),"")</f>
        <v>A</v>
      </c>
      <c r="D396" s="113" t="str">
        <f>IFERROR(INDEX(Product_Structure[SuperCategory Name ENG],MATCH(Товары[[#This Row],[SubGroup]],Product_Structure[Subgroup],0)),"")</f>
        <v>Hand&amp;Cutting tools, Accessories</v>
      </c>
      <c r="E39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6" s="113" t="str">
        <f>IFERROR(INDEX(Product_Structure[Product group],MATCH(Товары[[#This Row],[SubGroup]],Product_Structure[Subgroup],0)),"")</f>
        <v>AMT_C</v>
      </c>
      <c r="G396" s="113" t="str">
        <f>IFERROR(INDEX(Product_Structure[Product group name ENG],MATCH(Товары[[#This Row],[SubGroup]],Product_Structure[Subgroup],0)),"")</f>
        <v>Accessories, Manual, Tools</v>
      </c>
      <c r="H396" s="113" t="str">
        <f>IFERROR(INDEX(Product_Structure[Generic Name (long)3],MATCH(Товары[[#This Row],[SubGroup]],Product_Structure[Subgroup],0)),"")</f>
        <v>Зимние ручные инструменты</v>
      </c>
      <c r="I396" s="36">
        <v>9224</v>
      </c>
      <c r="J396" s="36" t="str">
        <f>IFERROR(INDEX(Product_Structure[Generic Name (long)],MATCH(Товары[[#This Row],[SubGroup]],Product_Structure[Subgroup],0)),"")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Row],[SubGroup]],DIY!$B:$C,2,FALSE),0)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3" t="str">
        <f>IFERROR(INDEX(Product_Structure[SuperCategory],MATCH(Товары[[#This Row],[SubGroup]],Product_Structure[Subgroup],0)),"")</f>
        <v>A</v>
      </c>
      <c r="D397" s="113" t="str">
        <f>IFERROR(INDEX(Product_Structure[SuperCategory Name ENG],MATCH(Товары[[#This Row],[SubGroup]],Product_Structure[Subgroup],0)),"")</f>
        <v>Hand&amp;Cutting tools, Accessories</v>
      </c>
      <c r="E39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7" s="113" t="str">
        <f>IFERROR(INDEX(Product_Structure[Product group],MATCH(Товары[[#This Row],[SubGroup]],Product_Structure[Subgroup],0)),"")</f>
        <v>AMT_C</v>
      </c>
      <c r="G397" s="113" t="str">
        <f>IFERROR(INDEX(Product_Structure[Product group name ENG],MATCH(Товары[[#This Row],[SubGroup]],Product_Structure[Subgroup],0)),"")</f>
        <v>Accessories, Manual, Tools</v>
      </c>
      <c r="H397" s="113" t="str">
        <f>IFERROR(INDEX(Product_Structure[Generic Name (long)3],MATCH(Товары[[#This Row],[SubGroup]],Product_Structure[Subgroup],0)),"")</f>
        <v>Зимние ручные инструменты</v>
      </c>
      <c r="I397" s="36">
        <v>9224</v>
      </c>
      <c r="J397" s="36" t="str">
        <f>IFERROR(INDEX(Product_Structure[Generic Name (long)],MATCH(Товары[[#This Row],[SubGroup]],Product_Structure[Subgroup],0)),"")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Row],[SubGroup]],DIY!$B:$C,2,FALSE),0)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3" t="str">
        <f>IFERROR(INDEX(Product_Structure[SuperCategory],MATCH(Товары[[#This Row],[SubGroup]],Product_Structure[Subgroup],0)),"")</f>
        <v>A</v>
      </c>
      <c r="D398" s="113" t="str">
        <f>IFERROR(INDEX(Product_Structure[SuperCategory Name ENG],MATCH(Товары[[#This Row],[SubGroup]],Product_Structure[Subgroup],0)),"")</f>
        <v>Hand&amp;Cutting tools, Accessories</v>
      </c>
      <c r="E39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8" s="113" t="str">
        <f>IFERROR(INDEX(Product_Structure[Product group],MATCH(Товары[[#This Row],[SubGroup]],Product_Structure[Subgroup],0)),"")</f>
        <v>AMT_C</v>
      </c>
      <c r="G398" s="113" t="str">
        <f>IFERROR(INDEX(Product_Structure[Product group name ENG],MATCH(Товары[[#This Row],[SubGroup]],Product_Structure[Subgroup],0)),"")</f>
        <v>Accessories, Manual, Tools</v>
      </c>
      <c r="H398" s="113" t="str">
        <f>IFERROR(INDEX(Product_Structure[Generic Name (long)3],MATCH(Товары[[#This Row],[SubGroup]],Product_Structure[Subgroup],0)),"")</f>
        <v>Зимние ручные инструменты</v>
      </c>
      <c r="I398" s="36">
        <v>9224</v>
      </c>
      <c r="J398" s="36" t="str">
        <f>IFERROR(INDEX(Product_Structure[Generic Name (long)],MATCH(Товары[[#This Row],[SubGroup]],Product_Structure[Subgroup],0)),"")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Row],[SubGroup]],DIY!$B:$C,2,FALSE),0)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3" t="str">
        <f>IFERROR(INDEX(Product_Structure[SuperCategory],MATCH(Товары[[#This Row],[SubGroup]],Product_Structure[Subgroup],0)),"")</f>
        <v>A</v>
      </c>
      <c r="D399" s="113" t="str">
        <f>IFERROR(INDEX(Product_Structure[SuperCategory Name ENG],MATCH(Товары[[#This Row],[SubGroup]],Product_Structure[Subgroup],0)),"")</f>
        <v>Hand&amp;Cutting tools, Accessories</v>
      </c>
      <c r="E39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399" s="113" t="str">
        <f>IFERROR(INDEX(Product_Structure[Product group],MATCH(Товары[[#This Row],[SubGroup]],Product_Structure[Subgroup],0)),"")</f>
        <v>AMT_C</v>
      </c>
      <c r="G399" s="113" t="str">
        <f>IFERROR(INDEX(Product_Structure[Product group name ENG],MATCH(Товары[[#This Row],[SubGroup]],Product_Structure[Subgroup],0)),"")</f>
        <v>Accessories, Manual, Tools</v>
      </c>
      <c r="H399" s="113" t="str">
        <f>IFERROR(INDEX(Product_Structure[Generic Name (long)3],MATCH(Товары[[#This Row],[SubGroup]],Product_Structure[Subgroup],0)),"")</f>
        <v>Зимние ручные инструменты</v>
      </c>
      <c r="I399" s="36">
        <v>9224</v>
      </c>
      <c r="J399" s="36" t="str">
        <f>IFERROR(INDEX(Product_Structure[Generic Name (long)],MATCH(Товары[[#This Row],[SubGroup]],Product_Structure[Subgroup],0)),"")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Row],[SubGroup]],DIY!$B:$C,2,FALSE),0)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3" t="str">
        <f>IFERROR(INDEX(Product_Structure[SuperCategory],MATCH(Товары[[#This Row],[SubGroup]],Product_Structure[Subgroup],0)),"")</f>
        <v>A</v>
      </c>
      <c r="D400" s="113" t="str">
        <f>IFERROR(INDEX(Product_Structure[SuperCategory Name ENG],MATCH(Товары[[#This Row],[SubGroup]],Product_Structure[Subgroup],0)),"")</f>
        <v>Hand&amp;Cutting tools, Accessories</v>
      </c>
      <c r="E40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0" s="113" t="str">
        <f>IFERROR(INDEX(Product_Structure[Product group],MATCH(Товары[[#This Row],[SubGroup]],Product_Structure[Subgroup],0)),"")</f>
        <v>AMT_C</v>
      </c>
      <c r="G400" s="113" t="str">
        <f>IFERROR(INDEX(Product_Structure[Product group name ENG],MATCH(Товары[[#This Row],[SubGroup]],Product_Structure[Subgroup],0)),"")</f>
        <v>Accessories, Manual, Tools</v>
      </c>
      <c r="H400" s="113" t="str">
        <f>IFERROR(INDEX(Product_Structure[Generic Name (long)3],MATCH(Товары[[#This Row],[SubGroup]],Product_Structure[Subgroup],0)),"")</f>
        <v>Зимние ручные инструменты</v>
      </c>
      <c r="I400" s="36">
        <v>9224</v>
      </c>
      <c r="J400" s="36" t="str">
        <f>IFERROR(INDEX(Product_Structure[Generic Name (long)],MATCH(Товары[[#This Row],[SubGroup]],Product_Structure[Subgroup],0)),"")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Row],[SubGroup]],DIY!$B:$C,2,FALSE),0)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3" t="str">
        <f>IFERROR(INDEX(Product_Structure[SuperCategory],MATCH(Товары[[#This Row],[SubGroup]],Product_Structure[Subgroup],0)),"")</f>
        <v>A</v>
      </c>
      <c r="D401" s="113" t="str">
        <f>IFERROR(INDEX(Product_Structure[SuperCategory Name ENG],MATCH(Товары[[#This Row],[SubGroup]],Product_Structure[Subgroup],0)),"")</f>
        <v>Hand&amp;Cutting tools, Accessories</v>
      </c>
      <c r="E40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1" s="113" t="str">
        <f>IFERROR(INDEX(Product_Structure[Product group],MATCH(Товары[[#This Row],[SubGroup]],Product_Structure[Subgroup],0)),"")</f>
        <v>AMT_C</v>
      </c>
      <c r="G401" s="113" t="str">
        <f>IFERROR(INDEX(Product_Structure[Product group name ENG],MATCH(Товары[[#This Row],[SubGroup]],Product_Structure[Subgroup],0)),"")</f>
        <v>Accessories, Manual, Tools</v>
      </c>
      <c r="H401" s="113" t="str">
        <f>IFERROR(INDEX(Product_Structure[Generic Name (long)3],MATCH(Товары[[#This Row],[SubGroup]],Product_Structure[Subgroup],0)),"")</f>
        <v>Разбрасыватели-сеялки для зимы</v>
      </c>
      <c r="I401" s="36">
        <v>9225</v>
      </c>
      <c r="J401" s="36" t="str">
        <f>IFERROR(INDEX(Product_Structure[Generic Name (long)],MATCH(Товары[[#This Row],[SubGroup]],Product_Structure[Subgroup],0)),"")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Row],[SubGroup]],DIY!$B:$C,2,FALSE),0)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3" t="str">
        <f>IFERROR(INDEX(Product_Structure[SuperCategory],MATCH(Товары[[#This Row],[SubGroup]],Product_Structure[Subgroup],0)),"")</f>
        <v>A</v>
      </c>
      <c r="D402" s="113" t="str">
        <f>IFERROR(INDEX(Product_Structure[SuperCategory Name ENG],MATCH(Товары[[#This Row],[SubGroup]],Product_Structure[Subgroup],0)),"")</f>
        <v>Hand&amp;Cutting tools, Accessories</v>
      </c>
      <c r="E40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2" s="113" t="str">
        <f>IFERROR(INDEX(Product_Structure[Product group],MATCH(Товары[[#This Row],[SubGroup]],Product_Structure[Subgroup],0)),"")</f>
        <v>AMT_C</v>
      </c>
      <c r="G402" s="113" t="str">
        <f>IFERROR(INDEX(Product_Structure[Product group name ENG],MATCH(Товары[[#This Row],[SubGroup]],Product_Structure[Subgroup],0)),"")</f>
        <v>Accessories, Manual, Tools</v>
      </c>
      <c r="H402" s="113" t="str">
        <f>IFERROR(INDEX(Product_Structure[Generic Name (long)3],MATCH(Товары[[#This Row],[SubGroup]],Product_Structure[Subgroup],0)),"")</f>
        <v>Разбрасыватели-сеялки для зимы</v>
      </c>
      <c r="I402" s="36">
        <v>9225</v>
      </c>
      <c r="J402" s="36" t="str">
        <f>IFERROR(INDEX(Product_Structure[Generic Name (long)],MATCH(Товары[[#This Row],[SubGroup]],Product_Structure[Subgroup],0)),"")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Row],[SubGroup]],DIY!$B:$C,2,FALSE),0)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3" t="str">
        <f>IFERROR(INDEX(Product_Structure[SuperCategory],MATCH(Товары[[#This Row],[SubGroup]],Product_Structure[Subgroup],0)),"")</f>
        <v>A</v>
      </c>
      <c r="D403" s="113" t="str">
        <f>IFERROR(INDEX(Product_Structure[SuperCategory Name ENG],MATCH(Товары[[#This Row],[SubGroup]],Product_Structure[Subgroup],0)),"")</f>
        <v>Hand&amp;Cutting tools, Accessories</v>
      </c>
      <c r="E40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3" s="113" t="str">
        <f>IFERROR(INDEX(Product_Structure[Product group],MATCH(Товары[[#This Row],[SubGroup]],Product_Structure[Subgroup],0)),"")</f>
        <v>AMT_C</v>
      </c>
      <c r="G403" s="113" t="str">
        <f>IFERROR(INDEX(Product_Structure[Product group name ENG],MATCH(Товары[[#This Row],[SubGroup]],Product_Structure[Subgroup],0)),"")</f>
        <v>Accessories, Manual, Tools</v>
      </c>
      <c r="H403" s="113" t="str">
        <f>IFERROR(INDEX(Product_Structure[Generic Name (long)3],MATCH(Товары[[#This Row],[SubGroup]],Product_Structure[Subgroup],0)),"")</f>
        <v>Разбрасыватели-сеялки для зимы</v>
      </c>
      <c r="I403" s="36">
        <v>9225</v>
      </c>
      <c r="J403" s="36" t="str">
        <f>IFERROR(INDEX(Product_Structure[Generic Name (long)],MATCH(Товары[[#This Row],[SubGroup]],Product_Structure[Subgroup],0)),"")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Row],[SubGroup]],DIY!$B:$C,2,FALSE),0)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3" t="str">
        <f>IFERROR(INDEX(Product_Structure[SuperCategory],MATCH(Товары[[#This Row],[SubGroup]],Product_Structure[Subgroup],0)),"")</f>
        <v>A</v>
      </c>
      <c r="D404" s="113" t="str">
        <f>IFERROR(INDEX(Product_Structure[SuperCategory Name ENG],MATCH(Товары[[#This Row],[SubGroup]],Product_Structure[Subgroup],0)),"")</f>
        <v>Hand&amp;Cutting tools, Accessories</v>
      </c>
      <c r="E40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4" s="113" t="str">
        <f>IFERROR(INDEX(Product_Structure[Product group],MATCH(Товары[[#This Row],[SubGroup]],Product_Structure[Subgroup],0)),"")</f>
        <v>AMT_C</v>
      </c>
      <c r="G404" s="113" t="str">
        <f>IFERROR(INDEX(Product_Structure[Product group name ENG],MATCH(Товары[[#This Row],[SubGroup]],Product_Structure[Subgroup],0)),"")</f>
        <v>Accessories, Manual, Tools</v>
      </c>
      <c r="H404" s="113" t="str">
        <f>IFERROR(INDEX(Product_Structure[Generic Name (long)3],MATCH(Товары[[#This Row],[SubGroup]],Product_Structure[Subgroup],0)),"")</f>
        <v>Разбрасыватели-сеялки для зимы</v>
      </c>
      <c r="I404" s="36">
        <v>9225</v>
      </c>
      <c r="J404" s="36" t="str">
        <f>IFERROR(INDEX(Product_Structure[Generic Name (long)],MATCH(Товары[[#This Row],[SubGroup]],Product_Structure[Subgroup],0)),"")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Row],[SubGroup]],DIY!$B:$C,2,FALSE),0)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3" t="str">
        <f>IFERROR(INDEX(Product_Structure[SuperCategory],MATCH(Товары[[#This Row],[SubGroup]],Product_Structure[Subgroup],0)),"")</f>
        <v>A</v>
      </c>
      <c r="D405" s="113" t="str">
        <f>IFERROR(INDEX(Product_Structure[SuperCategory Name ENG],MATCH(Товары[[#This Row],[SubGroup]],Product_Structure[Subgroup],0)),"")</f>
        <v>Hand&amp;Cutting tools, Accessories</v>
      </c>
      <c r="E40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5" s="113" t="str">
        <f>IFERROR(INDEX(Product_Structure[Product group],MATCH(Товары[[#This Row],[SubGroup]],Product_Structure[Subgroup],0)),"")</f>
        <v>AMT_C</v>
      </c>
      <c r="G405" s="113" t="str">
        <f>IFERROR(INDEX(Product_Structure[Product group name ENG],MATCH(Товары[[#This Row],[SubGroup]],Product_Structure[Subgroup],0)),"")</f>
        <v>Accessories, Manual, Tools</v>
      </c>
      <c r="H405" s="113" t="str">
        <f>IFERROR(INDEX(Product_Structure[Generic Name (long)3],MATCH(Товары[[#This Row],[SubGroup]],Product_Structure[Subgroup],0)),"")</f>
        <v>Разбрасыватели-сеялки для зимы</v>
      </c>
      <c r="I405" s="36">
        <v>9225</v>
      </c>
      <c r="J405" s="36" t="str">
        <f>IFERROR(INDEX(Product_Structure[Generic Name (long)],MATCH(Товары[[#This Row],[SubGroup]],Product_Structure[Subgroup],0)),"")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Row],[SubGroup]],DIY!$B:$C,2,FALSE),0)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3" t="str">
        <f>IFERROR(INDEX(Product_Structure[SuperCategory],MATCH(Товары[[#This Row],[SubGroup]],Product_Structure[Subgroup],0)),"")</f>
        <v>A</v>
      </c>
      <c r="D406" s="113" t="str">
        <f>IFERROR(INDEX(Product_Structure[SuperCategory Name ENG],MATCH(Товары[[#This Row],[SubGroup]],Product_Structure[Subgroup],0)),"")</f>
        <v>Hand&amp;Cutting tools, Accessories</v>
      </c>
      <c r="E40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6" s="113" t="str">
        <f>IFERROR(INDEX(Product_Structure[Product group],MATCH(Товары[[#This Row],[SubGroup]],Product_Structure[Subgroup],0)),"")</f>
        <v>AMT_C</v>
      </c>
      <c r="G406" s="113" t="str">
        <f>IFERROR(INDEX(Product_Structure[Product group name ENG],MATCH(Товары[[#This Row],[SubGroup]],Product_Structure[Subgroup],0)),"")</f>
        <v>Accessories, Manual, Tools</v>
      </c>
      <c r="H406" s="113" t="str">
        <f>IFERROR(INDEX(Product_Structure[Generic Name (long)3],MATCH(Товары[[#This Row],[SubGroup]],Product_Structure[Subgroup],0)),"")</f>
        <v>Разбрасыватели-сеялки для зимы</v>
      </c>
      <c r="I406" s="36">
        <v>9225</v>
      </c>
      <c r="J406" s="36" t="str">
        <f>IFERROR(INDEX(Product_Structure[Generic Name (long)],MATCH(Товары[[#This Row],[SubGroup]],Product_Structure[Subgroup],0)),"")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Row],[SubGroup]],DIY!$B:$C,2,FALSE),0)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3" t="str">
        <f>IFERROR(INDEX(Product_Structure[SuperCategory],MATCH(Товары[[#This Row],[SubGroup]],Product_Structure[Subgroup],0)),"")</f>
        <v>A</v>
      </c>
      <c r="D407" s="113" t="str">
        <f>IFERROR(INDEX(Product_Structure[SuperCategory Name ENG],MATCH(Товары[[#This Row],[SubGroup]],Product_Structure[Subgroup],0)),"")</f>
        <v>Hand&amp;Cutting tools, Accessories</v>
      </c>
      <c r="E40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7" s="113" t="str">
        <f>IFERROR(INDEX(Product_Structure[Product group],MATCH(Товары[[#This Row],[SubGroup]],Product_Structure[Subgroup],0)),"")</f>
        <v>AMT_C</v>
      </c>
      <c r="G407" s="113" t="str">
        <f>IFERROR(INDEX(Product_Structure[Product group name ENG],MATCH(Товары[[#This Row],[SubGroup]],Product_Structure[Subgroup],0)),"")</f>
        <v>Accessories, Manual, Tools</v>
      </c>
      <c r="H407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07" s="36">
        <v>9226</v>
      </c>
      <c r="J407" s="36" t="str">
        <f>IFERROR(INDEX(Product_Structure[Generic Name (long)],MATCH(Товары[[#This Row],[SubGroup]],Product_Structure[Subgroup],0)),"")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Row],[SubGroup]],DIY!$B:$C,2,FALSE),0)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3" t="str">
        <f>IFERROR(INDEX(Product_Structure[SuperCategory],MATCH(Товары[[#This Row],[SubGroup]],Product_Structure[Subgroup],0)),"")</f>
        <v>A</v>
      </c>
      <c r="D408" s="113" t="str">
        <f>IFERROR(INDEX(Product_Structure[SuperCategory Name ENG],MATCH(Товары[[#This Row],[SubGroup]],Product_Structure[Subgroup],0)),"")</f>
        <v>Hand&amp;Cutting tools, Accessories</v>
      </c>
      <c r="E40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8" s="113" t="str">
        <f>IFERROR(INDEX(Product_Structure[Product group],MATCH(Товары[[#This Row],[SubGroup]],Product_Structure[Subgroup],0)),"")</f>
        <v>AMT_C</v>
      </c>
      <c r="G408" s="113" t="str">
        <f>IFERROR(INDEX(Product_Structure[Product group name ENG],MATCH(Товары[[#This Row],[SubGroup]],Product_Structure[Subgroup],0)),"")</f>
        <v>Accessories, Manual, Tools</v>
      </c>
      <c r="H408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08" s="36">
        <v>9226</v>
      </c>
      <c r="J408" s="36" t="str">
        <f>IFERROR(INDEX(Product_Structure[Generic Name (long)],MATCH(Товары[[#This Row],[SubGroup]],Product_Structure[Subgroup],0)),"")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Row],[SubGroup]],DIY!$B:$C,2,FALSE),0)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3" t="str">
        <f>IFERROR(INDEX(Product_Structure[SuperCategory],MATCH(Товары[[#This Row],[SubGroup]],Product_Structure[Subgroup],0)),"")</f>
        <v>A</v>
      </c>
      <c r="D409" s="113" t="str">
        <f>IFERROR(INDEX(Product_Structure[SuperCategory Name ENG],MATCH(Товары[[#This Row],[SubGroup]],Product_Structure[Subgroup],0)),"")</f>
        <v>Hand&amp;Cutting tools, Accessories</v>
      </c>
      <c r="E40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09" s="113" t="str">
        <f>IFERROR(INDEX(Product_Structure[Product group],MATCH(Товары[[#This Row],[SubGroup]],Product_Structure[Subgroup],0)),"")</f>
        <v>AMT_C</v>
      </c>
      <c r="G409" s="113" t="str">
        <f>IFERROR(INDEX(Product_Structure[Product group name ENG],MATCH(Товары[[#This Row],[SubGroup]],Product_Structure[Subgroup],0)),"")</f>
        <v>Accessories, Manual, Tools</v>
      </c>
      <c r="H409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09" s="36">
        <v>9226</v>
      </c>
      <c r="J409" s="36" t="str">
        <f>IFERROR(INDEX(Product_Structure[Generic Name (long)],MATCH(Товары[[#This Row],[SubGroup]],Product_Structure[Subgroup],0)),"")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Row],[SubGroup]],DIY!$B:$C,2,FALSE),0)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3" t="str">
        <f>IFERROR(INDEX(Product_Structure[SuperCategory],MATCH(Товары[[#This Row],[SubGroup]],Product_Structure[Subgroup],0)),"")</f>
        <v>A</v>
      </c>
      <c r="D410" s="113" t="str">
        <f>IFERROR(INDEX(Product_Structure[SuperCategory Name ENG],MATCH(Товары[[#This Row],[SubGroup]],Product_Structure[Subgroup],0)),"")</f>
        <v>Hand&amp;Cutting tools, Accessories</v>
      </c>
      <c r="E41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0" s="113" t="str">
        <f>IFERROR(INDEX(Product_Structure[Product group],MATCH(Товары[[#This Row],[SubGroup]],Product_Structure[Subgroup],0)),"")</f>
        <v>AMT_C</v>
      </c>
      <c r="G410" s="113" t="str">
        <f>IFERROR(INDEX(Product_Structure[Product group name ENG],MATCH(Товары[[#This Row],[SubGroup]],Product_Structure[Subgroup],0)),"")</f>
        <v>Accessories, Manual, Tools</v>
      </c>
      <c r="H410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0" s="36">
        <v>9226</v>
      </c>
      <c r="J410" s="36" t="str">
        <f>IFERROR(INDEX(Product_Structure[Generic Name (long)],MATCH(Товары[[#This Row],[SubGroup]],Product_Structure[Subgroup],0)),"")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Row],[SubGroup]],DIY!$B:$C,2,FALSE),0)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3" t="str">
        <f>IFERROR(INDEX(Product_Structure[SuperCategory],MATCH(Товары[[#This Row],[SubGroup]],Product_Structure[Subgroup],0)),"")</f>
        <v>A</v>
      </c>
      <c r="D411" s="113" t="str">
        <f>IFERROR(INDEX(Product_Structure[SuperCategory Name ENG],MATCH(Товары[[#This Row],[SubGroup]],Product_Structure[Subgroup],0)),"")</f>
        <v>Hand&amp;Cutting tools, Accessories</v>
      </c>
      <c r="E41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1" s="113" t="str">
        <f>IFERROR(INDEX(Product_Structure[Product group],MATCH(Товары[[#This Row],[SubGroup]],Product_Structure[Subgroup],0)),"")</f>
        <v>AMT_C</v>
      </c>
      <c r="G411" s="113" t="str">
        <f>IFERROR(INDEX(Product_Structure[Product group name ENG],MATCH(Товары[[#This Row],[SubGroup]],Product_Structure[Subgroup],0)),"")</f>
        <v>Accessories, Manual, Tools</v>
      </c>
      <c r="H411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1" s="36">
        <v>9226</v>
      </c>
      <c r="J411" s="36" t="str">
        <f>IFERROR(INDEX(Product_Structure[Generic Name (long)],MATCH(Товары[[#This Row],[SubGroup]],Product_Structure[Subgroup],0)),"")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Row],[SubGroup]],DIY!$B:$C,2,FALSE),0)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3" t="str">
        <f>IFERROR(INDEX(Product_Structure[SuperCategory],MATCH(Товары[[#This Row],[SubGroup]],Product_Structure[Subgroup],0)),"")</f>
        <v>A</v>
      </c>
      <c r="D412" s="113" t="str">
        <f>IFERROR(INDEX(Product_Structure[SuperCategory Name ENG],MATCH(Товары[[#This Row],[SubGroup]],Product_Structure[Subgroup],0)),"")</f>
        <v>Hand&amp;Cutting tools, Accessories</v>
      </c>
      <c r="E41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2" s="113" t="str">
        <f>IFERROR(INDEX(Product_Structure[Product group],MATCH(Товары[[#This Row],[SubGroup]],Product_Structure[Subgroup],0)),"")</f>
        <v>AMT_C</v>
      </c>
      <c r="G412" s="113" t="str">
        <f>IFERROR(INDEX(Product_Structure[Product group name ENG],MATCH(Товары[[#This Row],[SubGroup]],Product_Structure[Subgroup],0)),"")</f>
        <v>Accessories, Manual, Tools</v>
      </c>
      <c r="H412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2" s="36">
        <v>9226</v>
      </c>
      <c r="J412" s="36" t="str">
        <f>IFERROR(INDEX(Product_Structure[Generic Name (long)],MATCH(Товары[[#This Row],[SubGroup]],Product_Structure[Subgroup],0)),"")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Row],[SubGroup]],DIY!$B:$C,2,FALSE),0)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3" t="str">
        <f>IFERROR(INDEX(Product_Structure[SuperCategory],MATCH(Товары[[#This Row],[SubGroup]],Product_Structure[Subgroup],0)),"")</f>
        <v>A</v>
      </c>
      <c r="D413" s="113" t="str">
        <f>IFERROR(INDEX(Product_Structure[SuperCategory Name ENG],MATCH(Товары[[#This Row],[SubGroup]],Product_Structure[Subgroup],0)),"")</f>
        <v>Hand&amp;Cutting tools, Accessories</v>
      </c>
      <c r="E41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3" s="113" t="str">
        <f>IFERROR(INDEX(Product_Structure[Product group],MATCH(Товары[[#This Row],[SubGroup]],Product_Structure[Subgroup],0)),"")</f>
        <v>AMT_C</v>
      </c>
      <c r="G413" s="113" t="str">
        <f>IFERROR(INDEX(Product_Structure[Product group name ENG],MATCH(Товары[[#This Row],[SubGroup]],Product_Structure[Subgroup],0)),"")</f>
        <v>Accessories, Manual, Tools</v>
      </c>
      <c r="H413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3" s="36">
        <v>9226</v>
      </c>
      <c r="J413" s="36" t="str">
        <f>IFERROR(INDEX(Product_Structure[Generic Name (long)],MATCH(Товары[[#This Row],[SubGroup]],Product_Structure[Subgroup],0)),"")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Row],[SubGroup]],DIY!$B:$C,2,FALSE),0)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3" t="str">
        <f>IFERROR(INDEX(Product_Structure[SuperCategory],MATCH(Товары[[#This Row],[SubGroup]],Product_Structure[Subgroup],0)),"")</f>
        <v>A</v>
      </c>
      <c r="D414" s="113" t="str">
        <f>IFERROR(INDEX(Product_Structure[SuperCategory Name ENG],MATCH(Товары[[#This Row],[SubGroup]],Product_Structure[Subgroup],0)),"")</f>
        <v>Hand&amp;Cutting tools, Accessories</v>
      </c>
      <c r="E41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4" s="113" t="str">
        <f>IFERROR(INDEX(Product_Structure[Product group],MATCH(Товары[[#This Row],[SubGroup]],Product_Structure[Subgroup],0)),"")</f>
        <v>AMT_C</v>
      </c>
      <c r="G414" s="113" t="str">
        <f>IFERROR(INDEX(Product_Structure[Product group name ENG],MATCH(Товары[[#This Row],[SubGroup]],Product_Structure[Subgroup],0)),"")</f>
        <v>Accessories, Manual, Tools</v>
      </c>
      <c r="H414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4" s="36">
        <v>9226</v>
      </c>
      <c r="J414" s="36" t="str">
        <f>IFERROR(INDEX(Product_Structure[Generic Name (long)],MATCH(Товары[[#This Row],[SubGroup]],Product_Structure[Subgroup],0)),"")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Row],[SubGroup]],DIY!$B:$C,2,FALSE),0)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3" t="str">
        <f>IFERROR(INDEX(Product_Structure[SuperCategory],MATCH(Товары[[#This Row],[SubGroup]],Product_Structure[Subgroup],0)),"")</f>
        <v>A</v>
      </c>
      <c r="D415" s="113" t="str">
        <f>IFERROR(INDEX(Product_Structure[SuperCategory Name ENG],MATCH(Товары[[#This Row],[SubGroup]],Product_Structure[Subgroup],0)),"")</f>
        <v>Hand&amp;Cutting tools, Accessories</v>
      </c>
      <c r="E41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5" s="113" t="str">
        <f>IFERROR(INDEX(Product_Structure[Product group],MATCH(Товары[[#This Row],[SubGroup]],Product_Structure[Subgroup],0)),"")</f>
        <v>AMT_C</v>
      </c>
      <c r="G415" s="113" t="str">
        <f>IFERROR(INDEX(Product_Structure[Product group name ENG],MATCH(Товары[[#This Row],[SubGroup]],Product_Structure[Subgroup],0)),"")</f>
        <v>Accessories, Manual, Tools</v>
      </c>
      <c r="H415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5" s="36">
        <v>9226</v>
      </c>
      <c r="J415" s="36" t="str">
        <f>IFERROR(INDEX(Product_Structure[Generic Name (long)],MATCH(Товары[[#This Row],[SubGroup]],Product_Structure[Subgroup],0)),"")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Row],[SubGroup]],DIY!$B:$C,2,FALSE),0)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3" t="str">
        <f>IFERROR(INDEX(Product_Structure[SuperCategory],MATCH(Товары[[#This Row],[SubGroup]],Product_Structure[Subgroup],0)),"")</f>
        <v>A</v>
      </c>
      <c r="D416" s="113" t="str">
        <f>IFERROR(INDEX(Product_Structure[SuperCategory Name ENG],MATCH(Товары[[#This Row],[SubGroup]],Product_Structure[Subgroup],0)),"")</f>
        <v>Hand&amp;Cutting tools, Accessories</v>
      </c>
      <c r="E4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6" s="113" t="str">
        <f>IFERROR(INDEX(Product_Structure[Product group],MATCH(Товары[[#This Row],[SubGroup]],Product_Structure[Subgroup],0)),"")</f>
        <v>AMT_C</v>
      </c>
      <c r="G416" s="113" t="str">
        <f>IFERROR(INDEX(Product_Structure[Product group name ENG],MATCH(Товары[[#This Row],[SubGroup]],Product_Structure[Subgroup],0)),"")</f>
        <v>Accessories, Manual, Tools</v>
      </c>
      <c r="H416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6" s="36">
        <v>9226</v>
      </c>
      <c r="J416" s="36" t="str">
        <f>IFERROR(INDEX(Product_Structure[Generic Name (long)],MATCH(Товары[[#This Row],[SubGroup]],Product_Structure[Subgroup],0)),"")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Row],[SubGroup]],DIY!$B:$C,2,FALSE),0)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3" t="str">
        <f>IFERROR(INDEX(Product_Structure[SuperCategory],MATCH(Товары[[#This Row],[SubGroup]],Product_Structure[Subgroup],0)),"")</f>
        <v>A</v>
      </c>
      <c r="D417" s="113" t="str">
        <f>IFERROR(INDEX(Product_Structure[SuperCategory Name ENG],MATCH(Товары[[#This Row],[SubGroup]],Product_Structure[Subgroup],0)),"")</f>
        <v>Hand&amp;Cutting tools, Accessories</v>
      </c>
      <c r="E4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7" s="113" t="str">
        <f>IFERROR(INDEX(Product_Structure[Product group],MATCH(Товары[[#This Row],[SubGroup]],Product_Structure[Subgroup],0)),"")</f>
        <v>AMT_C</v>
      </c>
      <c r="G417" s="113" t="str">
        <f>IFERROR(INDEX(Product_Structure[Product group name ENG],MATCH(Товары[[#This Row],[SubGroup]],Product_Structure[Subgroup],0)),"")</f>
        <v>Accessories, Manual, Tools</v>
      </c>
      <c r="H417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7" s="36">
        <v>9226</v>
      </c>
      <c r="J417" s="36" t="str">
        <f>IFERROR(INDEX(Product_Structure[Generic Name (long)],MATCH(Товары[[#This Row],[SubGroup]],Product_Structure[Subgroup],0)),"")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Row],[SubGroup]],DIY!$B:$C,2,FALSE),0)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3" t="str">
        <f>IFERROR(INDEX(Product_Structure[SuperCategory],MATCH(Товары[[#This Row],[SubGroup]],Product_Structure[Subgroup],0)),"")</f>
        <v>A</v>
      </c>
      <c r="D418" s="113" t="str">
        <f>IFERROR(INDEX(Product_Structure[SuperCategory Name ENG],MATCH(Товары[[#This Row],[SubGroup]],Product_Structure[Subgroup],0)),"")</f>
        <v>Hand&amp;Cutting tools, Accessories</v>
      </c>
      <c r="E4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8" s="113" t="str">
        <f>IFERROR(INDEX(Product_Structure[Product group],MATCH(Товары[[#This Row],[SubGroup]],Product_Structure[Subgroup],0)),"")</f>
        <v>AMT_C</v>
      </c>
      <c r="G418" s="113" t="str">
        <f>IFERROR(INDEX(Product_Structure[Product group name ENG],MATCH(Товары[[#This Row],[SubGroup]],Product_Structure[Subgroup],0)),"")</f>
        <v>Accessories, Manual, Tools</v>
      </c>
      <c r="H418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18" s="36">
        <v>9226</v>
      </c>
      <c r="J418" s="36" t="str">
        <f>IFERROR(INDEX(Product_Structure[Generic Name (long)],MATCH(Товары[[#This Row],[SubGroup]],Product_Structure[Subgroup],0)),"")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Row],[SubGroup]],DIY!$B:$C,2,FALSE),0)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3" t="str">
        <f>IFERROR(INDEX(Product_Structure[SuperCategory],MATCH(Товары[[#This Row],[SubGroup]],Product_Structure[Subgroup],0)),"")</f>
        <v>A</v>
      </c>
      <c r="D419" s="113" t="str">
        <f>IFERROR(INDEX(Product_Structure[SuperCategory Name ENG],MATCH(Товары[[#This Row],[SubGroup]],Product_Structure[Subgroup],0)),"")</f>
        <v>Hand&amp;Cutting tools, Accessories</v>
      </c>
      <c r="E4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19" s="113" t="str">
        <f>IFERROR(INDEX(Product_Structure[Product group],MATCH(Товары[[#This Row],[SubGroup]],Product_Structure[Subgroup],0)),"")</f>
        <v>AMT_C</v>
      </c>
      <c r="G419" s="113" t="str">
        <f>IFERROR(INDEX(Product_Structure[Product group name ENG],MATCH(Товары[[#This Row],[SubGroup]],Product_Structure[Subgroup],0)),"")</f>
        <v>Accessories, Manual, Tools</v>
      </c>
      <c r="H419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19" s="36">
        <v>9227</v>
      </c>
      <c r="J419" s="36" t="str">
        <f>IFERROR(INDEX(Product_Structure[Generic Name (long)],MATCH(Товары[[#This Row],[SubGroup]],Product_Structure[Subgroup],0)),"")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Row],[SubGroup]],DIY!$B:$C,2,FALSE),0)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3" t="str">
        <f>IFERROR(INDEX(Product_Structure[SuperCategory],MATCH(Товары[[#This Row],[SubGroup]],Product_Structure[Subgroup],0)),"")</f>
        <v>A</v>
      </c>
      <c r="D420" s="113" t="str">
        <f>IFERROR(INDEX(Product_Structure[SuperCategory Name ENG],MATCH(Товары[[#This Row],[SubGroup]],Product_Structure[Subgroup],0)),"")</f>
        <v>Hand&amp;Cutting tools, Accessories</v>
      </c>
      <c r="E4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0" s="113" t="str">
        <f>IFERROR(INDEX(Product_Structure[Product group],MATCH(Товары[[#This Row],[SubGroup]],Product_Structure[Subgroup],0)),"")</f>
        <v>AMT_C</v>
      </c>
      <c r="G420" s="113" t="str">
        <f>IFERROR(INDEX(Product_Structure[Product group name ENG],MATCH(Товары[[#This Row],[SubGroup]],Product_Structure[Subgroup],0)),"")</f>
        <v>Accessories, Manual, Tools</v>
      </c>
      <c r="H42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0" s="36">
        <v>9227</v>
      </c>
      <c r="J420" s="36" t="str">
        <f>IFERROR(INDEX(Product_Structure[Generic Name (long)],MATCH(Товары[[#This Row],[SubGroup]],Product_Structure[Subgroup],0)),"")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Row],[SubGroup]],DIY!$B:$C,2,FALSE),0)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3" t="str">
        <f>IFERROR(INDEX(Product_Structure[SuperCategory],MATCH(Товары[[#This Row],[SubGroup]],Product_Structure[Subgroup],0)),"")</f>
        <v>A</v>
      </c>
      <c r="D421" s="113" t="str">
        <f>IFERROR(INDEX(Product_Structure[SuperCategory Name ENG],MATCH(Товары[[#This Row],[SubGroup]],Product_Structure[Subgroup],0)),"")</f>
        <v>Hand&amp;Cutting tools, Accessories</v>
      </c>
      <c r="E4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1" s="113" t="str">
        <f>IFERROR(INDEX(Product_Structure[Product group],MATCH(Товары[[#This Row],[SubGroup]],Product_Structure[Subgroup],0)),"")</f>
        <v>AMT_C</v>
      </c>
      <c r="G421" s="113" t="str">
        <f>IFERROR(INDEX(Product_Structure[Product group name ENG],MATCH(Товары[[#This Row],[SubGroup]],Product_Structure[Subgroup],0)),"")</f>
        <v>Accessories, Manual, Tools</v>
      </c>
      <c r="H421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1" s="36">
        <v>9227</v>
      </c>
      <c r="J421" s="36" t="str">
        <f>IFERROR(INDEX(Product_Structure[Generic Name (long)],MATCH(Товары[[#This Row],[SubGroup]],Product_Structure[Subgroup],0)),"")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Row],[SubGroup]],DIY!$B:$C,2,FALSE),0)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3" t="str">
        <f>IFERROR(INDEX(Product_Structure[SuperCategory],MATCH(Товары[[#This Row],[SubGroup]],Product_Structure[Subgroup],0)),"")</f>
        <v>A</v>
      </c>
      <c r="D422" s="113" t="str">
        <f>IFERROR(INDEX(Product_Structure[SuperCategory Name ENG],MATCH(Товары[[#This Row],[SubGroup]],Product_Structure[Subgroup],0)),"")</f>
        <v>Hand&amp;Cutting tools, Accessories</v>
      </c>
      <c r="E4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2" s="113" t="str">
        <f>IFERROR(INDEX(Product_Structure[Product group],MATCH(Товары[[#This Row],[SubGroup]],Product_Structure[Subgroup],0)),"")</f>
        <v>AMT_C</v>
      </c>
      <c r="G422" s="113" t="str">
        <f>IFERROR(INDEX(Product_Structure[Product group name ENG],MATCH(Товары[[#This Row],[SubGroup]],Product_Structure[Subgroup],0)),"")</f>
        <v>Accessories, Manual, Tools</v>
      </c>
      <c r="H422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2" s="36">
        <v>9227</v>
      </c>
      <c r="J422" s="36" t="str">
        <f>IFERROR(INDEX(Product_Structure[Generic Name (long)],MATCH(Товары[[#This Row],[SubGroup]],Product_Structure[Subgroup],0)),"")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Row],[SubGroup]],DIY!$B:$C,2,FALSE),0)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3" t="str">
        <f>IFERROR(INDEX(Product_Structure[SuperCategory],MATCH(Товары[[#This Row],[SubGroup]],Product_Structure[Subgroup],0)),"")</f>
        <v>A</v>
      </c>
      <c r="D423" s="113" t="str">
        <f>IFERROR(INDEX(Product_Structure[SuperCategory Name ENG],MATCH(Товары[[#This Row],[SubGroup]],Product_Structure[Subgroup],0)),"")</f>
        <v>Hand&amp;Cutting tools, Accessories</v>
      </c>
      <c r="E42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3" s="113" t="str">
        <f>IFERROR(INDEX(Product_Structure[Product group],MATCH(Товары[[#This Row],[SubGroup]],Product_Structure[Subgroup],0)),"")</f>
        <v>AMT_C</v>
      </c>
      <c r="G423" s="113" t="str">
        <f>IFERROR(INDEX(Product_Structure[Product group name ENG],MATCH(Товары[[#This Row],[SubGroup]],Product_Structure[Subgroup],0)),"")</f>
        <v>Accessories, Manual, Tools</v>
      </c>
      <c r="H423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3" s="36">
        <v>9227</v>
      </c>
      <c r="J423" s="36" t="str">
        <f>IFERROR(INDEX(Product_Structure[Generic Name (long)],MATCH(Товары[[#This Row],[SubGroup]],Product_Structure[Subgroup],0)),"")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Row],[SubGroup]],DIY!$B:$C,2,FALSE),0)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3" t="str">
        <f>IFERROR(INDEX(Product_Structure[SuperCategory],MATCH(Товары[[#This Row],[SubGroup]],Product_Structure[Subgroup],0)),"")</f>
        <v>A</v>
      </c>
      <c r="D424" s="113" t="str">
        <f>IFERROR(INDEX(Product_Structure[SuperCategory Name ENG],MATCH(Товары[[#This Row],[SubGroup]],Product_Structure[Subgroup],0)),"")</f>
        <v>Hand&amp;Cutting tools, Accessories</v>
      </c>
      <c r="E42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4" s="113" t="str">
        <f>IFERROR(INDEX(Product_Structure[Product group],MATCH(Товары[[#This Row],[SubGroup]],Product_Structure[Subgroup],0)),"")</f>
        <v>AMT_C</v>
      </c>
      <c r="G424" s="113" t="str">
        <f>IFERROR(INDEX(Product_Structure[Product group name ENG],MATCH(Товары[[#This Row],[SubGroup]],Product_Structure[Subgroup],0)),"")</f>
        <v>Accessories, Manual, Tools</v>
      </c>
      <c r="H424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4" s="36">
        <v>9227</v>
      </c>
      <c r="J424" s="36" t="str">
        <f>IFERROR(INDEX(Product_Structure[Generic Name (long)],MATCH(Товары[[#This Row],[SubGroup]],Product_Structure[Subgroup],0)),"")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Row],[SubGroup]],DIY!$B:$C,2,FALSE),0)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3" t="str">
        <f>IFERROR(INDEX(Product_Structure[SuperCategory],MATCH(Товары[[#This Row],[SubGroup]],Product_Structure[Subgroup],0)),"")</f>
        <v>A</v>
      </c>
      <c r="D425" s="113" t="str">
        <f>IFERROR(INDEX(Product_Structure[SuperCategory Name ENG],MATCH(Товары[[#This Row],[SubGroup]],Product_Structure[Subgroup],0)),"")</f>
        <v>Hand&amp;Cutting tools, Accessories</v>
      </c>
      <c r="E42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5" s="113" t="str">
        <f>IFERROR(INDEX(Product_Structure[Product group],MATCH(Товары[[#This Row],[SubGroup]],Product_Structure[Subgroup],0)),"")</f>
        <v>AMT_C</v>
      </c>
      <c r="G425" s="113" t="str">
        <f>IFERROR(INDEX(Product_Structure[Product group name ENG],MATCH(Товары[[#This Row],[SubGroup]],Product_Structure[Subgroup],0)),"")</f>
        <v>Accessories, Manual, Tools</v>
      </c>
      <c r="H425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5" s="36">
        <v>9227</v>
      </c>
      <c r="J425" s="36" t="str">
        <f>IFERROR(INDEX(Product_Structure[Generic Name (long)],MATCH(Товары[[#This Row],[SubGroup]],Product_Structure[Subgroup],0)),"")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Row],[SubGroup]],DIY!$B:$C,2,FALSE),0)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3" t="str">
        <f>IFERROR(INDEX(Product_Structure[SuperCategory],MATCH(Товары[[#This Row],[SubGroup]],Product_Structure[Subgroup],0)),"")</f>
        <v>A</v>
      </c>
      <c r="D426" s="113" t="str">
        <f>IFERROR(INDEX(Product_Structure[SuperCategory Name ENG],MATCH(Товары[[#This Row],[SubGroup]],Product_Structure[Subgroup],0)),"")</f>
        <v>Hand&amp;Cutting tools, Accessories</v>
      </c>
      <c r="E42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6" s="113" t="str">
        <f>IFERROR(INDEX(Product_Structure[Product group],MATCH(Товары[[#This Row],[SubGroup]],Product_Structure[Subgroup],0)),"")</f>
        <v>AMT_C</v>
      </c>
      <c r="G426" s="113" t="str">
        <f>IFERROR(INDEX(Product_Structure[Product group name ENG],MATCH(Товары[[#This Row],[SubGroup]],Product_Structure[Subgroup],0)),"")</f>
        <v>Accessories, Manual, Tools</v>
      </c>
      <c r="H426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6" s="36">
        <v>9227</v>
      </c>
      <c r="J426" s="36" t="str">
        <f>IFERROR(INDEX(Product_Structure[Generic Name (long)],MATCH(Товары[[#This Row],[SubGroup]],Product_Structure[Subgroup],0)),"")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Row],[SubGroup]],DIY!$B:$C,2,FALSE),0)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3" t="str">
        <f>IFERROR(INDEX(Product_Structure[SuperCategory],MATCH(Товары[[#This Row],[SubGroup]],Product_Structure[Subgroup],0)),"")</f>
        <v>A</v>
      </c>
      <c r="D427" s="113" t="str">
        <f>IFERROR(INDEX(Product_Structure[SuperCategory Name ENG],MATCH(Товары[[#This Row],[SubGroup]],Product_Structure[Subgroup],0)),"")</f>
        <v>Hand&amp;Cutting tools, Accessories</v>
      </c>
      <c r="E42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7" s="113" t="str">
        <f>IFERROR(INDEX(Product_Structure[Product group],MATCH(Товары[[#This Row],[SubGroup]],Product_Structure[Subgroup],0)),"")</f>
        <v>AMT_C</v>
      </c>
      <c r="G427" s="113" t="str">
        <f>IFERROR(INDEX(Product_Structure[Product group name ENG],MATCH(Товары[[#This Row],[SubGroup]],Product_Structure[Subgroup],0)),"")</f>
        <v>Accessories, Manual, Tools</v>
      </c>
      <c r="H427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7" s="36">
        <v>9227</v>
      </c>
      <c r="J427" s="36" t="str">
        <f>IFERROR(INDEX(Product_Structure[Generic Name (long)],MATCH(Товары[[#This Row],[SubGroup]],Product_Structure[Subgroup],0)),"")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Row],[SubGroup]],DIY!$B:$C,2,FALSE),0)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3" t="str">
        <f>IFERROR(INDEX(Product_Structure[SuperCategory],MATCH(Товары[[#This Row],[SubGroup]],Product_Structure[Subgroup],0)),"")</f>
        <v>A</v>
      </c>
      <c r="D428" s="113" t="str">
        <f>IFERROR(INDEX(Product_Structure[SuperCategory Name ENG],MATCH(Товары[[#This Row],[SubGroup]],Product_Structure[Subgroup],0)),"")</f>
        <v>Hand&amp;Cutting tools, Accessories</v>
      </c>
      <c r="E42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8" s="113" t="str">
        <f>IFERROR(INDEX(Product_Structure[Product group],MATCH(Товары[[#This Row],[SubGroup]],Product_Structure[Subgroup],0)),"")</f>
        <v>AMT_C</v>
      </c>
      <c r="G428" s="113" t="str">
        <f>IFERROR(INDEX(Product_Structure[Product group name ENG],MATCH(Товары[[#This Row],[SubGroup]],Product_Structure[Subgroup],0)),"")</f>
        <v>Accessories, Manual, Tools</v>
      </c>
      <c r="H428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8" s="36">
        <v>9227</v>
      </c>
      <c r="J428" s="36" t="str">
        <f>IFERROR(INDEX(Product_Structure[Generic Name (long)],MATCH(Товары[[#This Row],[SubGroup]],Product_Structure[Subgroup],0)),"")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Row],[SubGroup]],DIY!$B:$C,2,FALSE),0)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3" t="str">
        <f>IFERROR(INDEX(Product_Structure[SuperCategory],MATCH(Товары[[#This Row],[SubGroup]],Product_Structure[Subgroup],0)),"")</f>
        <v>A</v>
      </c>
      <c r="D429" s="113" t="str">
        <f>IFERROR(INDEX(Product_Structure[SuperCategory Name ENG],MATCH(Товары[[#This Row],[SubGroup]],Product_Structure[Subgroup],0)),"")</f>
        <v>Hand&amp;Cutting tools, Accessories</v>
      </c>
      <c r="E42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29" s="113" t="str">
        <f>IFERROR(INDEX(Product_Structure[Product group],MATCH(Товары[[#This Row],[SubGroup]],Product_Structure[Subgroup],0)),"")</f>
        <v>AMT_C</v>
      </c>
      <c r="G429" s="113" t="str">
        <f>IFERROR(INDEX(Product_Structure[Product group name ENG],MATCH(Товары[[#This Row],[SubGroup]],Product_Structure[Subgroup],0)),"")</f>
        <v>Accessories, Manual, Tools</v>
      </c>
      <c r="H429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29" s="36">
        <v>9227</v>
      </c>
      <c r="J429" s="36" t="str">
        <f>IFERROR(INDEX(Product_Structure[Generic Name (long)],MATCH(Товары[[#This Row],[SubGroup]],Product_Structure[Subgroup],0)),"")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Row],[SubGroup]],DIY!$B:$C,2,FALSE),0)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3" t="str">
        <f>IFERROR(INDEX(Product_Structure[SuperCategory],MATCH(Товары[[#This Row],[SubGroup]],Product_Structure[Subgroup],0)),"")</f>
        <v>A</v>
      </c>
      <c r="D430" s="113" t="str">
        <f>IFERROR(INDEX(Product_Structure[SuperCategory Name ENG],MATCH(Товары[[#This Row],[SubGroup]],Product_Structure[Subgroup],0)),"")</f>
        <v>Hand&amp;Cutting tools, Accessories</v>
      </c>
      <c r="E43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0" s="113" t="str">
        <f>IFERROR(INDEX(Product_Structure[Product group],MATCH(Товары[[#This Row],[SubGroup]],Product_Structure[Subgroup],0)),"")</f>
        <v>AMT_C</v>
      </c>
      <c r="G430" s="113" t="str">
        <f>IFERROR(INDEX(Product_Structure[Product group name ENG],MATCH(Товары[[#This Row],[SubGroup]],Product_Structure[Subgroup],0)),"")</f>
        <v>Accessories, Manual, Tools</v>
      </c>
      <c r="H43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0" s="36">
        <v>9227</v>
      </c>
      <c r="J430" s="36" t="str">
        <f>IFERROR(INDEX(Product_Structure[Generic Name (long)],MATCH(Товары[[#This Row],[SubGroup]],Product_Structure[Subgroup],0)),"")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Row],[SubGroup]],DIY!$B:$C,2,FALSE),0)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3" t="str">
        <f>IFERROR(INDEX(Product_Structure[SuperCategory],MATCH(Товары[[#This Row],[SubGroup]],Product_Structure[Subgroup],0)),"")</f>
        <v>A</v>
      </c>
      <c r="D431" s="113" t="str">
        <f>IFERROR(INDEX(Product_Structure[SuperCategory Name ENG],MATCH(Товары[[#This Row],[SubGroup]],Product_Structure[Subgroup],0)),"")</f>
        <v>Hand&amp;Cutting tools, Accessories</v>
      </c>
      <c r="E43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1" s="113" t="str">
        <f>IFERROR(INDEX(Product_Structure[Product group],MATCH(Товары[[#This Row],[SubGroup]],Product_Structure[Subgroup],0)),"")</f>
        <v>AMT_C</v>
      </c>
      <c r="G431" s="113" t="str">
        <f>IFERROR(INDEX(Product_Structure[Product group name ENG],MATCH(Товары[[#This Row],[SubGroup]],Product_Structure[Subgroup],0)),"")</f>
        <v>Accessories, Manual, Tools</v>
      </c>
      <c r="H431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1" s="36">
        <v>9227</v>
      </c>
      <c r="J431" s="36" t="str">
        <f>IFERROR(INDEX(Product_Structure[Generic Name (long)],MATCH(Товары[[#This Row],[SubGroup]],Product_Structure[Subgroup],0)),"")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Row],[SubGroup]],DIY!$B:$C,2,FALSE),0)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3" t="str">
        <f>IFERROR(INDEX(Product_Structure[SuperCategory],MATCH(Товары[[#This Row],[SubGroup]],Product_Structure[Subgroup],0)),"")</f>
        <v>A</v>
      </c>
      <c r="D432" s="113" t="str">
        <f>IFERROR(INDEX(Product_Structure[SuperCategory Name ENG],MATCH(Товары[[#This Row],[SubGroup]],Product_Structure[Subgroup],0)),"")</f>
        <v>Hand&amp;Cutting tools, Accessories</v>
      </c>
      <c r="E43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2" s="113" t="str">
        <f>IFERROR(INDEX(Product_Structure[Product group],MATCH(Товары[[#This Row],[SubGroup]],Product_Structure[Subgroup],0)),"")</f>
        <v>AMT_C</v>
      </c>
      <c r="G432" s="113" t="str">
        <f>IFERROR(INDEX(Product_Structure[Product group name ENG],MATCH(Товары[[#This Row],[SubGroup]],Product_Structure[Subgroup],0)),"")</f>
        <v>Accessories, Manual, Tools</v>
      </c>
      <c r="H432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2" s="36">
        <v>9227</v>
      </c>
      <c r="J432" s="36" t="str">
        <f>IFERROR(INDEX(Product_Structure[Generic Name (long)],MATCH(Товары[[#This Row],[SubGroup]],Product_Structure[Subgroup],0)),"")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Row],[SubGroup]],DIY!$B:$C,2,FALSE),0)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3" t="str">
        <f>IFERROR(INDEX(Product_Structure[SuperCategory],MATCH(Товары[[#This Row],[SubGroup]],Product_Structure[Subgroup],0)),"")</f>
        <v>A</v>
      </c>
      <c r="D433" s="113" t="str">
        <f>IFERROR(INDEX(Product_Structure[SuperCategory Name ENG],MATCH(Товары[[#This Row],[SubGroup]],Product_Structure[Subgroup],0)),"")</f>
        <v>Hand&amp;Cutting tools, Accessories</v>
      </c>
      <c r="E4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3" s="113" t="str">
        <f>IFERROR(INDEX(Product_Structure[Product group],MATCH(Товары[[#This Row],[SubGroup]],Product_Structure[Subgroup],0)),"")</f>
        <v>AMT_C</v>
      </c>
      <c r="G433" s="113" t="str">
        <f>IFERROR(INDEX(Product_Structure[Product group name ENG],MATCH(Товары[[#This Row],[SubGroup]],Product_Structure[Subgroup],0)),"")</f>
        <v>Accessories, Manual, Tools</v>
      </c>
      <c r="H433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3" s="36">
        <v>9227</v>
      </c>
      <c r="J433" s="36" t="str">
        <f>IFERROR(INDEX(Product_Structure[Generic Name (long)],MATCH(Товары[[#This Row],[SubGroup]],Product_Structure[Subgroup],0)),"")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Row],[SubGroup]],DIY!$B:$C,2,FALSE),0)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3" t="str">
        <f>IFERROR(INDEX(Product_Structure[SuperCategory],MATCH(Товары[[#This Row],[SubGroup]],Product_Structure[Subgroup],0)),"")</f>
        <v>A</v>
      </c>
      <c r="D434" s="113" t="str">
        <f>IFERROR(INDEX(Product_Structure[SuperCategory Name ENG],MATCH(Товары[[#This Row],[SubGroup]],Product_Structure[Subgroup],0)),"")</f>
        <v>Hand&amp;Cutting tools, Accessories</v>
      </c>
      <c r="E4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4" s="113" t="str">
        <f>IFERROR(INDEX(Product_Structure[Product group],MATCH(Товары[[#This Row],[SubGroup]],Product_Structure[Subgroup],0)),"")</f>
        <v>AMT_C</v>
      </c>
      <c r="G434" s="113" t="str">
        <f>IFERROR(INDEX(Product_Structure[Product group name ENG],MATCH(Товары[[#This Row],[SubGroup]],Product_Structure[Subgroup],0)),"")</f>
        <v>Accessories, Manual, Tools</v>
      </c>
      <c r="H434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4" s="36">
        <v>9227</v>
      </c>
      <c r="J434" s="36" t="str">
        <f>IFERROR(INDEX(Product_Structure[Generic Name (long)],MATCH(Товары[[#This Row],[SubGroup]],Product_Structure[Subgroup],0)),"")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Row],[SubGroup]],DIY!$B:$C,2,FALSE),0)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3" t="str">
        <f>IFERROR(INDEX(Product_Structure[SuperCategory],MATCH(Товары[[#This Row],[SubGroup]],Product_Structure[Subgroup],0)),"")</f>
        <v>A</v>
      </c>
      <c r="D435" s="113" t="str">
        <f>IFERROR(INDEX(Product_Structure[SuperCategory Name ENG],MATCH(Товары[[#This Row],[SubGroup]],Product_Structure[Subgroup],0)),"")</f>
        <v>Hand&amp;Cutting tools, Accessories</v>
      </c>
      <c r="E43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5" s="113" t="str">
        <f>IFERROR(INDEX(Product_Structure[Product group],MATCH(Товары[[#This Row],[SubGroup]],Product_Structure[Subgroup],0)),"")</f>
        <v>AMT_C</v>
      </c>
      <c r="G435" s="113" t="str">
        <f>IFERROR(INDEX(Product_Structure[Product group name ENG],MATCH(Товары[[#This Row],[SubGroup]],Product_Structure[Subgroup],0)),"")</f>
        <v>Accessories, Manual, Tools</v>
      </c>
      <c r="H435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5" s="36">
        <v>9227</v>
      </c>
      <c r="J435" s="36" t="str">
        <f>IFERROR(INDEX(Product_Structure[Generic Name (long)],MATCH(Товары[[#This Row],[SubGroup]],Product_Structure[Subgroup],0)),"")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Row],[SubGroup]],DIY!$B:$C,2,FALSE),0)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3" t="str">
        <f>IFERROR(INDEX(Product_Structure[SuperCategory],MATCH(Товары[[#This Row],[SubGroup]],Product_Structure[Subgroup],0)),"")</f>
        <v>A</v>
      </c>
      <c r="D436" s="113" t="str">
        <f>IFERROR(INDEX(Product_Structure[SuperCategory Name ENG],MATCH(Товары[[#This Row],[SubGroup]],Product_Structure[Subgroup],0)),"")</f>
        <v>Hand&amp;Cutting tools, Accessories</v>
      </c>
      <c r="E43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6" s="113" t="str">
        <f>IFERROR(INDEX(Product_Structure[Product group],MATCH(Товары[[#This Row],[SubGroup]],Product_Structure[Subgroup],0)),"")</f>
        <v>AMT_C</v>
      </c>
      <c r="G436" s="113" t="str">
        <f>IFERROR(INDEX(Product_Structure[Product group name ENG],MATCH(Товары[[#This Row],[SubGroup]],Product_Structure[Subgroup],0)),"")</f>
        <v>Accessories, Manual, Tools</v>
      </c>
      <c r="H436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6" s="36">
        <v>9227</v>
      </c>
      <c r="J436" s="36" t="str">
        <f>IFERROR(INDEX(Product_Structure[Generic Name (long)],MATCH(Товары[[#This Row],[SubGroup]],Product_Structure[Subgroup],0)),"")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Row],[SubGroup]],DIY!$B:$C,2,FALSE),0)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3" t="str">
        <f>IFERROR(INDEX(Product_Structure[SuperCategory],MATCH(Товары[[#This Row],[SubGroup]],Product_Structure[Subgroup],0)),"")</f>
        <v>A</v>
      </c>
      <c r="D437" s="113" t="str">
        <f>IFERROR(INDEX(Product_Structure[SuperCategory Name ENG],MATCH(Товары[[#This Row],[SubGroup]],Product_Structure[Subgroup],0)),"")</f>
        <v>Hand&amp;Cutting tools, Accessories</v>
      </c>
      <c r="E43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7" s="113" t="str">
        <f>IFERROR(INDEX(Product_Structure[Product group],MATCH(Товары[[#This Row],[SubGroup]],Product_Structure[Subgroup],0)),"")</f>
        <v>AMT_C</v>
      </c>
      <c r="G437" s="113" t="str">
        <f>IFERROR(INDEX(Product_Structure[Product group name ENG],MATCH(Товары[[#This Row],[SubGroup]],Product_Structure[Subgroup],0)),"")</f>
        <v>Accessories, Manual, Tools</v>
      </c>
      <c r="H437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7" s="36">
        <v>9227</v>
      </c>
      <c r="J437" s="36" t="str">
        <f>IFERROR(INDEX(Product_Structure[Generic Name (long)],MATCH(Товары[[#This Row],[SubGroup]],Product_Structure[Subgroup],0)),"")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Row],[SubGroup]],DIY!$B:$C,2,FALSE),0)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3" t="str">
        <f>IFERROR(INDEX(Product_Structure[SuperCategory],MATCH(Товары[[#This Row],[SubGroup]],Product_Structure[Subgroup],0)),"")</f>
        <v>A</v>
      </c>
      <c r="D438" s="113" t="str">
        <f>IFERROR(INDEX(Product_Structure[SuperCategory Name ENG],MATCH(Товары[[#This Row],[SubGroup]],Product_Structure[Subgroup],0)),"")</f>
        <v>Hand&amp;Cutting tools, Accessories</v>
      </c>
      <c r="E43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8" s="113" t="str">
        <f>IFERROR(INDEX(Product_Structure[Product group],MATCH(Товары[[#This Row],[SubGroup]],Product_Structure[Subgroup],0)),"")</f>
        <v>AMT_C</v>
      </c>
      <c r="G438" s="113" t="str">
        <f>IFERROR(INDEX(Product_Structure[Product group name ENG],MATCH(Товары[[#This Row],[SubGroup]],Product_Structure[Subgroup],0)),"")</f>
        <v>Accessories, Manual, Tools</v>
      </c>
      <c r="H438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8" s="36">
        <v>9227</v>
      </c>
      <c r="J438" s="36" t="str">
        <f>IFERROR(INDEX(Product_Structure[Generic Name (long)],MATCH(Товары[[#This Row],[SubGroup]],Product_Structure[Subgroup],0)),"")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Row],[SubGroup]],DIY!$B:$C,2,FALSE),0)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3" t="str">
        <f>IFERROR(INDEX(Product_Structure[SuperCategory],MATCH(Товары[[#This Row],[SubGroup]],Product_Structure[Subgroup],0)),"")</f>
        <v>A</v>
      </c>
      <c r="D439" s="113" t="str">
        <f>IFERROR(INDEX(Product_Structure[SuperCategory Name ENG],MATCH(Товары[[#This Row],[SubGroup]],Product_Structure[Subgroup],0)),"")</f>
        <v>Hand&amp;Cutting tools, Accessories</v>
      </c>
      <c r="E43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39" s="113" t="str">
        <f>IFERROR(INDEX(Product_Structure[Product group],MATCH(Товары[[#This Row],[SubGroup]],Product_Structure[Subgroup],0)),"")</f>
        <v>AMT_C</v>
      </c>
      <c r="G439" s="113" t="str">
        <f>IFERROR(INDEX(Product_Structure[Product group name ENG],MATCH(Товары[[#This Row],[SubGroup]],Product_Structure[Subgroup],0)),"")</f>
        <v>Accessories, Manual, Tools</v>
      </c>
      <c r="H439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39" s="36">
        <v>9227</v>
      </c>
      <c r="J439" s="36" t="str">
        <f>IFERROR(INDEX(Product_Structure[Generic Name (long)],MATCH(Товары[[#This Row],[SubGroup]],Product_Structure[Subgroup],0)),"")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Row],[SubGroup]],DIY!$B:$C,2,FALSE),0)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3" t="str">
        <f>IFERROR(INDEX(Product_Structure[SuperCategory],MATCH(Товары[[#This Row],[SubGroup]],Product_Structure[Subgroup],0)),"")</f>
        <v>A</v>
      </c>
      <c r="D440" s="113" t="str">
        <f>IFERROR(INDEX(Product_Structure[SuperCategory Name ENG],MATCH(Товары[[#This Row],[SubGroup]],Product_Structure[Subgroup],0)),"")</f>
        <v>Hand&amp;Cutting tools, Accessories</v>
      </c>
      <c r="E44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0" s="113" t="str">
        <f>IFERROR(INDEX(Product_Structure[Product group],MATCH(Товары[[#This Row],[SubGroup]],Product_Structure[Subgroup],0)),"")</f>
        <v>AMT_C</v>
      </c>
      <c r="G440" s="113" t="str">
        <f>IFERROR(INDEX(Product_Structure[Product group name ENG],MATCH(Товары[[#This Row],[SubGroup]],Product_Structure[Subgroup],0)),"")</f>
        <v>Accessories, Manual, Tools</v>
      </c>
      <c r="H44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0" s="36">
        <v>9227</v>
      </c>
      <c r="J440" s="36" t="str">
        <f>IFERROR(INDEX(Product_Structure[Generic Name (long)],MATCH(Товары[[#This Row],[SubGroup]],Product_Structure[Subgroup],0)),"")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Row],[SubGroup]],DIY!$B:$C,2,FALSE),0)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3" t="str">
        <f>IFERROR(INDEX(Product_Structure[SuperCategory],MATCH(Товары[[#This Row],[SubGroup]],Product_Structure[Subgroup],0)),"")</f>
        <v>A</v>
      </c>
      <c r="D441" s="113" t="str">
        <f>IFERROR(INDEX(Product_Structure[SuperCategory Name ENG],MATCH(Товары[[#This Row],[SubGroup]],Product_Structure[Subgroup],0)),"")</f>
        <v>Hand&amp;Cutting tools, Accessories</v>
      </c>
      <c r="E4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1" s="113" t="str">
        <f>IFERROR(INDEX(Product_Structure[Product group],MATCH(Товары[[#This Row],[SubGroup]],Product_Structure[Subgroup],0)),"")</f>
        <v>AMT_C</v>
      </c>
      <c r="G441" s="113" t="str">
        <f>IFERROR(INDEX(Product_Structure[Product group name ENG],MATCH(Товары[[#This Row],[SubGroup]],Product_Structure[Subgroup],0)),"")</f>
        <v>Accessories, Manual, Tools</v>
      </c>
      <c r="H441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1" s="36">
        <v>9227</v>
      </c>
      <c r="J441" s="36" t="str">
        <f>IFERROR(INDEX(Product_Structure[Generic Name (long)],MATCH(Товары[[#This Row],[SubGroup]],Product_Structure[Subgroup],0)),"")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Row],[SubGroup]],DIY!$B:$C,2,FALSE),0)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3" t="str">
        <f>IFERROR(INDEX(Product_Structure[SuperCategory],MATCH(Товары[[#This Row],[SubGroup]],Product_Structure[Subgroup],0)),"")</f>
        <v>A</v>
      </c>
      <c r="D442" s="113" t="str">
        <f>IFERROR(INDEX(Product_Structure[SuperCategory Name ENG],MATCH(Товары[[#This Row],[SubGroup]],Product_Structure[Subgroup],0)),"")</f>
        <v>Hand&amp;Cutting tools, Accessories</v>
      </c>
      <c r="E4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2" s="113" t="str">
        <f>IFERROR(INDEX(Product_Structure[Product group],MATCH(Товары[[#This Row],[SubGroup]],Product_Structure[Subgroup],0)),"")</f>
        <v>AMT_C</v>
      </c>
      <c r="G442" s="113" t="str">
        <f>IFERROR(INDEX(Product_Structure[Product group name ENG],MATCH(Товары[[#This Row],[SubGroup]],Product_Structure[Subgroup],0)),"")</f>
        <v>Accessories, Manual, Tools</v>
      </c>
      <c r="H442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2" s="36">
        <v>9227</v>
      </c>
      <c r="J442" s="36" t="str">
        <f>IFERROR(INDEX(Product_Structure[Generic Name (long)],MATCH(Товары[[#This Row],[SubGroup]],Product_Structure[Subgroup],0)),"")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Row],[SubGroup]],DIY!$B:$C,2,FALSE),0)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3" t="str">
        <f>IFERROR(INDEX(Product_Structure[SuperCategory],MATCH(Товары[[#This Row],[SubGroup]],Product_Structure[Subgroup],0)),"")</f>
        <v>A</v>
      </c>
      <c r="D443" s="113" t="str">
        <f>IFERROR(INDEX(Product_Structure[SuperCategory Name ENG],MATCH(Товары[[#This Row],[SubGroup]],Product_Structure[Subgroup],0)),"")</f>
        <v>Hand&amp;Cutting tools, Accessories</v>
      </c>
      <c r="E4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3" s="113" t="str">
        <f>IFERROR(INDEX(Product_Structure[Product group],MATCH(Товары[[#This Row],[SubGroup]],Product_Structure[Subgroup],0)),"")</f>
        <v>AMT_C</v>
      </c>
      <c r="G443" s="113" t="str">
        <f>IFERROR(INDEX(Product_Structure[Product group name ENG],MATCH(Товары[[#This Row],[SubGroup]],Product_Structure[Subgroup],0)),"")</f>
        <v>Accessories, Manual, Tools</v>
      </c>
      <c r="H443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3" s="36">
        <v>9227</v>
      </c>
      <c r="J443" s="36" t="str">
        <f>IFERROR(INDEX(Product_Structure[Generic Name (long)],MATCH(Товары[[#This Row],[SubGroup]],Product_Structure[Subgroup],0)),"")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Row],[SubGroup]],DIY!$B:$C,2,FALSE),0)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3" t="str">
        <f>IFERROR(INDEX(Product_Structure[SuperCategory],MATCH(Товары[[#This Row],[SubGroup]],Product_Structure[Subgroup],0)),"")</f>
        <v>A</v>
      </c>
      <c r="D444" s="113" t="str">
        <f>IFERROR(INDEX(Product_Structure[SuperCategory Name ENG],MATCH(Товары[[#This Row],[SubGroup]],Product_Structure[Subgroup],0)),"")</f>
        <v>Hand&amp;Cutting tools, Accessories</v>
      </c>
      <c r="E4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4" s="113" t="str">
        <f>IFERROR(INDEX(Product_Structure[Product group],MATCH(Товары[[#This Row],[SubGroup]],Product_Structure[Subgroup],0)),"")</f>
        <v>AMT_C</v>
      </c>
      <c r="G444" s="113" t="str">
        <f>IFERROR(INDEX(Product_Structure[Product group name ENG],MATCH(Товары[[#This Row],[SubGroup]],Product_Structure[Subgroup],0)),"")</f>
        <v>Accessories, Manual, Tools</v>
      </c>
      <c r="H444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4" s="36">
        <v>9227</v>
      </c>
      <c r="J444" s="36" t="str">
        <f>IFERROR(INDEX(Product_Structure[Generic Name (long)],MATCH(Товары[[#This Row],[SubGroup]],Product_Structure[Subgroup],0)),"")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Row],[SubGroup]],DIY!$B:$C,2,FALSE),0)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3" t="str">
        <f>IFERROR(INDEX(Product_Structure[SuperCategory],MATCH(Товары[[#This Row],[SubGroup]],Product_Structure[Subgroup],0)),"")</f>
        <v>A</v>
      </c>
      <c r="D445" s="113" t="str">
        <f>IFERROR(INDEX(Product_Structure[SuperCategory Name ENG],MATCH(Товары[[#This Row],[SubGroup]],Product_Structure[Subgroup],0)),"")</f>
        <v>Hand&amp;Cutting tools, Accessories</v>
      </c>
      <c r="E4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5" s="113" t="str">
        <f>IFERROR(INDEX(Product_Structure[Product group],MATCH(Товары[[#This Row],[SubGroup]],Product_Structure[Subgroup],0)),"")</f>
        <v>AMT_C</v>
      </c>
      <c r="G445" s="113" t="str">
        <f>IFERROR(INDEX(Product_Structure[Product group name ENG],MATCH(Товары[[#This Row],[SubGroup]],Product_Structure[Subgroup],0)),"")</f>
        <v>Accessories, Manual, Tools</v>
      </c>
      <c r="H445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45" s="36">
        <v>9227</v>
      </c>
      <c r="J445" s="36" t="str">
        <f>IFERROR(INDEX(Product_Structure[Generic Name (long)],MATCH(Товары[[#This Row],[SubGroup]],Product_Structure[Subgroup],0)),"")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Row],[SubGroup]],DIY!$B:$C,2,FALSE),0)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3" t="str">
        <f>IFERROR(INDEX(Product_Structure[SuperCategory],MATCH(Товары[[#This Row],[SubGroup]],Product_Structure[Subgroup],0)),"")</f>
        <v>A</v>
      </c>
      <c r="D446" s="113" t="str">
        <f>IFERROR(INDEX(Product_Structure[SuperCategory Name ENG],MATCH(Товары[[#This Row],[SubGroup]],Product_Structure[Subgroup],0)),"")</f>
        <v>Hand&amp;Cutting tools, Accessories</v>
      </c>
      <c r="E4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6" s="113" t="str">
        <f>IFERROR(INDEX(Product_Structure[Product group],MATCH(Товары[[#This Row],[SubGroup]],Product_Structure[Subgroup],0)),"")</f>
        <v>AMT_C</v>
      </c>
      <c r="G446" s="113" t="str">
        <f>IFERROR(INDEX(Product_Structure[Product group name ENG],MATCH(Товары[[#This Row],[SubGroup]],Product_Structure[Subgroup],0)),"")</f>
        <v>Accessories, Manual, Tools</v>
      </c>
      <c r="H446" s="113" t="str">
        <f>IFERROR(INDEX(Product_Structure[Generic Name (long)3],MATCH(Товары[[#This Row],[SubGroup]],Product_Structure[Subgroup],0)),"")</f>
        <v>Лопаты садовые</v>
      </c>
      <c r="I446" s="36">
        <v>9228</v>
      </c>
      <c r="J446" s="36" t="str">
        <f>IFERROR(INDEX(Product_Structure[Generic Name (long)],MATCH(Товары[[#This Row],[SubGroup]],Product_Structure[Subgroup],0)),"")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Row],[SubGroup]],DIY!$B:$C,2,FALSE),0)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3" t="str">
        <f>IFERROR(INDEX(Product_Structure[SuperCategory],MATCH(Товары[[#This Row],[SubGroup]],Product_Structure[Subgroup],0)),"")</f>
        <v>A</v>
      </c>
      <c r="D447" s="113" t="str">
        <f>IFERROR(INDEX(Product_Structure[SuperCategory Name ENG],MATCH(Товары[[#This Row],[SubGroup]],Product_Structure[Subgroup],0)),"")</f>
        <v>Hand&amp;Cutting tools, Accessories</v>
      </c>
      <c r="E4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7" s="113" t="str">
        <f>IFERROR(INDEX(Product_Structure[Product group],MATCH(Товары[[#This Row],[SubGroup]],Product_Structure[Subgroup],0)),"")</f>
        <v>AMT_C</v>
      </c>
      <c r="G447" s="113" t="str">
        <f>IFERROR(INDEX(Product_Structure[Product group name ENG],MATCH(Товары[[#This Row],[SubGroup]],Product_Structure[Subgroup],0)),"")</f>
        <v>Accessories, Manual, Tools</v>
      </c>
      <c r="H447" s="113" t="str">
        <f>IFERROR(INDEX(Product_Structure[Generic Name (long)3],MATCH(Товары[[#This Row],[SubGroup]],Product_Structure[Subgroup],0)),"")</f>
        <v>Лопаты садовые</v>
      </c>
      <c r="I447" s="36">
        <v>9228</v>
      </c>
      <c r="J447" s="36" t="str">
        <f>IFERROR(INDEX(Product_Structure[Generic Name (long)],MATCH(Товары[[#This Row],[SubGroup]],Product_Structure[Subgroup],0)),"")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Row],[SubGroup]],DIY!$B:$C,2,FALSE),0)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3" t="str">
        <f>IFERROR(INDEX(Product_Structure[SuperCategory],MATCH(Товары[[#This Row],[SubGroup]],Product_Structure[Subgroup],0)),"")</f>
        <v>A</v>
      </c>
      <c r="D448" s="113" t="str">
        <f>IFERROR(INDEX(Product_Structure[SuperCategory Name ENG],MATCH(Товары[[#This Row],[SubGroup]],Product_Structure[Subgroup],0)),"")</f>
        <v>Hand&amp;Cutting tools, Accessories</v>
      </c>
      <c r="E4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8" s="113" t="str">
        <f>IFERROR(INDEX(Product_Structure[Product group],MATCH(Товары[[#This Row],[SubGroup]],Product_Structure[Subgroup],0)),"")</f>
        <v>AMT_C</v>
      </c>
      <c r="G448" s="113" t="str">
        <f>IFERROR(INDEX(Product_Structure[Product group name ENG],MATCH(Товары[[#This Row],[SubGroup]],Product_Structure[Subgroup],0)),"")</f>
        <v>Accessories, Manual, Tools</v>
      </c>
      <c r="H448" s="113" t="str">
        <f>IFERROR(INDEX(Product_Structure[Generic Name (long)3],MATCH(Товары[[#This Row],[SubGroup]],Product_Structure[Subgroup],0)),"")</f>
        <v>Лопаты садовые</v>
      </c>
      <c r="I448" s="36">
        <v>9228</v>
      </c>
      <c r="J448" s="36" t="str">
        <f>IFERROR(INDEX(Product_Structure[Generic Name (long)],MATCH(Товары[[#This Row],[SubGroup]],Product_Structure[Subgroup],0)),"")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Row],[SubGroup]],DIY!$B:$C,2,FALSE),0)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3" t="str">
        <f>IFERROR(INDEX(Product_Structure[SuperCategory],MATCH(Товары[[#This Row],[SubGroup]],Product_Structure[Subgroup],0)),"")</f>
        <v>A</v>
      </c>
      <c r="D449" s="113" t="str">
        <f>IFERROR(INDEX(Product_Structure[SuperCategory Name ENG],MATCH(Товары[[#This Row],[SubGroup]],Product_Structure[Subgroup],0)),"")</f>
        <v>Hand&amp;Cutting tools, Accessories</v>
      </c>
      <c r="E4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49" s="113" t="str">
        <f>IFERROR(INDEX(Product_Structure[Product group],MATCH(Товары[[#This Row],[SubGroup]],Product_Structure[Subgroup],0)),"")</f>
        <v>AMT_C</v>
      </c>
      <c r="G449" s="113" t="str">
        <f>IFERROR(INDEX(Product_Structure[Product group name ENG],MATCH(Товары[[#This Row],[SubGroup]],Product_Structure[Subgroup],0)),"")</f>
        <v>Accessories, Manual, Tools</v>
      </c>
      <c r="H449" s="113" t="str">
        <f>IFERROR(INDEX(Product_Structure[Generic Name (long)3],MATCH(Товары[[#This Row],[SubGroup]],Product_Structure[Subgroup],0)),"")</f>
        <v>Лопаты садовые</v>
      </c>
      <c r="I449" s="36">
        <v>9228</v>
      </c>
      <c r="J449" s="36" t="str">
        <f>IFERROR(INDEX(Product_Structure[Generic Name (long)],MATCH(Товары[[#This Row],[SubGroup]],Product_Structure[Subgroup],0)),"")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Row],[SubGroup]],DIY!$B:$C,2,FALSE),0)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3" t="str">
        <f>IFERROR(INDEX(Product_Structure[SuperCategory],MATCH(Товары[[#This Row],[SubGroup]],Product_Structure[Subgroup],0)),"")</f>
        <v>A</v>
      </c>
      <c r="D450" s="113" t="str">
        <f>IFERROR(INDEX(Product_Structure[SuperCategory Name ENG],MATCH(Товары[[#This Row],[SubGroup]],Product_Structure[Subgroup],0)),"")</f>
        <v>Hand&amp;Cutting tools, Accessories</v>
      </c>
      <c r="E4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0" s="113" t="str">
        <f>IFERROR(INDEX(Product_Structure[Product group],MATCH(Товары[[#This Row],[SubGroup]],Product_Structure[Subgroup],0)),"")</f>
        <v>AMT_C</v>
      </c>
      <c r="G450" s="113" t="str">
        <f>IFERROR(INDEX(Product_Structure[Product group name ENG],MATCH(Товары[[#This Row],[SubGroup]],Product_Structure[Subgroup],0)),"")</f>
        <v>Accessories, Manual, Tools</v>
      </c>
      <c r="H450" s="113" t="str">
        <f>IFERROR(INDEX(Product_Structure[Generic Name (long)3],MATCH(Товары[[#This Row],[SubGroup]],Product_Structure[Subgroup],0)),"")</f>
        <v>Лопаты садовые</v>
      </c>
      <c r="I450" s="36">
        <v>9228</v>
      </c>
      <c r="J450" s="36" t="str">
        <f>IFERROR(INDEX(Product_Structure[Generic Name (long)],MATCH(Товары[[#This Row],[SubGroup]],Product_Structure[Subgroup],0)),"")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Row],[SubGroup]],DIY!$B:$C,2,FALSE),0)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3" t="str">
        <f>IFERROR(INDEX(Product_Structure[SuperCategory],MATCH(Товары[[#This Row],[SubGroup]],Product_Structure[Subgroup],0)),"")</f>
        <v>A</v>
      </c>
      <c r="D451" s="113" t="str">
        <f>IFERROR(INDEX(Product_Structure[SuperCategory Name ENG],MATCH(Товары[[#This Row],[SubGroup]],Product_Structure[Subgroup],0)),"")</f>
        <v>Hand&amp;Cutting tools, Accessories</v>
      </c>
      <c r="E4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1" s="113" t="str">
        <f>IFERROR(INDEX(Product_Structure[Product group],MATCH(Товары[[#This Row],[SubGroup]],Product_Structure[Subgroup],0)),"")</f>
        <v>AMT_C</v>
      </c>
      <c r="G451" s="113" t="str">
        <f>IFERROR(INDEX(Product_Structure[Product group name ENG],MATCH(Товары[[#This Row],[SubGroup]],Product_Structure[Subgroup],0)),"")</f>
        <v>Accessories, Manual, Tools</v>
      </c>
      <c r="H451" s="113" t="str">
        <f>IFERROR(INDEX(Product_Structure[Generic Name (long)3],MATCH(Товары[[#This Row],[SubGroup]],Product_Structure[Subgroup],0)),"")</f>
        <v>Лопаты садовые</v>
      </c>
      <c r="I451" s="36">
        <v>9228</v>
      </c>
      <c r="J451" s="36" t="str">
        <f>IFERROR(INDEX(Product_Structure[Generic Name (long)],MATCH(Товары[[#This Row],[SubGroup]],Product_Structure[Subgroup],0)),"")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Row],[SubGroup]],DIY!$B:$C,2,FALSE),0)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3" t="str">
        <f>IFERROR(INDEX(Product_Structure[SuperCategory],MATCH(Товары[[#This Row],[SubGroup]],Product_Structure[Subgroup],0)),"")</f>
        <v>A</v>
      </c>
      <c r="D452" s="113" t="str">
        <f>IFERROR(INDEX(Product_Structure[SuperCategory Name ENG],MATCH(Товары[[#This Row],[SubGroup]],Product_Structure[Subgroup],0)),"")</f>
        <v>Hand&amp;Cutting tools, Accessories</v>
      </c>
      <c r="E4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2" s="113" t="str">
        <f>IFERROR(INDEX(Product_Structure[Product group],MATCH(Товары[[#This Row],[SubGroup]],Product_Structure[Subgroup],0)),"")</f>
        <v>AMT_C</v>
      </c>
      <c r="G452" s="113" t="str">
        <f>IFERROR(INDEX(Product_Structure[Product group name ENG],MATCH(Товары[[#This Row],[SubGroup]],Product_Structure[Subgroup],0)),"")</f>
        <v>Accessories, Manual, Tools</v>
      </c>
      <c r="H452" s="113" t="str">
        <f>IFERROR(INDEX(Product_Structure[Generic Name (long)3],MATCH(Товары[[#This Row],[SubGroup]],Product_Structure[Subgroup],0)),"")</f>
        <v>Лопаты садовые</v>
      </c>
      <c r="I452" s="36">
        <v>9228</v>
      </c>
      <c r="J452" s="36" t="str">
        <f>IFERROR(INDEX(Product_Structure[Generic Name (long)],MATCH(Товары[[#This Row],[SubGroup]],Product_Structure[Subgroup],0)),"")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Row],[SubGroup]],DIY!$B:$C,2,FALSE),0)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3" t="str">
        <f>IFERROR(INDEX(Product_Structure[SuperCategory],MATCH(Товары[[#This Row],[SubGroup]],Product_Structure[Subgroup],0)),"")</f>
        <v>A</v>
      </c>
      <c r="D453" s="113" t="str">
        <f>IFERROR(INDEX(Product_Structure[SuperCategory Name ENG],MATCH(Товары[[#This Row],[SubGroup]],Product_Structure[Subgroup],0)),"")</f>
        <v>Hand&amp;Cutting tools, Accessories</v>
      </c>
      <c r="E4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3" s="113" t="str">
        <f>IFERROR(INDEX(Product_Structure[Product group],MATCH(Товары[[#This Row],[SubGroup]],Product_Structure[Subgroup],0)),"")</f>
        <v>AMT_C</v>
      </c>
      <c r="G453" s="113" t="str">
        <f>IFERROR(INDEX(Product_Structure[Product group name ENG],MATCH(Товары[[#This Row],[SubGroup]],Product_Structure[Subgroup],0)),"")</f>
        <v>Accessories, Manual, Tools</v>
      </c>
      <c r="H453" s="113" t="str">
        <f>IFERROR(INDEX(Product_Structure[Generic Name (long)3],MATCH(Товары[[#This Row],[SubGroup]],Product_Structure[Subgroup],0)),"")</f>
        <v>Лопаты садовые</v>
      </c>
      <c r="I453" s="36">
        <v>9228</v>
      </c>
      <c r="J453" s="36" t="str">
        <f>IFERROR(INDEX(Product_Structure[Generic Name (long)],MATCH(Товары[[#This Row],[SubGroup]],Product_Structure[Subgroup],0)),"")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Row],[SubGroup]],DIY!$B:$C,2,FALSE),0)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3" t="str">
        <f>IFERROR(INDEX(Product_Structure[SuperCategory],MATCH(Товары[[#This Row],[SubGroup]],Product_Structure[Subgroup],0)),"")</f>
        <v>A</v>
      </c>
      <c r="D454" s="113" t="str">
        <f>IFERROR(INDEX(Product_Structure[SuperCategory Name ENG],MATCH(Товары[[#This Row],[SubGroup]],Product_Structure[Subgroup],0)),"")</f>
        <v>Hand&amp;Cutting tools, Accessories</v>
      </c>
      <c r="E4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4" s="113" t="str">
        <f>IFERROR(INDEX(Product_Structure[Product group],MATCH(Товары[[#This Row],[SubGroup]],Product_Structure[Subgroup],0)),"")</f>
        <v>AMT_C</v>
      </c>
      <c r="G454" s="113" t="str">
        <f>IFERROR(INDEX(Product_Structure[Product group name ENG],MATCH(Товары[[#This Row],[SubGroup]],Product_Structure[Subgroup],0)),"")</f>
        <v>Accessories, Manual, Tools</v>
      </c>
      <c r="H454" s="113" t="str">
        <f>IFERROR(INDEX(Product_Structure[Generic Name (long)3],MATCH(Товары[[#This Row],[SubGroup]],Product_Structure[Subgroup],0)),"")</f>
        <v>Лопаты садовые</v>
      </c>
      <c r="I454" s="36">
        <v>9228</v>
      </c>
      <c r="J454" s="36" t="str">
        <f>IFERROR(INDEX(Product_Structure[Generic Name (long)],MATCH(Товары[[#This Row],[SubGroup]],Product_Structure[Subgroup],0)),"")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Row],[SubGroup]],DIY!$B:$C,2,FALSE),0)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3" t="str">
        <f>IFERROR(INDEX(Product_Structure[SuperCategory],MATCH(Товары[[#This Row],[SubGroup]],Product_Structure[Subgroup],0)),"")</f>
        <v>A</v>
      </c>
      <c r="D455" s="113" t="str">
        <f>IFERROR(INDEX(Product_Structure[SuperCategory Name ENG],MATCH(Товары[[#This Row],[SubGroup]],Product_Structure[Subgroup],0)),"")</f>
        <v>Hand&amp;Cutting tools, Accessories</v>
      </c>
      <c r="E4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5" s="113" t="str">
        <f>IFERROR(INDEX(Product_Structure[Product group],MATCH(Товары[[#This Row],[SubGroup]],Product_Structure[Subgroup],0)),"")</f>
        <v>AMT_C</v>
      </c>
      <c r="G455" s="113" t="str">
        <f>IFERROR(INDEX(Product_Structure[Product group name ENG],MATCH(Товары[[#This Row],[SubGroup]],Product_Structure[Subgroup],0)),"")</f>
        <v>Accessories, Manual, Tools</v>
      </c>
      <c r="H455" s="113" t="str">
        <f>IFERROR(INDEX(Product_Structure[Generic Name (long)3],MATCH(Товары[[#This Row],[SubGroup]],Product_Structure[Subgroup],0)),"")</f>
        <v>Лопаты садовые</v>
      </c>
      <c r="I455" s="36">
        <v>9228</v>
      </c>
      <c r="J455" s="36" t="str">
        <f>IFERROR(INDEX(Product_Structure[Generic Name (long)],MATCH(Товары[[#This Row],[SubGroup]],Product_Structure[Subgroup],0)),"")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Row],[SubGroup]],DIY!$B:$C,2,FALSE),0)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3" t="str">
        <f>IFERROR(INDEX(Product_Structure[SuperCategory],MATCH(Товары[[#This Row],[SubGroup]],Product_Structure[Subgroup],0)),"")</f>
        <v>A</v>
      </c>
      <c r="D456" s="113" t="str">
        <f>IFERROR(INDEX(Product_Structure[SuperCategory Name ENG],MATCH(Товары[[#This Row],[SubGroup]],Product_Structure[Subgroup],0)),"")</f>
        <v>Hand&amp;Cutting tools, Accessories</v>
      </c>
      <c r="E4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6" s="113" t="str">
        <f>IFERROR(INDEX(Product_Structure[Product group],MATCH(Товары[[#This Row],[SubGroup]],Product_Structure[Subgroup],0)),"")</f>
        <v>AMT_C</v>
      </c>
      <c r="G456" s="113" t="str">
        <f>IFERROR(INDEX(Product_Structure[Product group name ENG],MATCH(Товары[[#This Row],[SubGroup]],Product_Structure[Subgroup],0)),"")</f>
        <v>Accessories, Manual, Tools</v>
      </c>
      <c r="H456" s="113" t="str">
        <f>IFERROR(INDEX(Product_Structure[Generic Name (long)3],MATCH(Товары[[#This Row],[SubGroup]],Product_Structure[Subgroup],0)),"")</f>
        <v>Лопаты садовые</v>
      </c>
      <c r="I456" s="36">
        <v>9228</v>
      </c>
      <c r="J456" s="36" t="str">
        <f>IFERROR(INDEX(Product_Structure[Generic Name (long)],MATCH(Товары[[#This Row],[SubGroup]],Product_Structure[Subgroup],0)),"")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Row],[SubGroup]],DIY!$B:$C,2,FALSE),0)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3" t="str">
        <f>IFERROR(INDEX(Product_Structure[SuperCategory],MATCH(Товары[[#This Row],[SubGroup]],Product_Structure[Subgroup],0)),"")</f>
        <v>A</v>
      </c>
      <c r="D457" s="113" t="str">
        <f>IFERROR(INDEX(Product_Structure[SuperCategory Name ENG],MATCH(Товары[[#This Row],[SubGroup]],Product_Structure[Subgroup],0)),"")</f>
        <v>Hand&amp;Cutting tools, Accessories</v>
      </c>
      <c r="E45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7" s="113" t="str">
        <f>IFERROR(INDEX(Product_Structure[Product group],MATCH(Товары[[#This Row],[SubGroup]],Product_Structure[Subgroup],0)),"")</f>
        <v>AMT_C</v>
      </c>
      <c r="G457" s="113" t="str">
        <f>IFERROR(INDEX(Product_Structure[Product group name ENG],MATCH(Товары[[#This Row],[SubGroup]],Product_Structure[Subgroup],0)),"")</f>
        <v>Accessories, Manual, Tools</v>
      </c>
      <c r="H457" s="113" t="str">
        <f>IFERROR(INDEX(Product_Structure[Generic Name (long)3],MATCH(Товары[[#This Row],[SubGroup]],Product_Structure[Subgroup],0)),"")</f>
        <v>Лопаты садовые</v>
      </c>
      <c r="I457" s="36">
        <v>9228</v>
      </c>
      <c r="J457" s="36" t="str">
        <f>IFERROR(INDEX(Product_Structure[Generic Name (long)],MATCH(Товары[[#This Row],[SubGroup]],Product_Structure[Subgroup],0)),"")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Row],[SubGroup]],DIY!$B:$C,2,FALSE),0)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3" t="str">
        <f>IFERROR(INDEX(Product_Structure[SuperCategory],MATCH(Товары[[#This Row],[SubGroup]],Product_Structure[Subgroup],0)),"")</f>
        <v>A</v>
      </c>
      <c r="D458" s="113" t="str">
        <f>IFERROR(INDEX(Product_Structure[SuperCategory Name ENG],MATCH(Товары[[#This Row],[SubGroup]],Product_Structure[Subgroup],0)),"")</f>
        <v>Hand&amp;Cutting tools, Accessories</v>
      </c>
      <c r="E45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8" s="113" t="str">
        <f>IFERROR(INDEX(Product_Structure[Product group],MATCH(Товары[[#This Row],[SubGroup]],Product_Structure[Subgroup],0)),"")</f>
        <v>AMT_C</v>
      </c>
      <c r="G458" s="113" t="str">
        <f>IFERROR(INDEX(Product_Structure[Product group name ENG],MATCH(Товары[[#This Row],[SubGroup]],Product_Structure[Subgroup],0)),"")</f>
        <v>Accessories, Manual, Tools</v>
      </c>
      <c r="H458" s="113" t="str">
        <f>IFERROR(INDEX(Product_Structure[Generic Name (long)3],MATCH(Товары[[#This Row],[SubGroup]],Product_Structure[Subgroup],0)),"")</f>
        <v>Лопаты садовые</v>
      </c>
      <c r="I458" s="36">
        <v>9228</v>
      </c>
      <c r="J458" s="36" t="str">
        <f>IFERROR(INDEX(Product_Structure[Generic Name (long)],MATCH(Товары[[#This Row],[SubGroup]],Product_Structure[Subgroup],0)),"")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Row],[SubGroup]],DIY!$B:$C,2,FALSE),0)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3" t="str">
        <f>IFERROR(INDEX(Product_Structure[SuperCategory],MATCH(Товары[[#This Row],[SubGroup]],Product_Structure[Subgroup],0)),"")</f>
        <v>A</v>
      </c>
      <c r="D459" s="113" t="str">
        <f>IFERROR(INDEX(Product_Structure[SuperCategory Name ENG],MATCH(Товары[[#This Row],[SubGroup]],Product_Structure[Subgroup],0)),"")</f>
        <v>Hand&amp;Cutting tools, Accessories</v>
      </c>
      <c r="E45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59" s="113" t="str">
        <f>IFERROR(INDEX(Product_Structure[Product group],MATCH(Товары[[#This Row],[SubGroup]],Product_Structure[Subgroup],0)),"")</f>
        <v>AMT_C</v>
      </c>
      <c r="G459" s="113" t="str">
        <f>IFERROR(INDEX(Product_Structure[Product group name ENG],MATCH(Товары[[#This Row],[SubGroup]],Product_Structure[Subgroup],0)),"")</f>
        <v>Accessories, Manual, Tools</v>
      </c>
      <c r="H45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59" s="36">
        <v>9221</v>
      </c>
      <c r="J459" s="36" t="str">
        <f>IFERROR(INDEX(Product_Structure[Generic Name (long)],MATCH(Товары[[#This Row],[SubGroup]],Product_Structure[Subgroup],0)),"")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Row],[SubGroup]],DIY!$B:$C,2,FALSE),0)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3" t="str">
        <f>IFERROR(INDEX(Product_Structure[SuperCategory],MATCH(Товары[[#This Row],[SubGroup]],Product_Structure[Subgroup],0)),"")</f>
        <v>A</v>
      </c>
      <c r="D460" s="113" t="str">
        <f>IFERROR(INDEX(Product_Structure[SuperCategory Name ENG],MATCH(Товары[[#This Row],[SubGroup]],Product_Structure[Subgroup],0)),"")</f>
        <v>Hand&amp;Cutting tools, Accessories</v>
      </c>
      <c r="E46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0" s="113" t="str">
        <f>IFERROR(INDEX(Product_Structure[Product group],MATCH(Товары[[#This Row],[SubGroup]],Product_Structure[Subgroup],0)),"")</f>
        <v>AMT_C</v>
      </c>
      <c r="G460" s="113" t="str">
        <f>IFERROR(INDEX(Product_Structure[Product group name ENG],MATCH(Товары[[#This Row],[SubGroup]],Product_Structure[Subgroup],0)),"")</f>
        <v>Accessories, Manual, Tools</v>
      </c>
      <c r="H460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0" s="36">
        <v>9221</v>
      </c>
      <c r="J460" s="36" t="str">
        <f>IFERROR(INDEX(Product_Structure[Generic Name (long)],MATCH(Товары[[#This Row],[SubGroup]],Product_Structure[Subgroup],0)),"")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Row],[SubGroup]],DIY!$B:$C,2,FALSE),0)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3" t="str">
        <f>IFERROR(INDEX(Product_Structure[SuperCategory],MATCH(Товары[[#This Row],[SubGroup]],Product_Structure[Subgroup],0)),"")</f>
        <v>A</v>
      </c>
      <c r="D461" s="113" t="str">
        <f>IFERROR(INDEX(Product_Structure[SuperCategory Name ENG],MATCH(Товары[[#This Row],[SubGroup]],Product_Structure[Subgroup],0)),"")</f>
        <v>Hand&amp;Cutting tools, Accessories</v>
      </c>
      <c r="E46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1" s="113" t="str">
        <f>IFERROR(INDEX(Product_Structure[Product group],MATCH(Товары[[#This Row],[SubGroup]],Product_Structure[Subgroup],0)),"")</f>
        <v>AMT_C</v>
      </c>
      <c r="G461" s="113" t="str">
        <f>IFERROR(INDEX(Product_Structure[Product group name ENG],MATCH(Товары[[#This Row],[SubGroup]],Product_Structure[Subgroup],0)),"")</f>
        <v>Accessories, Manual, Tools</v>
      </c>
      <c r="H46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1" s="36">
        <v>9221</v>
      </c>
      <c r="J461" s="36" t="str">
        <f>IFERROR(INDEX(Product_Structure[Generic Name (long)],MATCH(Товары[[#This Row],[SubGroup]],Product_Structure[Subgroup],0)),"")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Row],[SubGroup]],DIY!$B:$C,2,FALSE),0)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3" t="str">
        <f>IFERROR(INDEX(Product_Structure[SuperCategory],MATCH(Товары[[#This Row],[SubGroup]],Product_Structure[Subgroup],0)),"")</f>
        <v>A</v>
      </c>
      <c r="D462" s="113" t="str">
        <f>IFERROR(INDEX(Product_Structure[SuperCategory Name ENG],MATCH(Товары[[#This Row],[SubGroup]],Product_Structure[Subgroup],0)),"")</f>
        <v>Hand&amp;Cutting tools, Accessories</v>
      </c>
      <c r="E46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2" s="113" t="str">
        <f>IFERROR(INDEX(Product_Structure[Product group],MATCH(Товары[[#This Row],[SubGroup]],Product_Structure[Subgroup],0)),"")</f>
        <v>AMT_C</v>
      </c>
      <c r="G462" s="113" t="str">
        <f>IFERROR(INDEX(Product_Structure[Product group name ENG],MATCH(Товары[[#This Row],[SubGroup]],Product_Structure[Subgroup],0)),"")</f>
        <v>Accessories, Manual, Tools</v>
      </c>
      <c r="H46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2" s="36">
        <v>9221</v>
      </c>
      <c r="J462" s="36" t="str">
        <f>IFERROR(INDEX(Product_Structure[Generic Name (long)],MATCH(Товары[[#This Row],[SubGroup]],Product_Structure[Subgroup],0)),"")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Row],[SubGroup]],DIY!$B:$C,2,FALSE),0)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3" t="str">
        <f>IFERROR(INDEX(Product_Structure[SuperCategory],MATCH(Товары[[#This Row],[SubGroup]],Product_Structure[Subgroup],0)),"")</f>
        <v>A</v>
      </c>
      <c r="D463" s="113" t="str">
        <f>IFERROR(INDEX(Product_Structure[SuperCategory Name ENG],MATCH(Товары[[#This Row],[SubGroup]],Product_Structure[Subgroup],0)),"")</f>
        <v>Hand&amp;Cutting tools, Accessories</v>
      </c>
      <c r="E46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3" s="113" t="str">
        <f>IFERROR(INDEX(Product_Structure[Product group],MATCH(Товары[[#This Row],[SubGroup]],Product_Structure[Subgroup],0)),"")</f>
        <v>AMT_C</v>
      </c>
      <c r="G463" s="113" t="str">
        <f>IFERROR(INDEX(Product_Structure[Product group name ENG],MATCH(Товары[[#This Row],[SubGroup]],Product_Structure[Subgroup],0)),"")</f>
        <v>Accessories, Manual, Tools</v>
      </c>
      <c r="H46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3" s="36">
        <v>9221</v>
      </c>
      <c r="J463" s="36" t="str">
        <f>IFERROR(INDEX(Product_Structure[Generic Name (long)],MATCH(Товары[[#This Row],[SubGroup]],Product_Structure[Subgroup],0)),"")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Row],[SubGroup]],DIY!$B:$C,2,FALSE),0)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3" t="str">
        <f>IFERROR(INDEX(Product_Structure[SuperCategory],MATCH(Товары[[#This Row],[SubGroup]],Product_Structure[Subgroup],0)),"")</f>
        <v>A</v>
      </c>
      <c r="D464" s="113" t="str">
        <f>IFERROR(INDEX(Product_Structure[SuperCategory Name ENG],MATCH(Товары[[#This Row],[SubGroup]],Product_Structure[Subgroup],0)),"")</f>
        <v>Hand&amp;Cutting tools, Accessories</v>
      </c>
      <c r="E46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4" s="113" t="str">
        <f>IFERROR(INDEX(Product_Structure[Product group],MATCH(Товары[[#This Row],[SubGroup]],Product_Structure[Subgroup],0)),"")</f>
        <v>AMT_C</v>
      </c>
      <c r="G464" s="113" t="str">
        <f>IFERROR(INDEX(Product_Structure[Product group name ENG],MATCH(Товары[[#This Row],[SubGroup]],Product_Structure[Subgroup],0)),"")</f>
        <v>Accessories, Manual, Tools</v>
      </c>
      <c r="H464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4" s="36">
        <v>9221</v>
      </c>
      <c r="J464" s="36" t="str">
        <f>IFERROR(INDEX(Product_Structure[Generic Name (long)],MATCH(Товары[[#This Row],[SubGroup]],Product_Structure[Subgroup],0)),"")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Row],[SubGroup]],DIY!$B:$C,2,FALSE),0)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3" t="str">
        <f>IFERROR(INDEX(Product_Structure[SuperCategory],MATCH(Товары[[#This Row],[SubGroup]],Product_Structure[Subgroup],0)),"")</f>
        <v>A</v>
      </c>
      <c r="D465" s="113" t="str">
        <f>IFERROR(INDEX(Product_Structure[SuperCategory Name ENG],MATCH(Товары[[#This Row],[SubGroup]],Product_Structure[Subgroup],0)),"")</f>
        <v>Hand&amp;Cutting tools, Accessories</v>
      </c>
      <c r="E46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5" s="113" t="str">
        <f>IFERROR(INDEX(Product_Structure[Product group],MATCH(Товары[[#This Row],[SubGroup]],Product_Structure[Subgroup],0)),"")</f>
        <v>AMT_C</v>
      </c>
      <c r="G465" s="113" t="str">
        <f>IFERROR(INDEX(Product_Structure[Product group name ENG],MATCH(Товары[[#This Row],[SubGroup]],Product_Structure[Subgroup],0)),"")</f>
        <v>Accessories, Manual, Tools</v>
      </c>
      <c r="H465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5" s="36">
        <v>9221</v>
      </c>
      <c r="J465" s="36" t="str">
        <f>IFERROR(INDEX(Product_Structure[Generic Name (long)],MATCH(Товары[[#This Row],[SubGroup]],Product_Structure[Subgroup],0)),"")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Row],[SubGroup]],DIY!$B:$C,2,FALSE),0)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3" t="str">
        <f>IFERROR(INDEX(Product_Structure[SuperCategory],MATCH(Товары[[#This Row],[SubGroup]],Product_Structure[Subgroup],0)),"")</f>
        <v>A</v>
      </c>
      <c r="D466" s="113" t="str">
        <f>IFERROR(INDEX(Product_Structure[SuperCategory Name ENG],MATCH(Товары[[#This Row],[SubGroup]],Product_Structure[Subgroup],0)),"")</f>
        <v>Hand&amp;Cutting tools, Accessories</v>
      </c>
      <c r="E46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6" s="113" t="str">
        <f>IFERROR(INDEX(Product_Structure[Product group],MATCH(Товары[[#This Row],[SubGroup]],Product_Structure[Subgroup],0)),"")</f>
        <v>AMT_C</v>
      </c>
      <c r="G466" s="113" t="str">
        <f>IFERROR(INDEX(Product_Structure[Product group name ENG],MATCH(Товары[[#This Row],[SubGroup]],Product_Structure[Subgroup],0)),"")</f>
        <v>Accessories, Manual, Tools</v>
      </c>
      <c r="H466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6" s="36">
        <v>9221</v>
      </c>
      <c r="J466" s="36" t="str">
        <f>IFERROR(INDEX(Product_Structure[Generic Name (long)],MATCH(Товары[[#This Row],[SubGroup]],Product_Structure[Subgroup],0)),"")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Row],[SubGroup]],DIY!$B:$C,2,FALSE),0)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3" t="str">
        <f>IFERROR(INDEX(Product_Structure[SuperCategory],MATCH(Товары[[#This Row],[SubGroup]],Product_Structure[Subgroup],0)),"")</f>
        <v>A</v>
      </c>
      <c r="D467" s="113" t="str">
        <f>IFERROR(INDEX(Product_Structure[SuperCategory Name ENG],MATCH(Товары[[#This Row],[SubGroup]],Product_Structure[Subgroup],0)),"")</f>
        <v>Hand&amp;Cutting tools, Accessories</v>
      </c>
      <c r="E46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7" s="113" t="str">
        <f>IFERROR(INDEX(Product_Structure[Product group],MATCH(Товары[[#This Row],[SubGroup]],Product_Structure[Subgroup],0)),"")</f>
        <v>AMT_C</v>
      </c>
      <c r="G467" s="113" t="str">
        <f>IFERROR(INDEX(Product_Structure[Product group name ENG],MATCH(Товары[[#This Row],[SubGroup]],Product_Structure[Subgroup],0)),"")</f>
        <v>Accessories, Manual, Tools</v>
      </c>
      <c r="H467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7" s="36">
        <v>9221</v>
      </c>
      <c r="J467" s="36" t="str">
        <f>IFERROR(INDEX(Product_Structure[Generic Name (long)],MATCH(Товары[[#This Row],[SubGroup]],Product_Structure[Subgroup],0)),"")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Row],[SubGroup]],DIY!$B:$C,2,FALSE),0)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3" t="str">
        <f>IFERROR(INDEX(Product_Structure[SuperCategory],MATCH(Товары[[#This Row],[SubGroup]],Product_Structure[Subgroup],0)),"")</f>
        <v>A</v>
      </c>
      <c r="D468" s="113" t="str">
        <f>IFERROR(INDEX(Product_Structure[SuperCategory Name ENG],MATCH(Товары[[#This Row],[SubGroup]],Product_Structure[Subgroup],0)),"")</f>
        <v>Hand&amp;Cutting tools, Accessories</v>
      </c>
      <c r="E46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8" s="113" t="str">
        <f>IFERROR(INDEX(Product_Structure[Product group],MATCH(Товары[[#This Row],[SubGroup]],Product_Structure[Subgroup],0)),"")</f>
        <v>AMT_C</v>
      </c>
      <c r="G468" s="113" t="str">
        <f>IFERROR(INDEX(Product_Structure[Product group name ENG],MATCH(Товары[[#This Row],[SubGroup]],Product_Structure[Subgroup],0)),"")</f>
        <v>Accessories, Manual, Tools</v>
      </c>
      <c r="H468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8" s="36">
        <v>9221</v>
      </c>
      <c r="J468" s="36" t="str">
        <f>IFERROR(INDEX(Product_Structure[Generic Name (long)],MATCH(Товары[[#This Row],[SubGroup]],Product_Structure[Subgroup],0)),"")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Row],[SubGroup]],DIY!$B:$C,2,FALSE),0)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3" t="str">
        <f>IFERROR(INDEX(Product_Structure[SuperCategory],MATCH(Товары[[#This Row],[SubGroup]],Product_Structure[Subgroup],0)),"")</f>
        <v>A</v>
      </c>
      <c r="D469" s="113" t="str">
        <f>IFERROR(INDEX(Product_Structure[SuperCategory Name ENG],MATCH(Товары[[#This Row],[SubGroup]],Product_Structure[Subgroup],0)),"")</f>
        <v>Hand&amp;Cutting tools, Accessories</v>
      </c>
      <c r="E46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69" s="113" t="str">
        <f>IFERROR(INDEX(Product_Structure[Product group],MATCH(Товары[[#This Row],[SubGroup]],Product_Structure[Subgroup],0)),"")</f>
        <v>AMT_C</v>
      </c>
      <c r="G469" s="113" t="str">
        <f>IFERROR(INDEX(Product_Structure[Product group name ENG],MATCH(Товары[[#This Row],[SubGroup]],Product_Structure[Subgroup],0)),"")</f>
        <v>Accessories, Manual, Tools</v>
      </c>
      <c r="H46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69" s="36">
        <v>9221</v>
      </c>
      <c r="J469" s="36" t="str">
        <f>IFERROR(INDEX(Product_Structure[Generic Name (long)],MATCH(Товары[[#This Row],[SubGroup]],Product_Structure[Subgroup],0)),"")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Row],[SubGroup]],DIY!$B:$C,2,FALSE),0)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3" t="str">
        <f>IFERROR(INDEX(Product_Structure[SuperCategory],MATCH(Товары[[#This Row],[SubGroup]],Product_Structure[Subgroup],0)),"")</f>
        <v>A</v>
      </c>
      <c r="D470" s="113" t="str">
        <f>IFERROR(INDEX(Product_Structure[SuperCategory Name ENG],MATCH(Товары[[#This Row],[SubGroup]],Product_Structure[Subgroup],0)),"")</f>
        <v>Hand&amp;Cutting tools, Accessories</v>
      </c>
      <c r="E47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0" s="113" t="str">
        <f>IFERROR(INDEX(Product_Structure[Product group],MATCH(Товары[[#This Row],[SubGroup]],Product_Structure[Subgroup],0)),"")</f>
        <v>AMT_C</v>
      </c>
      <c r="G470" s="113" t="str">
        <f>IFERROR(INDEX(Product_Structure[Product group name ENG],MATCH(Товары[[#This Row],[SubGroup]],Product_Structure[Subgroup],0)),"")</f>
        <v>Accessories, Manual, Tools</v>
      </c>
      <c r="H470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70" s="36">
        <v>9221</v>
      </c>
      <c r="J470" s="36" t="str">
        <f>IFERROR(INDEX(Product_Structure[Generic Name (long)],MATCH(Товары[[#This Row],[SubGroup]],Product_Structure[Subgroup],0)),"")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Row],[SubGroup]],DIY!$B:$C,2,FALSE),0)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3" t="str">
        <f>IFERROR(INDEX(Product_Structure[SuperCategory],MATCH(Товары[[#This Row],[SubGroup]],Product_Structure[Subgroup],0)),"")</f>
        <v>A</v>
      </c>
      <c r="D471" s="113" t="str">
        <f>IFERROR(INDEX(Product_Structure[SuperCategory Name ENG],MATCH(Товары[[#This Row],[SubGroup]],Product_Structure[Subgroup],0)),"")</f>
        <v>Hand&amp;Cutting tools, Accessories</v>
      </c>
      <c r="E47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1" s="113" t="str">
        <f>IFERROR(INDEX(Product_Structure[Product group],MATCH(Товары[[#This Row],[SubGroup]],Product_Structure[Subgroup],0)),"")</f>
        <v>AMT_C</v>
      </c>
      <c r="G471" s="113" t="str">
        <f>IFERROR(INDEX(Product_Structure[Product group name ENG],MATCH(Товары[[#This Row],[SubGroup]],Product_Structure[Subgroup],0)),"")</f>
        <v>Accessories, Manual, Tools</v>
      </c>
      <c r="H47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71" s="36">
        <v>9221</v>
      </c>
      <c r="J471" s="36" t="str">
        <f>IFERROR(INDEX(Product_Structure[Generic Name (long)],MATCH(Товары[[#This Row],[SubGroup]],Product_Structure[Subgroup],0)),"")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Row],[SubGroup]],DIY!$B:$C,2,FALSE),0)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3" t="str">
        <f>IFERROR(INDEX(Product_Structure[SuperCategory],MATCH(Товары[[#This Row],[SubGroup]],Product_Structure[Subgroup],0)),"")</f>
        <v>A</v>
      </c>
      <c r="D472" s="113" t="str">
        <f>IFERROR(INDEX(Product_Structure[SuperCategory Name ENG],MATCH(Товары[[#This Row],[SubGroup]],Product_Structure[Subgroup],0)),"")</f>
        <v>Hand&amp;Cutting tools, Accessories</v>
      </c>
      <c r="E47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2" s="113" t="str">
        <f>IFERROR(INDEX(Product_Structure[Product group],MATCH(Товары[[#This Row],[SubGroup]],Product_Structure[Subgroup],0)),"")</f>
        <v>AMT_C</v>
      </c>
      <c r="G472" s="113" t="str">
        <f>IFERROR(INDEX(Product_Structure[Product group name ENG],MATCH(Товары[[#This Row],[SubGroup]],Product_Structure[Subgroup],0)),"")</f>
        <v>Accessories, Manual, Tools</v>
      </c>
      <c r="H472" s="113" t="str">
        <f>IFERROR(INDEX(Product_Structure[Generic Name (long)3],MATCH(Товары[[#This Row],[SubGroup]],Product_Structure[Subgroup],0)),"")</f>
        <v>Удалители сорняков</v>
      </c>
      <c r="I472" s="36">
        <v>9229</v>
      </c>
      <c r="J472" s="36" t="str">
        <f>IFERROR(INDEX(Product_Structure[Generic Name (long)],MATCH(Товары[[#This Row],[SubGroup]],Product_Structure[Subgroup],0)),"")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Row],[SubGroup]],DIY!$B:$C,2,FALSE),0)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3" t="str">
        <f>IFERROR(INDEX(Product_Structure[SuperCategory],MATCH(Товары[[#This Row],[SubGroup]],Product_Structure[Subgroup],0)),"")</f>
        <v>A</v>
      </c>
      <c r="D473" s="113" t="str">
        <f>IFERROR(INDEX(Product_Structure[SuperCategory Name ENG],MATCH(Товары[[#This Row],[SubGroup]],Product_Structure[Subgroup],0)),"")</f>
        <v>Hand&amp;Cutting tools, Accessories</v>
      </c>
      <c r="E47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3" s="113" t="str">
        <f>IFERROR(INDEX(Product_Structure[Product group],MATCH(Товары[[#This Row],[SubGroup]],Product_Structure[Subgroup],0)),"")</f>
        <v>AMT_C</v>
      </c>
      <c r="G473" s="113" t="str">
        <f>IFERROR(INDEX(Product_Structure[Product group name ENG],MATCH(Товары[[#This Row],[SubGroup]],Product_Structure[Subgroup],0)),"")</f>
        <v>Accessories, Manual, Tools</v>
      </c>
      <c r="H473" s="113" t="str">
        <f>IFERROR(INDEX(Product_Structure[Generic Name (long)3],MATCH(Товары[[#This Row],[SubGroup]],Product_Structure[Subgroup],0)),"")</f>
        <v>Удалители сорняков</v>
      </c>
      <c r="I473" s="36">
        <v>9229</v>
      </c>
      <c r="J473" s="36" t="str">
        <f>IFERROR(INDEX(Product_Structure[Generic Name (long)],MATCH(Товары[[#This Row],[SubGroup]],Product_Structure[Subgroup],0)),"")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Row],[SubGroup]],DIY!$B:$C,2,FALSE),0)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3" t="str">
        <f>IFERROR(INDEX(Product_Structure[SuperCategory],MATCH(Товары[[#This Row],[SubGroup]],Product_Structure[Subgroup],0)),"")</f>
        <v>A</v>
      </c>
      <c r="D474" s="113" t="str">
        <f>IFERROR(INDEX(Product_Structure[SuperCategory Name ENG],MATCH(Товары[[#This Row],[SubGroup]],Product_Structure[Subgroup],0)),"")</f>
        <v>Hand&amp;Cutting tools, Accessories</v>
      </c>
      <c r="E47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4" s="113" t="str">
        <f>IFERROR(INDEX(Product_Structure[Product group],MATCH(Товары[[#This Row],[SubGroup]],Product_Structure[Subgroup],0)),"")</f>
        <v>AMT_C</v>
      </c>
      <c r="G474" s="113" t="str">
        <f>IFERROR(INDEX(Product_Structure[Product group name ENG],MATCH(Товары[[#This Row],[SubGroup]],Product_Structure[Subgroup],0)),"")</f>
        <v>Accessories, Manual, Tools</v>
      </c>
      <c r="H474" s="113" t="str">
        <f>IFERROR(INDEX(Product_Structure[Generic Name (long)3],MATCH(Товары[[#This Row],[SubGroup]],Product_Structure[Subgroup],0)),"")</f>
        <v>Удалители сорняков</v>
      </c>
      <c r="I474" s="36">
        <v>9229</v>
      </c>
      <c r="J474" s="36" t="str">
        <f>IFERROR(INDEX(Product_Structure[Generic Name (long)],MATCH(Товары[[#This Row],[SubGroup]],Product_Structure[Subgroup],0)),"")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Row],[SubGroup]],DIY!$B:$C,2,FALSE),0)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3" t="str">
        <f>IFERROR(INDEX(Product_Structure[SuperCategory],MATCH(Товары[[#This Row],[SubGroup]],Product_Structure[Subgroup],0)),"")</f>
        <v>A</v>
      </c>
      <c r="D475" s="113" t="str">
        <f>IFERROR(INDEX(Product_Structure[SuperCategory Name ENG],MATCH(Товары[[#This Row],[SubGroup]],Product_Structure[Subgroup],0)),"")</f>
        <v>Hand&amp;Cutting tools, Accessories</v>
      </c>
      <c r="E47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5" s="113" t="str">
        <f>IFERROR(INDEX(Product_Structure[Product group],MATCH(Товары[[#This Row],[SubGroup]],Product_Structure[Subgroup],0)),"")</f>
        <v>AMT_C</v>
      </c>
      <c r="G475" s="113" t="str">
        <f>IFERROR(INDEX(Product_Structure[Product group name ENG],MATCH(Товары[[#This Row],[SubGroup]],Product_Structure[Subgroup],0)),"")</f>
        <v>Accessories, Manual, Tools</v>
      </c>
      <c r="H475" s="113" t="str">
        <f>IFERROR(INDEX(Product_Structure[Generic Name (long)3],MATCH(Товары[[#This Row],[SubGroup]],Product_Structure[Subgroup],0)),"")</f>
        <v>Удалители сорняков</v>
      </c>
      <c r="I475" s="36">
        <v>9229</v>
      </c>
      <c r="J475" s="36" t="str">
        <f>IFERROR(INDEX(Product_Structure[Generic Name (long)],MATCH(Товары[[#This Row],[SubGroup]],Product_Structure[Subgroup],0)),"")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Row],[SubGroup]],DIY!$B:$C,2,FALSE),0)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3" t="str">
        <f>IFERROR(INDEX(Product_Structure[SuperCategory],MATCH(Товары[[#This Row],[SubGroup]],Product_Structure[Subgroup],0)),"")</f>
        <v>A</v>
      </c>
      <c r="D476" s="113" t="str">
        <f>IFERROR(INDEX(Product_Structure[SuperCategory Name ENG],MATCH(Товары[[#This Row],[SubGroup]],Product_Structure[Subgroup],0)),"")</f>
        <v>Hand&amp;Cutting tools, Accessories</v>
      </c>
      <c r="E47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6" s="113" t="str">
        <f>IFERROR(INDEX(Product_Structure[Product group],MATCH(Товары[[#This Row],[SubGroup]],Product_Structure[Subgroup],0)),"")</f>
        <v>AMT_C</v>
      </c>
      <c r="G476" s="113" t="str">
        <f>IFERROR(INDEX(Product_Structure[Product group name ENG],MATCH(Товары[[#This Row],[SubGroup]],Product_Structure[Subgroup],0)),"")</f>
        <v>Accessories, Manual, Tools</v>
      </c>
      <c r="H476" s="113" t="str">
        <f>IFERROR(INDEX(Product_Structure[Generic Name (long)3],MATCH(Товары[[#This Row],[SubGroup]],Product_Structure[Subgroup],0)),"")</f>
        <v>Удалители сорняков</v>
      </c>
      <c r="I476" s="36">
        <v>9229</v>
      </c>
      <c r="J476" s="36" t="str">
        <f>IFERROR(INDEX(Product_Structure[Generic Name (long)],MATCH(Товары[[#This Row],[SubGroup]],Product_Structure[Subgroup],0)),"")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Row],[SubGroup]],DIY!$B:$C,2,FALSE),0)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3" t="str">
        <f>IFERROR(INDEX(Product_Structure[SuperCategory],MATCH(Товары[[#This Row],[SubGroup]],Product_Structure[Subgroup],0)),"")</f>
        <v>A</v>
      </c>
      <c r="D477" s="113" t="str">
        <f>IFERROR(INDEX(Product_Structure[SuperCategory Name ENG],MATCH(Товары[[#This Row],[SubGroup]],Product_Structure[Subgroup],0)),"")</f>
        <v>Hand&amp;Cutting tools, Accessories</v>
      </c>
      <c r="E47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7" s="113" t="str">
        <f>IFERROR(INDEX(Product_Structure[Product group],MATCH(Товары[[#This Row],[SubGroup]],Product_Structure[Subgroup],0)),"")</f>
        <v>AMT_C</v>
      </c>
      <c r="G477" s="113" t="str">
        <f>IFERROR(INDEX(Product_Structure[Product group name ENG],MATCH(Товары[[#This Row],[SubGroup]],Product_Structure[Subgroup],0)),"")</f>
        <v>Accessories, Manual, Tools</v>
      </c>
      <c r="H477" s="113" t="str">
        <f>IFERROR(INDEX(Product_Structure[Generic Name (long)3],MATCH(Товары[[#This Row],[SubGroup]],Product_Structure[Subgroup],0)),"")</f>
        <v>Удалители сорняков</v>
      </c>
      <c r="I477" s="36">
        <v>9229</v>
      </c>
      <c r="J477" s="36" t="str">
        <f>IFERROR(INDEX(Product_Structure[Generic Name (long)],MATCH(Товары[[#This Row],[SubGroup]],Product_Structure[Subgroup],0)),"")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Row],[SubGroup]],DIY!$B:$C,2,FALSE),0)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3" t="str">
        <f>IFERROR(INDEX(Product_Structure[SuperCategory],MATCH(Товары[[#This Row],[SubGroup]],Product_Structure[Subgroup],0)),"")</f>
        <v>A</v>
      </c>
      <c r="D478" s="113" t="str">
        <f>IFERROR(INDEX(Product_Structure[SuperCategory Name ENG],MATCH(Товары[[#This Row],[SubGroup]],Product_Structure[Subgroup],0)),"")</f>
        <v>Hand&amp;Cutting tools, Accessories</v>
      </c>
      <c r="E47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8" s="113" t="str">
        <f>IFERROR(INDEX(Product_Structure[Product group],MATCH(Товары[[#This Row],[SubGroup]],Product_Structure[Subgroup],0)),"")</f>
        <v>AMT_C</v>
      </c>
      <c r="G478" s="113" t="str">
        <f>IFERROR(INDEX(Product_Structure[Product group name ENG],MATCH(Товары[[#This Row],[SubGroup]],Product_Structure[Subgroup],0)),"")</f>
        <v>Accessories, Manual, Tools</v>
      </c>
      <c r="H478" s="113" t="str">
        <f>IFERROR(INDEX(Product_Structure[Generic Name (long)3],MATCH(Товары[[#This Row],[SubGroup]],Product_Structure[Subgroup],0)),"")</f>
        <v>Удалители сорняков</v>
      </c>
      <c r="I478" s="36">
        <v>9229</v>
      </c>
      <c r="J478" s="36" t="str">
        <f>IFERROR(INDEX(Product_Structure[Generic Name (long)],MATCH(Товары[[#This Row],[SubGroup]],Product_Structure[Subgroup],0)),"")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Row],[SubGroup]],DIY!$B:$C,2,FALSE),0)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3" t="str">
        <f>IFERROR(INDEX(Product_Structure[SuperCategory],MATCH(Товары[[#This Row],[SubGroup]],Product_Structure[Subgroup],0)),"")</f>
        <v>A</v>
      </c>
      <c r="D479" s="113" t="str">
        <f>IFERROR(INDEX(Product_Structure[SuperCategory Name ENG],MATCH(Товары[[#This Row],[SubGroup]],Product_Structure[Subgroup],0)),"")</f>
        <v>Hand&amp;Cutting tools, Accessories</v>
      </c>
      <c r="E47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79" s="113" t="str">
        <f>IFERROR(INDEX(Product_Structure[Product group],MATCH(Товары[[#This Row],[SubGroup]],Product_Structure[Subgroup],0)),"")</f>
        <v>AMT_C</v>
      </c>
      <c r="G479" s="113" t="str">
        <f>IFERROR(INDEX(Product_Structure[Product group name ENG],MATCH(Товары[[#This Row],[SubGroup]],Product_Structure[Subgroup],0)),"")</f>
        <v>Accessories, Manual, Tools</v>
      </c>
      <c r="H479" s="113" t="str">
        <f>IFERROR(INDEX(Product_Structure[Generic Name (long)3],MATCH(Товары[[#This Row],[SubGroup]],Product_Structure[Subgroup],0)),"")</f>
        <v>Удалители сорняков</v>
      </c>
      <c r="I479" s="36">
        <v>9229</v>
      </c>
      <c r="J479" s="36" t="str">
        <f>IFERROR(INDEX(Product_Structure[Generic Name (long)],MATCH(Товары[[#This Row],[SubGroup]],Product_Structure[Subgroup],0)),"")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Row],[SubGroup]],DIY!$B:$C,2,FALSE),0)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3" t="str">
        <f>IFERROR(INDEX(Product_Structure[SuperCategory],MATCH(Товары[[#This Row],[SubGroup]],Product_Structure[Subgroup],0)),"")</f>
        <v>A</v>
      </c>
      <c r="D480" s="113" t="str">
        <f>IFERROR(INDEX(Product_Structure[SuperCategory Name ENG],MATCH(Товары[[#This Row],[SubGroup]],Product_Structure[Subgroup],0)),"")</f>
        <v>Hand&amp;Cutting tools, Accessories</v>
      </c>
      <c r="E48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0" s="113" t="str">
        <f>IFERROR(INDEX(Product_Structure[Product group],MATCH(Товары[[#This Row],[SubGroup]],Product_Structure[Subgroup],0)),"")</f>
        <v>AMT_C</v>
      </c>
      <c r="G480" s="113" t="str">
        <f>IFERROR(INDEX(Product_Structure[Product group name ENG],MATCH(Товары[[#This Row],[SubGroup]],Product_Structure[Subgroup],0)),"")</f>
        <v>Accessories, Manual, Tools</v>
      </c>
      <c r="H480" s="113" t="str">
        <f>IFERROR(INDEX(Product_Structure[Generic Name (long)3],MATCH(Товары[[#This Row],[SubGroup]],Product_Structure[Subgroup],0)),"")</f>
        <v>Удалители сорняков</v>
      </c>
      <c r="I480" s="36">
        <v>9229</v>
      </c>
      <c r="J480" s="36" t="str">
        <f>IFERROR(INDEX(Product_Structure[Generic Name (long)],MATCH(Товары[[#This Row],[SubGroup]],Product_Structure[Subgroup],0)),"")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Row],[SubGroup]],DIY!$B:$C,2,FALSE),0)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3" t="str">
        <f>IFERROR(INDEX(Product_Structure[SuperCategory],MATCH(Товары[[#This Row],[SubGroup]],Product_Structure[Subgroup],0)),"")</f>
        <v>A</v>
      </c>
      <c r="D481" s="113" t="str">
        <f>IFERROR(INDEX(Product_Structure[SuperCategory Name ENG],MATCH(Товары[[#This Row],[SubGroup]],Product_Structure[Subgroup],0)),"")</f>
        <v>Hand&amp;Cutting tools, Accessories</v>
      </c>
      <c r="E48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1" s="113" t="str">
        <f>IFERROR(INDEX(Product_Structure[Product group],MATCH(Товары[[#This Row],[SubGroup]],Product_Structure[Subgroup],0)),"")</f>
        <v>AMT_C</v>
      </c>
      <c r="G481" s="113" t="str">
        <f>IFERROR(INDEX(Product_Structure[Product group name ENG],MATCH(Товары[[#This Row],[SubGroup]],Product_Structure[Subgroup],0)),"")</f>
        <v>Accessories, Manual, Tools</v>
      </c>
      <c r="H481" s="113" t="str">
        <f>IFERROR(INDEX(Product_Structure[Generic Name (long)3],MATCH(Товары[[#This Row],[SubGroup]],Product_Structure[Subgroup],0)),"")</f>
        <v>Удалители сорняков</v>
      </c>
      <c r="I481" s="36">
        <v>9229</v>
      </c>
      <c r="J481" s="36" t="str">
        <f>IFERROR(INDEX(Product_Structure[Generic Name (long)],MATCH(Товары[[#This Row],[SubGroup]],Product_Structure[Subgroup],0)),"")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Row],[SubGroup]],DIY!$B:$C,2,FALSE),0)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3" t="str">
        <f>IFERROR(INDEX(Product_Structure[SuperCategory],MATCH(Товары[[#This Row],[SubGroup]],Product_Structure[Subgroup],0)),"")</f>
        <v>A</v>
      </c>
      <c r="D482" s="113" t="str">
        <f>IFERROR(INDEX(Product_Structure[SuperCategory Name ENG],MATCH(Товары[[#This Row],[SubGroup]],Product_Structure[Subgroup],0)),"")</f>
        <v>Hand&amp;Cutting tools, Accessories</v>
      </c>
      <c r="E48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2" s="113" t="str">
        <f>IFERROR(INDEX(Product_Structure[Product group],MATCH(Товары[[#This Row],[SubGroup]],Product_Structure[Subgroup],0)),"")</f>
        <v>AMT_C</v>
      </c>
      <c r="G482" s="113" t="str">
        <f>IFERROR(INDEX(Product_Structure[Product group name ENG],MATCH(Товары[[#This Row],[SubGroup]],Product_Structure[Subgroup],0)),"")</f>
        <v>Accessories, Manual, Tools</v>
      </c>
      <c r="H482" s="113" t="str">
        <f>IFERROR(INDEX(Product_Structure[Generic Name (long)3],MATCH(Товары[[#This Row],[SubGroup]],Product_Structure[Subgroup],0)),"")</f>
        <v>Удалители сорняков</v>
      </c>
      <c r="I482" s="36">
        <v>9229</v>
      </c>
      <c r="J482" s="36" t="str">
        <f>IFERROR(INDEX(Product_Structure[Generic Name (long)],MATCH(Товары[[#This Row],[SubGroup]],Product_Structure[Subgroup],0)),"")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Row],[SubGroup]],DIY!$B:$C,2,FALSE),0)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3" t="str">
        <f>IFERROR(INDEX(Product_Structure[SuperCategory],MATCH(Товары[[#This Row],[SubGroup]],Product_Structure[Subgroup],0)),"")</f>
        <v>A</v>
      </c>
      <c r="D483" s="113" t="str">
        <f>IFERROR(INDEX(Product_Structure[SuperCategory Name ENG],MATCH(Товары[[#This Row],[SubGroup]],Product_Structure[Subgroup],0)),"")</f>
        <v>Hand&amp;Cutting tools, Accessories</v>
      </c>
      <c r="E48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3" s="113" t="str">
        <f>IFERROR(INDEX(Product_Structure[Product group],MATCH(Товары[[#This Row],[SubGroup]],Product_Structure[Subgroup],0)),"")</f>
        <v>AMT_C</v>
      </c>
      <c r="G483" s="113" t="str">
        <f>IFERROR(INDEX(Product_Structure[Product group name ENG],MATCH(Товары[[#This Row],[SubGroup]],Product_Structure[Subgroup],0)),"")</f>
        <v>Accessories, Manual, Tools</v>
      </c>
      <c r="H483" s="113" t="str">
        <f>IFERROR(INDEX(Product_Structure[Generic Name (long)3],MATCH(Товары[[#This Row],[SubGroup]],Product_Structure[Subgroup],0)),"")</f>
        <v>Удалители сорняков</v>
      </c>
      <c r="I483" s="36">
        <v>9229</v>
      </c>
      <c r="J483" s="36" t="str">
        <f>IFERROR(INDEX(Product_Structure[Generic Name (long)],MATCH(Товары[[#This Row],[SubGroup]],Product_Structure[Subgroup],0)),"")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Row],[SubGroup]],DIY!$B:$C,2,FALSE),0)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3" t="str">
        <f>IFERROR(INDEX(Product_Structure[SuperCategory],MATCH(Товары[[#This Row],[SubGroup]],Product_Structure[Subgroup],0)),"")</f>
        <v>A</v>
      </c>
      <c r="D484" s="113" t="str">
        <f>IFERROR(INDEX(Product_Structure[SuperCategory Name ENG],MATCH(Товары[[#This Row],[SubGroup]],Product_Structure[Subgroup],0)),"")</f>
        <v>Hand&amp;Cutting tools, Accessories</v>
      </c>
      <c r="E48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4" s="113" t="str">
        <f>IFERROR(INDEX(Product_Structure[Product group],MATCH(Товары[[#This Row],[SubGroup]],Product_Structure[Subgroup],0)),"")</f>
        <v>AMT_C</v>
      </c>
      <c r="G484" s="113" t="str">
        <f>IFERROR(INDEX(Product_Structure[Product group name ENG],MATCH(Товары[[#This Row],[SubGroup]],Product_Structure[Subgroup],0)),"")</f>
        <v>Accessories, Manual, Tools</v>
      </c>
      <c r="H484" s="113" t="str">
        <f>IFERROR(INDEX(Product_Structure[Generic Name (long)3],MATCH(Товары[[#This Row],[SubGroup]],Product_Structure[Subgroup],0)),"")</f>
        <v>Удалители сорняков</v>
      </c>
      <c r="I484" s="36">
        <v>9229</v>
      </c>
      <c r="J484" s="36" t="str">
        <f>IFERROR(INDEX(Product_Structure[Generic Name (long)],MATCH(Товары[[#This Row],[SubGroup]],Product_Structure[Subgroup],0)),"")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Row],[SubGroup]],DIY!$B:$C,2,FALSE),0)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3" t="str">
        <f>IFERROR(INDEX(Product_Structure[SuperCategory],MATCH(Товары[[#This Row],[SubGroup]],Product_Structure[Subgroup],0)),"")</f>
        <v>A</v>
      </c>
      <c r="D485" s="113" t="str">
        <f>IFERROR(INDEX(Product_Structure[SuperCategory Name ENG],MATCH(Товары[[#This Row],[SubGroup]],Product_Structure[Subgroup],0)),"")</f>
        <v>Hand&amp;Cutting tools, Accessories</v>
      </c>
      <c r="E48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5" s="113" t="str">
        <f>IFERROR(INDEX(Product_Structure[Product group],MATCH(Товары[[#This Row],[SubGroup]],Product_Structure[Subgroup],0)),"")</f>
        <v>AMT_C</v>
      </c>
      <c r="G485" s="113" t="str">
        <f>IFERROR(INDEX(Product_Structure[Product group name ENG],MATCH(Товары[[#This Row],[SubGroup]],Product_Structure[Subgroup],0)),"")</f>
        <v>Accessories, Manual, Tools</v>
      </c>
      <c r="H485" s="113" t="str">
        <f>IFERROR(INDEX(Product_Structure[Generic Name (long)3],MATCH(Товары[[#This Row],[SubGroup]],Product_Structure[Subgroup],0)),"")</f>
        <v>Удалители сорняков</v>
      </c>
      <c r="I485" s="36">
        <v>9229</v>
      </c>
      <c r="J485" s="36" t="str">
        <f>IFERROR(INDEX(Product_Structure[Generic Name (long)],MATCH(Товары[[#This Row],[SubGroup]],Product_Structure[Subgroup],0)),"")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Row],[SubGroup]],DIY!$B:$C,2,FALSE),0)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3" t="str">
        <f>IFERROR(INDEX(Product_Structure[SuperCategory],MATCH(Товары[[#This Row],[SubGroup]],Product_Structure[Subgroup],0)),"")</f>
        <v>A</v>
      </c>
      <c r="D486" s="113" t="str">
        <f>IFERROR(INDEX(Product_Structure[SuperCategory Name ENG],MATCH(Товары[[#This Row],[SubGroup]],Product_Structure[Subgroup],0)),"")</f>
        <v>Hand&amp;Cutting tools, Accessories</v>
      </c>
      <c r="E48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6" s="113" t="str">
        <f>IFERROR(INDEX(Product_Structure[Product group],MATCH(Товары[[#This Row],[SubGroup]],Product_Structure[Subgroup],0)),"")</f>
        <v>AMT_C</v>
      </c>
      <c r="G486" s="113" t="str">
        <f>IFERROR(INDEX(Product_Structure[Product group name ENG],MATCH(Товары[[#This Row],[SubGroup]],Product_Structure[Subgroup],0)),"")</f>
        <v>Accessories, Manual, Tools</v>
      </c>
      <c r="H486" s="113" t="str">
        <f>IFERROR(INDEX(Product_Structure[Generic Name (long)3],MATCH(Товары[[#This Row],[SubGroup]],Product_Structure[Subgroup],0)),"")</f>
        <v>Удалители сорняков</v>
      </c>
      <c r="I486" s="36">
        <v>9229</v>
      </c>
      <c r="J486" s="36" t="str">
        <f>IFERROR(INDEX(Product_Structure[Generic Name (long)],MATCH(Товары[[#This Row],[SubGroup]],Product_Structure[Subgroup],0)),"")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Row],[SubGroup]],DIY!$B:$C,2,FALSE),0)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3" t="str">
        <f>IFERROR(INDEX(Product_Structure[SuperCategory],MATCH(Товары[[#This Row],[SubGroup]],Product_Structure[Subgroup],0)),"")</f>
        <v>A</v>
      </c>
      <c r="D487" s="113" t="str">
        <f>IFERROR(INDEX(Product_Structure[SuperCategory Name ENG],MATCH(Товары[[#This Row],[SubGroup]],Product_Structure[Subgroup],0)),"")</f>
        <v>Hand&amp;Cutting tools, Accessories</v>
      </c>
      <c r="E48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7" s="113" t="str">
        <f>IFERROR(INDEX(Product_Structure[Product group],MATCH(Товары[[#This Row],[SubGroup]],Product_Structure[Subgroup],0)),"")</f>
        <v>AMT_C</v>
      </c>
      <c r="G487" s="113" t="str">
        <f>IFERROR(INDEX(Product_Structure[Product group name ENG],MATCH(Товары[[#This Row],[SubGroup]],Product_Structure[Subgroup],0)),"")</f>
        <v>Accessories, Manual, Tools</v>
      </c>
      <c r="H487" s="113" t="str">
        <f>IFERROR(INDEX(Product_Structure[Generic Name (long)3],MATCH(Товары[[#This Row],[SubGroup]],Product_Structure[Subgroup],0)),"")</f>
        <v>Удалители сорняков</v>
      </c>
      <c r="I487" s="36">
        <v>9229</v>
      </c>
      <c r="J487" s="36" t="str">
        <f>IFERROR(INDEX(Product_Structure[Generic Name (long)],MATCH(Товары[[#This Row],[SubGroup]],Product_Structure[Subgroup],0)),"")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Row],[SubGroup]],DIY!$B:$C,2,FALSE),0)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3" t="str">
        <f>IFERROR(INDEX(Product_Structure[SuperCategory],MATCH(Товары[[#This Row],[SubGroup]],Product_Structure[Subgroup],0)),"")</f>
        <v>A</v>
      </c>
      <c r="D488" s="113" t="str">
        <f>IFERROR(INDEX(Product_Structure[SuperCategory Name ENG],MATCH(Товары[[#This Row],[SubGroup]],Product_Structure[Subgroup],0)),"")</f>
        <v>Hand&amp;Cutting tools, Accessories</v>
      </c>
      <c r="E48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8" s="113" t="str">
        <f>IFERROR(INDEX(Product_Structure[Product group],MATCH(Товары[[#This Row],[SubGroup]],Product_Structure[Subgroup],0)),"")</f>
        <v>AMT_C</v>
      </c>
      <c r="G488" s="113" t="str">
        <f>IFERROR(INDEX(Product_Structure[Product group name ENG],MATCH(Товары[[#This Row],[SubGroup]],Product_Structure[Subgroup],0)),"")</f>
        <v>Accessories, Manual, Tools</v>
      </c>
      <c r="H488" s="113" t="str">
        <f>IFERROR(INDEX(Product_Structure[Generic Name (long)3],MATCH(Товары[[#This Row],[SubGroup]],Product_Structure[Subgroup],0)),"")</f>
        <v>Удалители сорняков</v>
      </c>
      <c r="I488" s="36">
        <v>9229</v>
      </c>
      <c r="J488" s="36" t="str">
        <f>IFERROR(INDEX(Product_Structure[Generic Name (long)],MATCH(Товары[[#This Row],[SubGroup]],Product_Structure[Subgroup],0)),"")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Row],[SubGroup]],DIY!$B:$C,2,FALSE),0)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3" t="str">
        <f>IFERROR(INDEX(Product_Structure[SuperCategory],MATCH(Товары[[#This Row],[SubGroup]],Product_Structure[Subgroup],0)),"")</f>
        <v>A</v>
      </c>
      <c r="D489" s="113" t="str">
        <f>IFERROR(INDEX(Product_Structure[SuperCategory Name ENG],MATCH(Товары[[#This Row],[SubGroup]],Product_Structure[Subgroup],0)),"")</f>
        <v>Hand&amp;Cutting tools, Accessories</v>
      </c>
      <c r="E48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89" s="113" t="str">
        <f>IFERROR(INDEX(Product_Structure[Product group],MATCH(Товары[[#This Row],[SubGroup]],Product_Structure[Subgroup],0)),"")</f>
        <v>AMT_C</v>
      </c>
      <c r="G489" s="113" t="str">
        <f>IFERROR(INDEX(Product_Structure[Product group name ENG],MATCH(Товары[[#This Row],[SubGroup]],Product_Structure[Subgroup],0)),"")</f>
        <v>Accessories, Manual, Tools</v>
      </c>
      <c r="H489" s="113" t="str">
        <f>IFERROR(INDEX(Product_Structure[Generic Name (long)3],MATCH(Товары[[#This Row],[SubGroup]],Product_Structure[Subgroup],0)),"")</f>
        <v>Удалители сорняков</v>
      </c>
      <c r="I489" s="36">
        <v>9229</v>
      </c>
      <c r="J489" s="36" t="str">
        <f>IFERROR(INDEX(Product_Structure[Generic Name (long)],MATCH(Товары[[#This Row],[SubGroup]],Product_Structure[Subgroup],0)),"")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Row],[SubGroup]],DIY!$B:$C,2,FALSE),0)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3" t="str">
        <f>IFERROR(INDEX(Product_Structure[SuperCategory],MATCH(Товары[[#This Row],[SubGroup]],Product_Structure[Subgroup],0)),"")</f>
        <v>A</v>
      </c>
      <c r="D490" s="113" t="str">
        <f>IFERROR(INDEX(Product_Structure[SuperCategory Name ENG],MATCH(Товары[[#This Row],[SubGroup]],Product_Structure[Subgroup],0)),"")</f>
        <v>Hand&amp;Cutting tools, Accessories</v>
      </c>
      <c r="E49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0" s="113" t="str">
        <f>IFERROR(INDEX(Product_Structure[Product group],MATCH(Товары[[#This Row],[SubGroup]],Product_Structure[Subgroup],0)),"")</f>
        <v>AMT_C</v>
      </c>
      <c r="G490" s="113" t="str">
        <f>IFERROR(INDEX(Product_Structure[Product group name ENG],MATCH(Товары[[#This Row],[SubGroup]],Product_Structure[Subgroup],0)),"")</f>
        <v>Accessories, Manual, Tools</v>
      </c>
      <c r="H490" s="113" t="str">
        <f>IFERROR(INDEX(Product_Structure[Generic Name (long)3],MATCH(Товары[[#This Row],[SubGroup]],Product_Structure[Subgroup],0)),"")</f>
        <v>Удалители сорняков</v>
      </c>
      <c r="I490" s="36">
        <v>9229</v>
      </c>
      <c r="J490" s="36" t="str">
        <f>IFERROR(INDEX(Product_Structure[Generic Name (long)],MATCH(Товары[[#This Row],[SubGroup]],Product_Structure[Subgroup],0)),"")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Row],[SubGroup]],DIY!$B:$C,2,FALSE),0)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3" t="str">
        <f>IFERROR(INDEX(Product_Structure[SuperCategory],MATCH(Товары[[#This Row],[SubGroup]],Product_Structure[Subgroup],0)),"")</f>
        <v>A</v>
      </c>
      <c r="D491" s="113" t="str">
        <f>IFERROR(INDEX(Product_Structure[SuperCategory Name ENG],MATCH(Товары[[#This Row],[SubGroup]],Product_Structure[Subgroup],0)),"")</f>
        <v>Hand&amp;Cutting tools, Accessories</v>
      </c>
      <c r="E49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1" s="113" t="str">
        <f>IFERROR(INDEX(Product_Structure[Product group],MATCH(Товары[[#This Row],[SubGroup]],Product_Structure[Subgroup],0)),"")</f>
        <v>AMT_C</v>
      </c>
      <c r="G491" s="113" t="str">
        <f>IFERROR(INDEX(Product_Structure[Product group name ENG],MATCH(Товары[[#This Row],[SubGroup]],Product_Structure[Subgroup],0)),"")</f>
        <v>Accessories, Manual, Tools</v>
      </c>
      <c r="H491" s="113" t="str">
        <f>IFERROR(INDEX(Product_Structure[Generic Name (long)3],MATCH(Товары[[#This Row],[SubGroup]],Product_Structure[Subgroup],0)),"")</f>
        <v>Удалители сорняков</v>
      </c>
      <c r="I491" s="36">
        <v>9229</v>
      </c>
      <c r="J491" s="36" t="str">
        <f>IFERROR(INDEX(Product_Structure[Generic Name (long)],MATCH(Товары[[#This Row],[SubGroup]],Product_Structure[Subgroup],0)),"")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Row],[SubGroup]],DIY!$B:$C,2,FALSE),0)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3" t="str">
        <f>IFERROR(INDEX(Product_Structure[SuperCategory],MATCH(Товары[[#This Row],[SubGroup]],Product_Structure[Subgroup],0)),"")</f>
        <v>A</v>
      </c>
      <c r="D492" s="113" t="str">
        <f>IFERROR(INDEX(Product_Structure[SuperCategory Name ENG],MATCH(Товары[[#This Row],[SubGroup]],Product_Structure[Subgroup],0)),"")</f>
        <v>Hand&amp;Cutting tools, Accessories</v>
      </c>
      <c r="E49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2" s="113" t="str">
        <f>IFERROR(INDEX(Product_Structure[Product group],MATCH(Товары[[#This Row],[SubGroup]],Product_Structure[Subgroup],0)),"")</f>
        <v>AMT_C</v>
      </c>
      <c r="G492" s="113" t="str">
        <f>IFERROR(INDEX(Product_Structure[Product group name ENG],MATCH(Товары[[#This Row],[SubGroup]],Product_Structure[Subgroup],0)),"")</f>
        <v>Accessories, Manual, Tools</v>
      </c>
      <c r="H492" s="113" t="str">
        <f>IFERROR(INDEX(Product_Structure[Generic Name (long)3],MATCH(Товары[[#This Row],[SubGroup]],Product_Structure[Subgroup],0)),"")</f>
        <v>Удалители сорняков</v>
      </c>
      <c r="I492" s="36">
        <v>9229</v>
      </c>
      <c r="J492" s="36" t="str">
        <f>IFERROR(INDEX(Product_Structure[Generic Name (long)],MATCH(Товары[[#This Row],[SubGroup]],Product_Structure[Subgroup],0)),"")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Row],[SubGroup]],DIY!$B:$C,2,FALSE),0)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3" t="str">
        <f>IFERROR(INDEX(Product_Structure[SuperCategory],MATCH(Товары[[#This Row],[SubGroup]],Product_Structure[Subgroup],0)),"")</f>
        <v>A</v>
      </c>
      <c r="D493" s="113" t="str">
        <f>IFERROR(INDEX(Product_Structure[SuperCategory Name ENG],MATCH(Товары[[#This Row],[SubGroup]],Product_Structure[Subgroup],0)),"")</f>
        <v>Hand&amp;Cutting tools, Accessories</v>
      </c>
      <c r="E49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3" s="113" t="str">
        <f>IFERROR(INDEX(Product_Structure[Product group],MATCH(Товары[[#This Row],[SubGroup]],Product_Structure[Subgroup],0)),"")</f>
        <v>AMT_C</v>
      </c>
      <c r="G493" s="113" t="str">
        <f>IFERROR(INDEX(Product_Structure[Product group name ENG],MATCH(Товары[[#This Row],[SubGroup]],Product_Structure[Subgroup],0)),"")</f>
        <v>Accessories, Manual, Tools</v>
      </c>
      <c r="H493" s="113" t="str">
        <f>IFERROR(INDEX(Product_Structure[Generic Name (long)3],MATCH(Товары[[#This Row],[SubGroup]],Product_Structure[Subgroup],0)),"")</f>
        <v>Удалители сорняков</v>
      </c>
      <c r="I493" s="36">
        <v>9229</v>
      </c>
      <c r="J493" s="36" t="str">
        <f>IFERROR(INDEX(Product_Structure[Generic Name (long)],MATCH(Товары[[#This Row],[SubGroup]],Product_Structure[Subgroup],0)),"")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Row],[SubGroup]],DIY!$B:$C,2,FALSE),0)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3" t="str">
        <f>IFERROR(INDEX(Product_Structure[SuperCategory],MATCH(Товары[[#This Row],[SubGroup]],Product_Structure[Subgroup],0)),"")</f>
        <v>A</v>
      </c>
      <c r="D494" s="113" t="str">
        <f>IFERROR(INDEX(Product_Structure[SuperCategory Name ENG],MATCH(Товары[[#This Row],[SubGroup]],Product_Structure[Subgroup],0)),"")</f>
        <v>Hand&amp;Cutting tools, Accessories</v>
      </c>
      <c r="E49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4" s="113" t="str">
        <f>IFERROR(INDEX(Product_Structure[Product group],MATCH(Товары[[#This Row],[SubGroup]],Product_Structure[Subgroup],0)),"")</f>
        <v>AMT_C</v>
      </c>
      <c r="G494" s="113" t="str">
        <f>IFERROR(INDEX(Product_Structure[Product group name ENG],MATCH(Товары[[#This Row],[SubGroup]],Product_Structure[Subgroup],0)),"")</f>
        <v>Accessories, Manual, Tools</v>
      </c>
      <c r="H494" s="113" t="str">
        <f>IFERROR(INDEX(Product_Structure[Generic Name (long)3],MATCH(Товары[[#This Row],[SubGroup]],Product_Structure[Subgroup],0)),"")</f>
        <v>Удалители сорняков</v>
      </c>
      <c r="I494" s="36">
        <v>9229</v>
      </c>
      <c r="J494" s="36" t="str">
        <f>IFERROR(INDEX(Product_Structure[Generic Name (long)],MATCH(Товары[[#This Row],[SubGroup]],Product_Structure[Subgroup],0)),"")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Row],[SubGroup]],DIY!$B:$C,2,FALSE),0)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3" t="str">
        <f>IFERROR(INDEX(Product_Structure[SuperCategory],MATCH(Товары[[#This Row],[SubGroup]],Product_Structure[Subgroup],0)),"")</f>
        <v>A</v>
      </c>
      <c r="D495" s="113" t="str">
        <f>IFERROR(INDEX(Product_Structure[SuperCategory Name ENG],MATCH(Товары[[#This Row],[SubGroup]],Product_Structure[Subgroup],0)),"")</f>
        <v>Hand&amp;Cutting tools, Accessories</v>
      </c>
      <c r="E49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5" s="113" t="str">
        <f>IFERROR(INDEX(Product_Structure[Product group],MATCH(Товары[[#This Row],[SubGroup]],Product_Structure[Subgroup],0)),"")</f>
        <v>AMT_C</v>
      </c>
      <c r="G495" s="113" t="str">
        <f>IFERROR(INDEX(Product_Structure[Product group name ENG],MATCH(Товары[[#This Row],[SubGroup]],Product_Structure[Subgroup],0)),"")</f>
        <v>Accessories, Manual, Tools</v>
      </c>
      <c r="H495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95" s="36">
        <v>9221</v>
      </c>
      <c r="J495" s="36" t="str">
        <f>IFERROR(INDEX(Product_Structure[Generic Name (long)],MATCH(Товары[[#This Row],[SubGroup]],Product_Structure[Subgroup],0)),"")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Row],[SubGroup]],DIY!$B:$C,2,FALSE),0)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3" t="str">
        <f>IFERROR(INDEX(Product_Structure[SuperCategory],MATCH(Товары[[#This Row],[SubGroup]],Product_Structure[Subgroup],0)),"")</f>
        <v>A</v>
      </c>
      <c r="D496" s="113" t="str">
        <f>IFERROR(INDEX(Product_Structure[SuperCategory Name ENG],MATCH(Товары[[#This Row],[SubGroup]],Product_Structure[Subgroup],0)),"")</f>
        <v>Hand&amp;Cutting tools, Accessories</v>
      </c>
      <c r="E49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6" s="113" t="str">
        <f>IFERROR(INDEX(Product_Structure[Product group],MATCH(Товары[[#This Row],[SubGroup]],Product_Structure[Subgroup],0)),"")</f>
        <v>AMT_C</v>
      </c>
      <c r="G496" s="113" t="str">
        <f>IFERROR(INDEX(Product_Structure[Product group name ENG],MATCH(Товары[[#This Row],[SubGroup]],Product_Structure[Subgroup],0)),"")</f>
        <v>Accessories, Manual, Tools</v>
      </c>
      <c r="H496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496" s="36">
        <v>9221</v>
      </c>
      <c r="J496" s="36" t="str">
        <f>IFERROR(INDEX(Product_Structure[Generic Name (long)],MATCH(Товары[[#This Row],[SubGroup]],Product_Structure[Subgroup],0)),"")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Row],[SubGroup]],DIY!$B:$C,2,FALSE),0)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3" t="str">
        <f>IFERROR(INDEX(Product_Structure[SuperCategory],MATCH(Товары[[#This Row],[SubGroup]],Product_Structure[Subgroup],0)),"")</f>
        <v>A</v>
      </c>
      <c r="D497" s="113" t="str">
        <f>IFERROR(INDEX(Product_Structure[SuperCategory Name ENG],MATCH(Товары[[#This Row],[SubGroup]],Product_Structure[Subgroup],0)),"")</f>
        <v>Hand&amp;Cutting tools, Accessories</v>
      </c>
      <c r="E49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7" s="113" t="str">
        <f>IFERROR(INDEX(Product_Structure[Product group],MATCH(Товары[[#This Row],[SubGroup]],Product_Structure[Subgroup],0)),"")</f>
        <v>AMT_C</v>
      </c>
      <c r="G497" s="113" t="str">
        <f>IFERROR(INDEX(Product_Structure[Product group name ENG],MATCH(Товары[[#This Row],[SubGroup]],Product_Structure[Subgroup],0)),"")</f>
        <v>Accessories, Manual, Tools</v>
      </c>
      <c r="H497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497" s="36">
        <v>9226</v>
      </c>
      <c r="J497" s="36" t="str">
        <f>IFERROR(INDEX(Product_Structure[Generic Name (long)],MATCH(Товары[[#This Row],[SubGroup]],Product_Structure[Subgroup],0)),"")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Row],[SubGroup]],DIY!$B:$C,2,FALSE),0)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3" t="str">
        <f>IFERROR(INDEX(Product_Structure[SuperCategory],MATCH(Товары[[#This Row],[SubGroup]],Product_Structure[Subgroup],0)),"")</f>
        <v>A</v>
      </c>
      <c r="D498" s="113" t="str">
        <f>IFERROR(INDEX(Product_Structure[SuperCategory Name ENG],MATCH(Товары[[#This Row],[SubGroup]],Product_Structure[Subgroup],0)),"")</f>
        <v>Hand&amp;Cutting tools, Accessories</v>
      </c>
      <c r="E49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8" s="113" t="str">
        <f>IFERROR(INDEX(Product_Structure[Product group],MATCH(Товары[[#This Row],[SubGroup]],Product_Structure[Subgroup],0)),"")</f>
        <v>AMT_C</v>
      </c>
      <c r="G498" s="113" t="str">
        <f>IFERROR(INDEX(Product_Structure[Product group name ENG],MATCH(Товары[[#This Row],[SubGroup]],Product_Structure[Subgroup],0)),"")</f>
        <v>Accessories, Manual, Tools</v>
      </c>
      <c r="H498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98" s="36">
        <v>9227</v>
      </c>
      <c r="J498" s="36" t="str">
        <f>IFERROR(INDEX(Product_Structure[Generic Name (long)],MATCH(Товары[[#This Row],[SubGroup]],Product_Structure[Subgroup],0)),"")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Row],[SubGroup]],DIY!$B:$C,2,FALSE),0)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3" t="str">
        <f>IFERROR(INDEX(Product_Structure[SuperCategory],MATCH(Товары[[#This Row],[SubGroup]],Product_Structure[Subgroup],0)),"")</f>
        <v>A</v>
      </c>
      <c r="D499" s="113" t="str">
        <f>IFERROR(INDEX(Product_Structure[SuperCategory Name ENG],MATCH(Товары[[#This Row],[SubGroup]],Product_Structure[Subgroup],0)),"")</f>
        <v>Hand&amp;Cutting tools, Accessories</v>
      </c>
      <c r="E49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499" s="113" t="str">
        <f>IFERROR(INDEX(Product_Structure[Product group],MATCH(Товары[[#This Row],[SubGroup]],Product_Structure[Subgroup],0)),"")</f>
        <v>AMT_C</v>
      </c>
      <c r="G499" s="113" t="str">
        <f>IFERROR(INDEX(Product_Structure[Product group name ENG],MATCH(Товары[[#This Row],[SubGroup]],Product_Structure[Subgroup],0)),"")</f>
        <v>Accessories, Manual, Tools</v>
      </c>
      <c r="H499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499" s="36">
        <v>9227</v>
      </c>
      <c r="J499" s="36" t="str">
        <f>IFERROR(INDEX(Product_Structure[Generic Name (long)],MATCH(Товары[[#This Row],[SubGroup]],Product_Structure[Subgroup],0)),"")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Row],[SubGroup]],DIY!$B:$C,2,FALSE),0)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3" t="str">
        <f>IFERROR(INDEX(Product_Structure[SuperCategory],MATCH(Товары[[#This Row],[SubGroup]],Product_Structure[Subgroup],0)),"")</f>
        <v>A</v>
      </c>
      <c r="D500" s="113" t="str">
        <f>IFERROR(INDEX(Product_Structure[SuperCategory Name ENG],MATCH(Товары[[#This Row],[SubGroup]],Product_Structure[Subgroup],0)),"")</f>
        <v>Hand&amp;Cutting tools, Accessories</v>
      </c>
      <c r="E50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0" s="113" t="str">
        <f>IFERROR(INDEX(Product_Structure[Product group],MATCH(Товары[[#This Row],[SubGroup]],Product_Structure[Subgroup],0)),"")</f>
        <v>AMT_C</v>
      </c>
      <c r="G500" s="113" t="str">
        <f>IFERROR(INDEX(Product_Structure[Product group name ENG],MATCH(Товары[[#This Row],[SubGroup]],Product_Structure[Subgroup],0)),"")</f>
        <v>Accessories, Manual, Tools</v>
      </c>
      <c r="H50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00" s="36">
        <v>9227</v>
      </c>
      <c r="J500" s="36" t="str">
        <f>IFERROR(INDEX(Product_Structure[Generic Name (long)],MATCH(Товары[[#This Row],[SubGroup]],Product_Structure[Subgroup],0)),"")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Row],[SubGroup]],DIY!$B:$C,2,FALSE),0)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3" t="str">
        <f>IFERROR(INDEX(Product_Structure[SuperCategory],MATCH(Товары[[#This Row],[SubGroup]],Product_Structure[Subgroup],0)),"")</f>
        <v>A</v>
      </c>
      <c r="D501" s="113" t="str">
        <f>IFERROR(INDEX(Product_Structure[SuperCategory Name ENG],MATCH(Товары[[#This Row],[SubGroup]],Product_Structure[Subgroup],0)),"")</f>
        <v>Hand&amp;Cutting tools, Accessories</v>
      </c>
      <c r="E50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1" s="113" t="str">
        <f>IFERROR(INDEX(Product_Structure[Product group],MATCH(Товары[[#This Row],[SubGroup]],Product_Structure[Subgroup],0)),"")</f>
        <v>AMT_C</v>
      </c>
      <c r="G501" s="113" t="str">
        <f>IFERROR(INDEX(Product_Structure[Product group name ENG],MATCH(Товары[[#This Row],[SubGroup]],Product_Structure[Subgroup],0)),"")</f>
        <v>Accessories, Manual, Tools</v>
      </c>
      <c r="H501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01" s="36">
        <v>9227</v>
      </c>
      <c r="J501" s="36" t="str">
        <f>IFERROR(INDEX(Product_Structure[Generic Name (long)],MATCH(Товары[[#This Row],[SubGroup]],Product_Structure[Subgroup],0)),"")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Row],[SubGroup]],DIY!$B:$C,2,FALSE),0)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3" t="str">
        <f>IFERROR(INDEX(Product_Structure[SuperCategory],MATCH(Товары[[#This Row],[SubGroup]],Product_Structure[Subgroup],0)),"")</f>
        <v>A</v>
      </c>
      <c r="D502" s="113" t="str">
        <f>IFERROR(INDEX(Product_Structure[SuperCategory Name ENG],MATCH(Товары[[#This Row],[SubGroup]],Product_Structure[Subgroup],0)),"")</f>
        <v>Hand&amp;Cutting tools, Accessories</v>
      </c>
      <c r="E50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2" s="113" t="str">
        <f>IFERROR(INDEX(Product_Structure[Product group],MATCH(Товары[[#This Row],[SubGroup]],Product_Structure[Subgroup],0)),"")</f>
        <v>AMT_C</v>
      </c>
      <c r="G502" s="113" t="str">
        <f>IFERROR(INDEX(Product_Structure[Product group name ENG],MATCH(Товары[[#This Row],[SubGroup]],Product_Structure[Subgroup],0)),"")</f>
        <v>Accessories, Manual, Tools</v>
      </c>
      <c r="H50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02" s="36">
        <v>9221</v>
      </c>
      <c r="J502" s="36" t="str">
        <f>IFERROR(INDEX(Product_Structure[Generic Name (long)],MATCH(Товары[[#This Row],[SubGroup]],Product_Structure[Subgroup],0)),"")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Row],[SubGroup]],DIY!$B:$C,2,FALSE),0)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3" t="str">
        <f>IFERROR(INDEX(Product_Structure[SuperCategory],MATCH(Товары[[#This Row],[SubGroup]],Product_Structure[Subgroup],0)),"")</f>
        <v>A</v>
      </c>
      <c r="D503" s="113" t="str">
        <f>IFERROR(INDEX(Product_Structure[SuperCategory Name ENG],MATCH(Товары[[#This Row],[SubGroup]],Product_Structure[Subgroup],0)),"")</f>
        <v>Hand&amp;Cutting tools, Accessories</v>
      </c>
      <c r="E50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3" s="113" t="str">
        <f>IFERROR(INDEX(Product_Structure[Product group],MATCH(Товары[[#This Row],[SubGroup]],Product_Structure[Subgroup],0)),"")</f>
        <v>AMT_C</v>
      </c>
      <c r="G503" s="113" t="str">
        <f>IFERROR(INDEX(Product_Structure[Product group name ENG],MATCH(Товары[[#This Row],[SubGroup]],Product_Structure[Subgroup],0)),"")</f>
        <v>Accessories, Manual, Tools</v>
      </c>
      <c r="H503" s="113" t="str">
        <f>IFERROR(INDEX(Product_Structure[Generic Name (long)3],MATCH(Товары[[#This Row],[SubGroup]],Product_Structure[Subgroup],0)),"")</f>
        <v>Удалители сорняков</v>
      </c>
      <c r="I503" s="36">
        <v>9229</v>
      </c>
      <c r="J503" s="36" t="str">
        <f>IFERROR(INDEX(Product_Structure[Generic Name (long)],MATCH(Товары[[#This Row],[SubGroup]],Product_Structure[Subgroup],0)),"")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Row],[SubGroup]],DIY!$B:$C,2,FALSE),0)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3" t="str">
        <f>IFERROR(INDEX(Product_Structure[SuperCategory],MATCH(Товары[[#This Row],[SubGroup]],Product_Structure[Subgroup],0)),"")</f>
        <v>A</v>
      </c>
      <c r="D504" s="113" t="str">
        <f>IFERROR(INDEX(Product_Structure[SuperCategory Name ENG],MATCH(Товары[[#This Row],[SubGroup]],Product_Structure[Subgroup],0)),"")</f>
        <v>Hand&amp;Cutting tools, Accessories</v>
      </c>
      <c r="E50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4" s="113" t="str">
        <f>IFERROR(INDEX(Product_Structure[Product group],MATCH(Товары[[#This Row],[SubGroup]],Product_Structure[Subgroup],0)),"")</f>
        <v>AMT_C</v>
      </c>
      <c r="G504" s="113" t="str">
        <f>IFERROR(INDEX(Product_Structure[Product group name ENG],MATCH(Товары[[#This Row],[SubGroup]],Product_Structure[Subgroup],0)),"")</f>
        <v>Accessories, Manual, Tools</v>
      </c>
      <c r="H504" s="113" t="str">
        <f>IFERROR(INDEX(Product_Structure[Generic Name (long)3],MATCH(Товары[[#This Row],[SubGroup]],Product_Structure[Subgroup],0)),"")</f>
        <v>Ручные инструменты для уборки</v>
      </c>
      <c r="I504" s="36">
        <v>9223</v>
      </c>
      <c r="J504" s="36" t="str">
        <f>IFERROR(INDEX(Product_Structure[Generic Name (long)],MATCH(Товары[[#This Row],[SubGroup]],Product_Structure[Subgroup],0)),"")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Row],[SubGroup]],DIY!$B:$C,2,FALSE),0)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3" t="str">
        <f>IFERROR(INDEX(Product_Structure[SuperCategory],MATCH(Товары[[#This Row],[SubGroup]],Product_Structure[Subgroup],0)),"")</f>
        <v>A</v>
      </c>
      <c r="D505" s="113" t="str">
        <f>IFERROR(INDEX(Product_Structure[SuperCategory Name ENG],MATCH(Товары[[#This Row],[SubGroup]],Product_Structure[Subgroup],0)),"")</f>
        <v>Hand&amp;Cutting tools, Accessories</v>
      </c>
      <c r="E50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5" s="113" t="str">
        <f>IFERROR(INDEX(Product_Structure[Product group],MATCH(Товары[[#This Row],[SubGroup]],Product_Structure[Subgroup],0)),"")</f>
        <v>AMT_C</v>
      </c>
      <c r="G505" s="113" t="str">
        <f>IFERROR(INDEX(Product_Structure[Product group name ENG],MATCH(Товары[[#This Row],[SubGroup]],Product_Structure[Subgroup],0)),"")</f>
        <v>Accessories, Manual, Tools</v>
      </c>
      <c r="H505" s="113" t="str">
        <f>IFERROR(INDEX(Product_Structure[Generic Name (long)3],MATCH(Товары[[#This Row],[SubGroup]],Product_Structure[Subgroup],0)),"")</f>
        <v>Ручные инструменты для уборки</v>
      </c>
      <c r="I505" s="36">
        <v>9223</v>
      </c>
      <c r="J505" s="36" t="str">
        <f>IFERROR(INDEX(Product_Structure[Generic Name (long)],MATCH(Товары[[#This Row],[SubGroup]],Product_Structure[Subgroup],0)),"")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Row],[SubGroup]],DIY!$B:$C,2,FALSE),0)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3" t="str">
        <f>IFERROR(INDEX(Product_Structure[SuperCategory],MATCH(Товары[[#This Row],[SubGroup]],Product_Structure[Subgroup],0)),"")</f>
        <v>A</v>
      </c>
      <c r="D506" s="113" t="str">
        <f>IFERROR(INDEX(Product_Structure[SuperCategory Name ENG],MATCH(Товары[[#This Row],[SubGroup]],Product_Structure[Subgroup],0)),"")</f>
        <v>Hand&amp;Cutting tools, Accessories</v>
      </c>
      <c r="E50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6" s="113" t="str">
        <f>IFERROR(INDEX(Product_Structure[Product group],MATCH(Товары[[#This Row],[SubGroup]],Product_Structure[Subgroup],0)),"")</f>
        <v>AMT_C</v>
      </c>
      <c r="G506" s="113" t="str">
        <f>IFERROR(INDEX(Product_Structure[Product group name ENG],MATCH(Товары[[#This Row],[SubGroup]],Product_Structure[Subgroup],0)),"")</f>
        <v>Accessories, Manual, Tools</v>
      </c>
      <c r="H506" s="113" t="str">
        <f>IFERROR(INDEX(Product_Structure[Generic Name (long)3],MATCH(Товары[[#This Row],[SubGroup]],Product_Structure[Subgroup],0)),"")</f>
        <v>Ручные инструменты для уборки</v>
      </c>
      <c r="I506" s="36">
        <v>9223</v>
      </c>
      <c r="J506" s="36" t="str">
        <f>IFERROR(INDEX(Product_Structure[Generic Name (long)],MATCH(Товары[[#This Row],[SubGroup]],Product_Structure[Subgroup],0)),"")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Row],[SubGroup]],DIY!$B:$C,2,FALSE),0)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3" t="str">
        <f>IFERROR(INDEX(Product_Structure[SuperCategory],MATCH(Товары[[#This Row],[SubGroup]],Product_Structure[Subgroup],0)),"")</f>
        <v>A</v>
      </c>
      <c r="D507" s="113" t="str">
        <f>IFERROR(INDEX(Product_Structure[SuperCategory Name ENG],MATCH(Товары[[#This Row],[SubGroup]],Product_Structure[Subgroup],0)),"")</f>
        <v>Hand&amp;Cutting tools, Accessories</v>
      </c>
      <c r="E50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7" s="113" t="str">
        <f>IFERROR(INDEX(Product_Structure[Product group],MATCH(Товары[[#This Row],[SubGroup]],Product_Structure[Subgroup],0)),"")</f>
        <v>AMT_C</v>
      </c>
      <c r="G507" s="113" t="str">
        <f>IFERROR(INDEX(Product_Structure[Product group name ENG],MATCH(Товары[[#This Row],[SubGroup]],Product_Structure[Subgroup],0)),"")</f>
        <v>Accessories, Manual, Tools</v>
      </c>
      <c r="H507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07" s="36">
        <v>9221</v>
      </c>
      <c r="J507" s="36" t="str">
        <f>IFERROR(INDEX(Product_Structure[Generic Name (long)],MATCH(Товары[[#This Row],[SubGroup]],Product_Structure[Subgroup],0)),"")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Row],[SubGroup]],DIY!$B:$C,2,FALSE),0)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3" t="str">
        <f>IFERROR(INDEX(Product_Structure[SuperCategory],MATCH(Товары[[#This Row],[SubGroup]],Product_Structure[Subgroup],0)),"")</f>
        <v>A</v>
      </c>
      <c r="D508" s="113" t="str">
        <f>IFERROR(INDEX(Product_Structure[SuperCategory Name ENG],MATCH(Товары[[#This Row],[SubGroup]],Product_Structure[Subgroup],0)),"")</f>
        <v>Hand&amp;Cutting tools, Accessories</v>
      </c>
      <c r="E50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8" s="113" t="str">
        <f>IFERROR(INDEX(Product_Structure[Product group],MATCH(Товары[[#This Row],[SubGroup]],Product_Structure[Subgroup],0)),"")</f>
        <v>AMT_C</v>
      </c>
      <c r="G508" s="113" t="str">
        <f>IFERROR(INDEX(Product_Structure[Product group name ENG],MATCH(Товары[[#This Row],[SubGroup]],Product_Structure[Subgroup],0)),"")</f>
        <v>Accessories, Manual, Tools</v>
      </c>
      <c r="H508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08" s="36">
        <v>9227</v>
      </c>
      <c r="J508" s="36" t="str">
        <f>IFERROR(INDEX(Product_Structure[Generic Name (long)],MATCH(Товары[[#This Row],[SubGroup]],Product_Structure[Subgroup],0)),"")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Row],[SubGroup]],DIY!$B:$C,2,FALSE),0)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3" t="str">
        <f>IFERROR(INDEX(Product_Structure[SuperCategory],MATCH(Товары[[#This Row],[SubGroup]],Product_Structure[Subgroup],0)),"")</f>
        <v>A</v>
      </c>
      <c r="D509" s="113" t="str">
        <f>IFERROR(INDEX(Product_Structure[SuperCategory Name ENG],MATCH(Товары[[#This Row],[SubGroup]],Product_Structure[Subgroup],0)),"")</f>
        <v>Hand&amp;Cutting tools, Accessories</v>
      </c>
      <c r="E50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09" s="113" t="str">
        <f>IFERROR(INDEX(Product_Structure[Product group],MATCH(Товары[[#This Row],[SubGroup]],Product_Structure[Subgroup],0)),"")</f>
        <v>AMT_C</v>
      </c>
      <c r="G509" s="113" t="str">
        <f>IFERROR(INDEX(Product_Structure[Product group name ENG],MATCH(Товары[[#This Row],[SubGroup]],Product_Structure[Subgroup],0)),"")</f>
        <v>Accessories, Manual, Tools</v>
      </c>
      <c r="H509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09" s="36">
        <v>9221</v>
      </c>
      <c r="J509" s="36" t="str">
        <f>IFERROR(INDEX(Product_Structure[Generic Name (long)],MATCH(Товары[[#This Row],[SubGroup]],Product_Structure[Subgroup],0)),"")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Row],[SubGroup]],DIY!$B:$C,2,FALSE),0)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3" t="str">
        <f>IFERROR(INDEX(Product_Structure[SuperCategory],MATCH(Товары[[#This Row],[SubGroup]],Product_Structure[Subgroup],0)),"")</f>
        <v>A</v>
      </c>
      <c r="D510" s="113" t="str">
        <f>IFERROR(INDEX(Product_Structure[SuperCategory Name ENG],MATCH(Товары[[#This Row],[SubGroup]],Product_Structure[Subgroup],0)),"")</f>
        <v>Hand&amp;Cutting tools, Accessories</v>
      </c>
      <c r="E51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0" s="113" t="str">
        <f>IFERROR(INDEX(Product_Structure[Product group],MATCH(Товары[[#This Row],[SubGroup]],Product_Structure[Subgroup],0)),"")</f>
        <v>AMT_C</v>
      </c>
      <c r="G510" s="113" t="str">
        <f>IFERROR(INDEX(Product_Structure[Product group name ENG],MATCH(Товары[[#This Row],[SubGroup]],Product_Structure[Subgroup],0)),"")</f>
        <v>Accessories, Manual, Tools</v>
      </c>
      <c r="H51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10" s="36">
        <v>9227</v>
      </c>
      <c r="J510" s="36" t="str">
        <f>IFERROR(INDEX(Product_Structure[Generic Name (long)],MATCH(Товары[[#This Row],[SubGroup]],Product_Structure[Subgroup],0)),"")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Row],[SubGroup]],DIY!$B:$C,2,FALSE),0)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3" t="str">
        <f>IFERROR(INDEX(Product_Structure[SuperCategory],MATCH(Товары[[#This Row],[SubGroup]],Product_Structure[Subgroup],0)),"")</f>
        <v>A</v>
      </c>
      <c r="D511" s="113" t="str">
        <f>IFERROR(INDEX(Product_Structure[SuperCategory Name ENG],MATCH(Товары[[#This Row],[SubGroup]],Product_Structure[Subgroup],0)),"")</f>
        <v>Hand&amp;Cutting tools, Accessories</v>
      </c>
      <c r="E51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1" s="113" t="str">
        <f>IFERROR(INDEX(Product_Structure[Product group],MATCH(Товары[[#This Row],[SubGroup]],Product_Structure[Subgroup],0)),"")</f>
        <v>AMT_C</v>
      </c>
      <c r="G511" s="113" t="str">
        <f>IFERROR(INDEX(Product_Structure[Product group name ENG],MATCH(Товары[[#This Row],[SubGroup]],Product_Structure[Subgroup],0)),"")</f>
        <v>Accessories, Manual, Tools</v>
      </c>
      <c r="H511" s="113" t="str">
        <f>IFERROR(INDEX(Product_Structure[Generic Name (long)3],MATCH(Товары[[#This Row],[SubGroup]],Product_Structure[Subgroup],0)),"")</f>
        <v>Насадки для ухода за газономи для комбисистемы</v>
      </c>
      <c r="I511" s="36">
        <v>9222</v>
      </c>
      <c r="J511" s="36" t="str">
        <f>IFERROR(INDEX(Product_Structure[Generic Name (long)],MATCH(Товары[[#This Row],[SubGroup]],Product_Structure[Subgroup],0)),"")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Row],[SubGroup]],DIY!$B:$C,2,FALSE),0)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3" t="str">
        <f>IFERROR(INDEX(Product_Structure[SuperCategory],MATCH(Товары[[#This Row],[SubGroup]],Product_Structure[Subgroup],0)),"")</f>
        <v>A</v>
      </c>
      <c r="D512" s="113" t="str">
        <f>IFERROR(INDEX(Product_Structure[SuperCategory Name ENG],MATCH(Товары[[#This Row],[SubGroup]],Product_Structure[Subgroup],0)),"")</f>
        <v>Hand&amp;Cutting tools, Accessories</v>
      </c>
      <c r="E51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2" s="113" t="str">
        <f>IFERROR(INDEX(Product_Structure[Product group],MATCH(Товары[[#This Row],[SubGroup]],Product_Structure[Subgroup],0)),"")</f>
        <v>AMT_C</v>
      </c>
      <c r="G512" s="113" t="str">
        <f>IFERROR(INDEX(Product_Structure[Product group name ENG],MATCH(Товары[[#This Row],[SubGroup]],Product_Structure[Subgroup],0)),"")</f>
        <v>Accessories, Manual, Tools</v>
      </c>
      <c r="H51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12" s="36">
        <v>9221</v>
      </c>
      <c r="J512" s="36" t="str">
        <f>IFERROR(INDEX(Product_Structure[Generic Name (long)],MATCH(Товары[[#This Row],[SubGroup]],Product_Structure[Subgroup],0)),"")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Row],[SubGroup]],DIY!$B:$C,2,FALSE),0)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3" t="str">
        <f>IFERROR(INDEX(Product_Structure[SuperCategory],MATCH(Товары[[#This Row],[SubGroup]],Product_Structure[Subgroup],0)),"")</f>
        <v>A</v>
      </c>
      <c r="D513" s="113" t="str">
        <f>IFERROR(INDEX(Product_Structure[SuperCategory Name ENG],MATCH(Товары[[#This Row],[SubGroup]],Product_Structure[Subgroup],0)),"")</f>
        <v>Hand&amp;Cutting tools, Accessories</v>
      </c>
      <c r="E51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3" s="113" t="str">
        <f>IFERROR(INDEX(Product_Structure[Product group],MATCH(Товары[[#This Row],[SubGroup]],Product_Structure[Subgroup],0)),"")</f>
        <v>AMT_C</v>
      </c>
      <c r="G513" s="113" t="str">
        <f>IFERROR(INDEX(Product_Structure[Product group name ENG],MATCH(Товары[[#This Row],[SubGroup]],Product_Structure[Subgroup],0)),"")</f>
        <v>Accessories, Manual, Tools</v>
      </c>
      <c r="H513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13" s="36">
        <v>9221</v>
      </c>
      <c r="J513" s="36" t="str">
        <f>IFERROR(INDEX(Product_Structure[Generic Name (long)],MATCH(Товары[[#This Row],[SubGroup]],Product_Structure[Subgroup],0)),"")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Row],[SubGroup]],DIY!$B:$C,2,FALSE),0)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3" t="str">
        <f>IFERROR(INDEX(Product_Structure[SuperCategory],MATCH(Товары[[#This Row],[SubGroup]],Product_Structure[Subgroup],0)),"")</f>
        <v>A</v>
      </c>
      <c r="D514" s="113" t="str">
        <f>IFERROR(INDEX(Product_Structure[SuperCategory Name ENG],MATCH(Товары[[#This Row],[SubGroup]],Product_Structure[Subgroup],0)),"")</f>
        <v>Hand&amp;Cutting tools, Accessories</v>
      </c>
      <c r="E51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4" s="113" t="str">
        <f>IFERROR(INDEX(Product_Structure[Product group],MATCH(Товары[[#This Row],[SubGroup]],Product_Structure[Subgroup],0)),"")</f>
        <v>AMT_C</v>
      </c>
      <c r="G514" s="113" t="str">
        <f>IFERROR(INDEX(Product_Structure[Product group name ENG],MATCH(Товары[[#This Row],[SubGroup]],Product_Structure[Subgroup],0)),"")</f>
        <v>Accessories, Manual, Tools</v>
      </c>
      <c r="H514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14" s="36">
        <v>9227</v>
      </c>
      <c r="J514" s="36" t="str">
        <f>IFERROR(INDEX(Product_Structure[Generic Name (long)],MATCH(Товары[[#This Row],[SubGroup]],Product_Structure[Subgroup],0)),"")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Row],[SubGroup]],DIY!$B:$C,2,FALSE),0)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3" t="str">
        <f>IFERROR(INDEX(Product_Structure[SuperCategory],MATCH(Товары[[#This Row],[SubGroup]],Product_Structure[Subgroup],0)),"")</f>
        <v>A</v>
      </c>
      <c r="D515" s="113" t="str">
        <f>IFERROR(INDEX(Product_Structure[SuperCategory Name ENG],MATCH(Товары[[#This Row],[SubGroup]],Product_Structure[Subgroup],0)),"")</f>
        <v>Hand&amp;Cutting tools, Accessories</v>
      </c>
      <c r="E51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5" s="113" t="str">
        <f>IFERROR(INDEX(Product_Structure[Product group],MATCH(Товары[[#This Row],[SubGroup]],Product_Structure[Subgroup],0)),"")</f>
        <v>AMT_C</v>
      </c>
      <c r="G515" s="113" t="str">
        <f>IFERROR(INDEX(Product_Structure[Product group name ENG],MATCH(Товары[[#This Row],[SubGroup]],Product_Structure[Subgroup],0)),"")</f>
        <v>Accessories, Manual, Tools</v>
      </c>
      <c r="H515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15" s="36">
        <v>9226</v>
      </c>
      <c r="J515" s="36" t="str">
        <f>IFERROR(INDEX(Product_Structure[Generic Name (long)],MATCH(Товары[[#This Row],[SubGroup]],Product_Structure[Subgroup],0)),"")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Row],[SubGroup]],DIY!$B:$C,2,FALSE),0)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3" t="str">
        <f>IFERROR(INDEX(Product_Structure[SuperCategory],MATCH(Товары[[#This Row],[SubGroup]],Product_Structure[Subgroup],0)),"")</f>
        <v>A</v>
      </c>
      <c r="D516" s="113" t="str">
        <f>IFERROR(INDEX(Product_Structure[SuperCategory Name ENG],MATCH(Товары[[#This Row],[SubGroup]],Product_Structure[Subgroup],0)),"")</f>
        <v>Hand&amp;Cutting tools, Accessories</v>
      </c>
      <c r="E5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6" s="113" t="str">
        <f>IFERROR(INDEX(Product_Structure[Product group],MATCH(Товары[[#This Row],[SubGroup]],Product_Structure[Subgroup],0)),"")</f>
        <v>AMT_C</v>
      </c>
      <c r="G516" s="113" t="str">
        <f>IFERROR(INDEX(Product_Structure[Product group name ENG],MATCH(Товары[[#This Row],[SubGroup]],Product_Structure[Subgroup],0)),"")</f>
        <v>Accessories, Manual, Tools</v>
      </c>
      <c r="H516" s="113" t="str">
        <f>IFERROR(INDEX(Product_Structure[Generic Name (long)3],MATCH(Товары[[#This Row],[SubGroup]],Product_Structure[Subgroup],0)),"")</f>
        <v>Ручные инструменты для уборки</v>
      </c>
      <c r="I516" s="36">
        <v>9223</v>
      </c>
      <c r="J516" s="36" t="str">
        <f>IFERROR(INDEX(Product_Structure[Generic Name (long)],MATCH(Товары[[#This Row],[SubGroup]],Product_Structure[Subgroup],0)),"")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Row],[SubGroup]],DIY!$B:$C,2,FALSE),0)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3" t="str">
        <f>IFERROR(INDEX(Product_Structure[SuperCategory],MATCH(Товары[[#This Row],[SubGroup]],Product_Structure[Subgroup],0)),"")</f>
        <v>A</v>
      </c>
      <c r="D517" s="113" t="str">
        <f>IFERROR(INDEX(Product_Structure[SuperCategory Name ENG],MATCH(Товары[[#This Row],[SubGroup]],Product_Structure[Subgroup],0)),"")</f>
        <v>Hand&amp;Cutting tools, Accessories</v>
      </c>
      <c r="E5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7" s="113" t="str">
        <f>IFERROR(INDEX(Product_Structure[Product group],MATCH(Товары[[#This Row],[SubGroup]],Product_Structure[Subgroup],0)),"")</f>
        <v>AMT_C</v>
      </c>
      <c r="G517" s="113" t="str">
        <f>IFERROR(INDEX(Product_Structure[Product group name ENG],MATCH(Товары[[#This Row],[SubGroup]],Product_Structure[Subgroup],0)),"")</f>
        <v>Accessories, Manual, Tools</v>
      </c>
      <c r="H517" s="113" t="str">
        <f>IFERROR(INDEX(Product_Structure[Generic Name (long)3],MATCH(Товары[[#This Row],[SubGroup]],Product_Structure[Subgroup],0)),"")</f>
        <v>Ручные инструменты для уборки</v>
      </c>
      <c r="I517" s="36">
        <v>9223</v>
      </c>
      <c r="J517" s="36" t="str">
        <f>IFERROR(INDEX(Product_Structure[Generic Name (long)],MATCH(Товары[[#This Row],[SubGroup]],Product_Structure[Subgroup],0)),"")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Row],[SubGroup]],DIY!$B:$C,2,FALSE),0)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3" t="str">
        <f>IFERROR(INDEX(Product_Structure[SuperCategory],MATCH(Товары[[#This Row],[SubGroup]],Product_Structure[Subgroup],0)),"")</f>
        <v>A</v>
      </c>
      <c r="D518" s="113" t="str">
        <f>IFERROR(INDEX(Product_Structure[SuperCategory Name ENG],MATCH(Товары[[#This Row],[SubGroup]],Product_Structure[Subgroup],0)),"")</f>
        <v>Hand&amp;Cutting tools, Accessories</v>
      </c>
      <c r="E5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8" s="113" t="str">
        <f>IFERROR(INDEX(Product_Structure[Product group],MATCH(Товары[[#This Row],[SubGroup]],Product_Structure[Subgroup],0)),"")</f>
        <v>AMT_C</v>
      </c>
      <c r="G518" s="113" t="str">
        <f>IFERROR(INDEX(Product_Structure[Product group name ENG],MATCH(Товары[[#This Row],[SubGroup]],Product_Structure[Subgroup],0)),"")</f>
        <v>Accessories, Manual, Tools</v>
      </c>
      <c r="H518" s="113" t="str">
        <f>IFERROR(INDEX(Product_Structure[Generic Name (long)3],MATCH(Товары[[#This Row],[SubGroup]],Product_Structure[Subgroup],0)),"")</f>
        <v>Ручные инструменты для уборки</v>
      </c>
      <c r="I518" s="36">
        <v>9223</v>
      </c>
      <c r="J518" s="36" t="str">
        <f>IFERROR(INDEX(Product_Structure[Generic Name (long)],MATCH(Товары[[#This Row],[SubGroup]],Product_Structure[Subgroup],0)),"")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Row],[SubGroup]],DIY!$B:$C,2,FALSE),0)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3" t="str">
        <f>IFERROR(INDEX(Product_Structure[SuperCategory],MATCH(Товары[[#This Row],[SubGroup]],Product_Structure[Subgroup],0)),"")</f>
        <v>A</v>
      </c>
      <c r="D519" s="113" t="str">
        <f>IFERROR(INDEX(Product_Structure[SuperCategory Name ENG],MATCH(Товары[[#This Row],[SubGroup]],Product_Structure[Subgroup],0)),"")</f>
        <v>Hand&amp;Cutting tools, Accessories</v>
      </c>
      <c r="E5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19" s="113" t="str">
        <f>IFERROR(INDEX(Product_Structure[Product group],MATCH(Товары[[#This Row],[SubGroup]],Product_Structure[Subgroup],0)),"")</f>
        <v>AMT_C</v>
      </c>
      <c r="G519" s="113" t="str">
        <f>IFERROR(INDEX(Product_Structure[Product group name ENG],MATCH(Товары[[#This Row],[SubGroup]],Product_Structure[Subgroup],0)),"")</f>
        <v>Accessories, Manual, Tools</v>
      </c>
      <c r="H519" s="113" t="str">
        <f>IFERROR(INDEX(Product_Structure[Generic Name (long)3],MATCH(Товары[[#This Row],[SubGroup]],Product_Structure[Subgroup],0)),"")</f>
        <v>Ручные инструменты для уборки</v>
      </c>
      <c r="I519" s="36">
        <v>9223</v>
      </c>
      <c r="J519" s="36" t="str">
        <f>IFERROR(INDEX(Product_Structure[Generic Name (long)],MATCH(Товары[[#This Row],[SubGroup]],Product_Structure[Subgroup],0)),"")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Row],[SubGroup]],DIY!$B:$C,2,FALSE),0)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3" t="str">
        <f>IFERROR(INDEX(Product_Structure[SuperCategory],MATCH(Товары[[#This Row],[SubGroup]],Product_Structure[Subgroup],0)),"")</f>
        <v>A</v>
      </c>
      <c r="D520" s="113" t="str">
        <f>IFERROR(INDEX(Product_Structure[SuperCategory Name ENG],MATCH(Товары[[#This Row],[SubGroup]],Product_Structure[Subgroup],0)),"")</f>
        <v>Hand&amp;Cutting tools, Accessories</v>
      </c>
      <c r="E5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0" s="113" t="str">
        <f>IFERROR(INDEX(Product_Structure[Product group],MATCH(Товары[[#This Row],[SubGroup]],Product_Structure[Subgroup],0)),"")</f>
        <v>AMT_C</v>
      </c>
      <c r="G520" s="113" t="str">
        <f>IFERROR(INDEX(Product_Structure[Product group name ENG],MATCH(Товары[[#This Row],[SubGroup]],Product_Structure[Subgroup],0)),"")</f>
        <v>Accessories, Manual, Tools</v>
      </c>
      <c r="H520" s="113" t="str">
        <f>IFERROR(INDEX(Product_Structure[Generic Name (long)3],MATCH(Товары[[#This Row],[SubGroup]],Product_Structure[Subgroup],0)),"")</f>
        <v>Ручные инструменты для уборки</v>
      </c>
      <c r="I520" s="36">
        <v>9223</v>
      </c>
      <c r="J520" s="36" t="str">
        <f>IFERROR(INDEX(Product_Structure[Generic Name (long)],MATCH(Товары[[#This Row],[SubGroup]],Product_Structure[Subgroup],0)),"")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Row],[SubGroup]],DIY!$B:$C,2,FALSE),0)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3" t="str">
        <f>IFERROR(INDEX(Product_Structure[SuperCategory],MATCH(Товары[[#This Row],[SubGroup]],Product_Structure[Subgroup],0)),"")</f>
        <v>A</v>
      </c>
      <c r="D521" s="113" t="str">
        <f>IFERROR(INDEX(Product_Structure[SuperCategory Name ENG],MATCH(Товары[[#This Row],[SubGroup]],Product_Structure[Subgroup],0)),"")</f>
        <v>Hand&amp;Cutting tools, Accessories</v>
      </c>
      <c r="E5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1" s="113" t="str">
        <f>IFERROR(INDEX(Product_Structure[Product group],MATCH(Товары[[#This Row],[SubGroup]],Product_Structure[Subgroup],0)),"")</f>
        <v>AMT_C</v>
      </c>
      <c r="G521" s="113" t="str">
        <f>IFERROR(INDEX(Product_Structure[Product group name ENG],MATCH(Товары[[#This Row],[SubGroup]],Product_Structure[Subgroup],0)),"")</f>
        <v>Accessories, Manual, Tools</v>
      </c>
      <c r="H521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21" s="36">
        <v>9221</v>
      </c>
      <c r="J521" s="36" t="str">
        <f>IFERROR(INDEX(Product_Structure[Generic Name (long)],MATCH(Товары[[#This Row],[SubGroup]],Product_Structure[Subgroup],0)),"")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Row],[SubGroup]],DIY!$B:$C,2,FALSE),0)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3" t="str">
        <f>IFERROR(INDEX(Product_Structure[SuperCategory],MATCH(Товары[[#This Row],[SubGroup]],Product_Structure[Subgroup],0)),"")</f>
        <v>A</v>
      </c>
      <c r="D522" s="113" t="str">
        <f>IFERROR(INDEX(Product_Structure[SuperCategory Name ENG],MATCH(Товары[[#This Row],[SubGroup]],Product_Structure[Subgroup],0)),"")</f>
        <v>Hand&amp;Cutting tools, Accessories</v>
      </c>
      <c r="E5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2" s="113" t="str">
        <f>IFERROR(INDEX(Product_Structure[Product group],MATCH(Товары[[#This Row],[SubGroup]],Product_Structure[Subgroup],0)),"")</f>
        <v>AMT_C</v>
      </c>
      <c r="G522" s="113" t="str">
        <f>IFERROR(INDEX(Product_Structure[Product group name ENG],MATCH(Товары[[#This Row],[SubGroup]],Product_Structure[Subgroup],0)),"")</f>
        <v>Accessories, Manual, Tools</v>
      </c>
      <c r="H522" s="113" t="str">
        <f>IFERROR(INDEX(Product_Structure[Generic Name (long)3],MATCH(Товары[[#This Row],[SubGroup]],Product_Structure[Subgroup],0)),"")</f>
        <v>Насадки и длинные рукоятки для комбисистемы</v>
      </c>
      <c r="I522" s="36">
        <v>9221</v>
      </c>
      <c r="J522" s="36" t="str">
        <f>IFERROR(INDEX(Product_Structure[Generic Name (long)],MATCH(Товары[[#This Row],[SubGroup]],Product_Structure[Subgroup],0)),"")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Row],[SubGroup]],DIY!$B:$C,2,FALSE),0)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3" t="str">
        <f>IFERROR(INDEX(Product_Structure[SuperCategory],MATCH(Товары[[#This Row],[SubGroup]],Product_Structure[Subgroup],0)),"")</f>
        <v>A</v>
      </c>
      <c r="D523" s="113" t="str">
        <f>IFERROR(INDEX(Product_Structure[SuperCategory Name ENG],MATCH(Товары[[#This Row],[SubGroup]],Product_Structure[Subgroup],0)),"")</f>
        <v>Hand&amp;Cutting tools, Accessories</v>
      </c>
      <c r="E52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3" s="113" t="str">
        <f>IFERROR(INDEX(Product_Structure[Product group],MATCH(Товары[[#This Row],[SubGroup]],Product_Structure[Subgroup],0)),"")</f>
        <v>AMT_C</v>
      </c>
      <c r="G523" s="113" t="str">
        <f>IFERROR(INDEX(Product_Structure[Product group name ENG],MATCH(Товары[[#This Row],[SubGroup]],Product_Structure[Subgroup],0)),"")</f>
        <v>Accessories, Manual, Tools</v>
      </c>
      <c r="H523" s="113" t="str">
        <f>IFERROR(INDEX(Product_Structure[Generic Name (long)3],MATCH(Товары[[#This Row],[SubGroup]],Product_Structure[Subgroup],0)),"")</f>
        <v>Лопаты садовые</v>
      </c>
      <c r="I523" s="36">
        <v>9228</v>
      </c>
      <c r="J523" s="36" t="str">
        <f>IFERROR(INDEX(Product_Structure[Generic Name (long)],MATCH(Товары[[#This Row],[SubGroup]],Product_Structure[Subgroup],0)),"")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Row],[SubGroup]],DIY!$B:$C,2,FALSE),0)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3" t="str">
        <f>IFERROR(INDEX(Product_Structure[SuperCategory],MATCH(Товары[[#This Row],[SubGroup]],Product_Structure[Subgroup],0)),"")</f>
        <v>A</v>
      </c>
      <c r="D524" s="113" t="str">
        <f>IFERROR(INDEX(Product_Structure[SuperCategory Name ENG],MATCH(Товары[[#This Row],[SubGroup]],Product_Structure[Subgroup],0)),"")</f>
        <v>Hand&amp;Cutting tools, Accessories</v>
      </c>
      <c r="E52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4" s="113" t="str">
        <f>IFERROR(INDEX(Product_Structure[Product group],MATCH(Товары[[#This Row],[SubGroup]],Product_Structure[Subgroup],0)),"")</f>
        <v>AMT_C</v>
      </c>
      <c r="G524" s="113" t="str">
        <f>IFERROR(INDEX(Product_Structure[Product group name ENG],MATCH(Товары[[#This Row],[SubGroup]],Product_Structure[Subgroup],0)),"")</f>
        <v>Accessories, Manual, Tools</v>
      </c>
      <c r="H524" s="113" t="str">
        <f>IFERROR(INDEX(Product_Structure[Generic Name (long)3],MATCH(Товары[[#This Row],[SubGroup]],Product_Structure[Subgroup],0)),"")</f>
        <v>Лопаты садовые</v>
      </c>
      <c r="I524" s="36">
        <v>9228</v>
      </c>
      <c r="J524" s="36" t="str">
        <f>IFERROR(INDEX(Product_Structure[Generic Name (long)],MATCH(Товары[[#This Row],[SubGroup]],Product_Structure[Subgroup],0)),"")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Row],[SubGroup]],DIY!$B:$C,2,FALSE),0)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3" t="str">
        <f>IFERROR(INDEX(Product_Structure[SuperCategory],MATCH(Товары[[#This Row],[SubGroup]],Product_Structure[Subgroup],0)),"")</f>
        <v>A</v>
      </c>
      <c r="D525" s="113" t="str">
        <f>IFERROR(INDEX(Product_Structure[SuperCategory Name ENG],MATCH(Товары[[#This Row],[SubGroup]],Product_Structure[Subgroup],0)),"")</f>
        <v>Hand&amp;Cutting tools, Accessories</v>
      </c>
      <c r="E52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5" s="113" t="str">
        <f>IFERROR(INDEX(Product_Structure[Product group],MATCH(Товары[[#This Row],[SubGroup]],Product_Structure[Subgroup],0)),"")</f>
        <v>AMT_C</v>
      </c>
      <c r="G525" s="113" t="str">
        <f>IFERROR(INDEX(Product_Structure[Product group name ENG],MATCH(Товары[[#This Row],[SubGroup]],Product_Structure[Subgroup],0)),"")</f>
        <v>Accessories, Manual, Tools</v>
      </c>
      <c r="H525" s="113" t="str">
        <f>IFERROR(INDEX(Product_Structure[Generic Name (long)3],MATCH(Товары[[#This Row],[SubGroup]],Product_Structure[Subgroup],0)),"")</f>
        <v>Лопаты садовые</v>
      </c>
      <c r="I525" s="36">
        <v>9228</v>
      </c>
      <c r="J525" s="36" t="str">
        <f>IFERROR(INDEX(Product_Structure[Generic Name (long)],MATCH(Товары[[#This Row],[SubGroup]],Product_Structure[Subgroup],0)),"")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Row],[SubGroup]],DIY!$B:$C,2,FALSE),0)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3" t="str">
        <f>IFERROR(INDEX(Product_Structure[SuperCategory],MATCH(Товары[[#This Row],[SubGroup]],Product_Structure[Subgroup],0)),"")</f>
        <v>A</v>
      </c>
      <c r="D526" s="113" t="str">
        <f>IFERROR(INDEX(Product_Structure[SuperCategory Name ENG],MATCH(Товары[[#This Row],[SubGroup]],Product_Structure[Subgroup],0)),"")</f>
        <v>Hand&amp;Cutting tools, Accessories</v>
      </c>
      <c r="E52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6" s="113" t="str">
        <f>IFERROR(INDEX(Product_Structure[Product group],MATCH(Товары[[#This Row],[SubGroup]],Product_Structure[Subgroup],0)),"")</f>
        <v>AMT_C</v>
      </c>
      <c r="G526" s="113" t="str">
        <f>IFERROR(INDEX(Product_Structure[Product group name ENG],MATCH(Товары[[#This Row],[SubGroup]],Product_Structure[Subgroup],0)),"")</f>
        <v>Accessories, Manual, Tools</v>
      </c>
      <c r="H526" s="113" t="str">
        <f>IFERROR(INDEX(Product_Structure[Generic Name (long)3],MATCH(Товары[[#This Row],[SubGroup]],Product_Structure[Subgroup],0)),"")</f>
        <v>Лопаты садовые</v>
      </c>
      <c r="I526" s="36">
        <v>9228</v>
      </c>
      <c r="J526" s="36" t="str">
        <f>IFERROR(INDEX(Product_Structure[Generic Name (long)],MATCH(Товары[[#This Row],[SubGroup]],Product_Structure[Subgroup],0)),"")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Row],[SubGroup]],DIY!$B:$C,2,FALSE),0)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3" t="str">
        <f>IFERROR(INDEX(Product_Structure[SuperCategory],MATCH(Товары[[#This Row],[SubGroup]],Product_Structure[Subgroup],0)),"")</f>
        <v>A</v>
      </c>
      <c r="D527" s="113" t="str">
        <f>IFERROR(INDEX(Product_Structure[SuperCategory Name ENG],MATCH(Товары[[#This Row],[SubGroup]],Product_Structure[Subgroup],0)),"")</f>
        <v>Hand&amp;Cutting tools, Accessories</v>
      </c>
      <c r="E52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7" s="113" t="str">
        <f>IFERROR(INDEX(Product_Structure[Product group],MATCH(Товары[[#This Row],[SubGroup]],Product_Structure[Subgroup],0)),"")</f>
        <v>AMT_C</v>
      </c>
      <c r="G527" s="113" t="str">
        <f>IFERROR(INDEX(Product_Structure[Product group name ENG],MATCH(Товары[[#This Row],[SubGroup]],Product_Structure[Subgroup],0)),"")</f>
        <v>Accessories, Manual, Tools</v>
      </c>
      <c r="H527" s="113" t="str">
        <f>IFERROR(INDEX(Product_Structure[Generic Name (long)3],MATCH(Товары[[#This Row],[SubGroup]],Product_Structure[Subgroup],0)),"")</f>
        <v>Лопаты садовые</v>
      </c>
      <c r="I527" s="36">
        <v>9228</v>
      </c>
      <c r="J527" s="36" t="str">
        <f>IFERROR(INDEX(Product_Structure[Generic Name (long)],MATCH(Товары[[#This Row],[SubGroup]],Product_Structure[Subgroup],0)),"")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Row],[SubGroup]],DIY!$B:$C,2,FALSE),0)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3" t="str">
        <f>IFERROR(INDEX(Product_Structure[SuperCategory],MATCH(Товары[[#This Row],[SubGroup]],Product_Structure[Subgroup],0)),"")</f>
        <v>A</v>
      </c>
      <c r="D528" s="113" t="str">
        <f>IFERROR(INDEX(Product_Structure[SuperCategory Name ENG],MATCH(Товары[[#This Row],[SubGroup]],Product_Structure[Subgroup],0)),"")</f>
        <v>Hand&amp;Cutting tools, Accessories</v>
      </c>
      <c r="E52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8" s="113" t="str">
        <f>IFERROR(INDEX(Product_Structure[Product group],MATCH(Товары[[#This Row],[SubGroup]],Product_Structure[Subgroup],0)),"")</f>
        <v>AMT_C</v>
      </c>
      <c r="G528" s="113" t="str">
        <f>IFERROR(INDEX(Product_Structure[Product group name ENG],MATCH(Товары[[#This Row],[SubGroup]],Product_Structure[Subgroup],0)),"")</f>
        <v>Accessories, Manual, Tools</v>
      </c>
      <c r="H528" s="113" t="str">
        <f>IFERROR(INDEX(Product_Structure[Generic Name (long)3],MATCH(Товары[[#This Row],[SubGroup]],Product_Structure[Subgroup],0)),"")</f>
        <v>Лопаты садовые</v>
      </c>
      <c r="I528" s="36">
        <v>9228</v>
      </c>
      <c r="J528" s="36" t="str">
        <f>IFERROR(INDEX(Product_Structure[Generic Name (long)],MATCH(Товары[[#This Row],[SubGroup]],Product_Structure[Subgroup],0)),"")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Row],[SubGroup]],DIY!$B:$C,2,FALSE),0)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3" t="str">
        <f>IFERROR(INDEX(Product_Structure[SuperCategory],MATCH(Товары[[#This Row],[SubGroup]],Product_Structure[Subgroup],0)),"")</f>
        <v>A</v>
      </c>
      <c r="D529" s="113" t="str">
        <f>IFERROR(INDEX(Product_Structure[SuperCategory Name ENG],MATCH(Товары[[#This Row],[SubGroup]],Product_Structure[Subgroup],0)),"")</f>
        <v>Hand&amp;Cutting tools, Accessories</v>
      </c>
      <c r="E52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29" s="113" t="str">
        <f>IFERROR(INDEX(Product_Structure[Product group],MATCH(Товары[[#This Row],[SubGroup]],Product_Structure[Subgroup],0)),"")</f>
        <v>AMT_C</v>
      </c>
      <c r="G529" s="113" t="str">
        <f>IFERROR(INDEX(Product_Structure[Product group name ENG],MATCH(Товары[[#This Row],[SubGroup]],Product_Structure[Subgroup],0)),"")</f>
        <v>Accessories, Manual, Tools</v>
      </c>
      <c r="H529" s="113" t="str">
        <f>IFERROR(INDEX(Product_Structure[Generic Name (long)3],MATCH(Товары[[#This Row],[SubGroup]],Product_Structure[Subgroup],0)),"")</f>
        <v>Лопаты садовые</v>
      </c>
      <c r="I529" s="36">
        <v>9228</v>
      </c>
      <c r="J529" s="36" t="str">
        <f>IFERROR(INDEX(Product_Structure[Generic Name (long)],MATCH(Товары[[#This Row],[SubGroup]],Product_Structure[Subgroup],0)),"")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Row],[SubGroup]],DIY!$B:$C,2,FALSE),0)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3" t="str">
        <f>IFERROR(INDEX(Product_Structure[SuperCategory],MATCH(Товары[[#This Row],[SubGroup]],Product_Structure[Subgroup],0)),"")</f>
        <v>A</v>
      </c>
      <c r="D530" s="113" t="str">
        <f>IFERROR(INDEX(Product_Structure[SuperCategory Name ENG],MATCH(Товары[[#This Row],[SubGroup]],Product_Structure[Subgroup],0)),"")</f>
        <v>Hand&amp;Cutting tools, Accessories</v>
      </c>
      <c r="E53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0" s="113" t="str">
        <f>IFERROR(INDEX(Product_Structure[Product group],MATCH(Товары[[#This Row],[SubGroup]],Product_Structure[Subgroup],0)),"")</f>
        <v>AMT_C</v>
      </c>
      <c r="G530" s="113" t="str">
        <f>IFERROR(INDEX(Product_Structure[Product group name ENG],MATCH(Товары[[#This Row],[SubGroup]],Product_Structure[Subgroup],0)),"")</f>
        <v>Accessories, Manual, Tools</v>
      </c>
      <c r="H530" s="113" t="str">
        <f>IFERROR(INDEX(Product_Structure[Generic Name (long)3],MATCH(Товары[[#This Row],[SubGroup]],Product_Structure[Subgroup],0)),"")</f>
        <v>Лопаты садовые</v>
      </c>
      <c r="I530" s="36">
        <v>9228</v>
      </c>
      <c r="J530" s="36" t="str">
        <f>IFERROR(INDEX(Product_Structure[Generic Name (long)],MATCH(Товары[[#This Row],[SubGroup]],Product_Structure[Subgroup],0)),"")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Row],[SubGroup]],DIY!$B:$C,2,FALSE),0)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3" t="str">
        <f>IFERROR(INDEX(Product_Structure[SuperCategory],MATCH(Товары[[#This Row],[SubGroup]],Product_Structure[Subgroup],0)),"")</f>
        <v>A</v>
      </c>
      <c r="D531" s="113" t="str">
        <f>IFERROR(INDEX(Product_Structure[SuperCategory Name ENG],MATCH(Товары[[#This Row],[SubGroup]],Product_Structure[Subgroup],0)),"")</f>
        <v>Hand&amp;Cutting tools, Accessories</v>
      </c>
      <c r="E53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1" s="113" t="str">
        <f>IFERROR(INDEX(Product_Structure[Product group],MATCH(Товары[[#This Row],[SubGroup]],Product_Structure[Subgroup],0)),"")</f>
        <v>AMT_C</v>
      </c>
      <c r="G531" s="113" t="str">
        <f>IFERROR(INDEX(Product_Structure[Product group name ENG],MATCH(Товары[[#This Row],[SubGroup]],Product_Structure[Subgroup],0)),"")</f>
        <v>Accessories, Manual, Tools</v>
      </c>
      <c r="H531" s="113" t="str">
        <f>IFERROR(INDEX(Product_Structure[Generic Name (long)3],MATCH(Товары[[#This Row],[SubGroup]],Product_Structure[Subgroup],0)),"")</f>
        <v>Лопаты садовые</v>
      </c>
      <c r="I531" s="36">
        <v>9228</v>
      </c>
      <c r="J531" s="36" t="str">
        <f>IFERROR(INDEX(Product_Structure[Generic Name (long)],MATCH(Товары[[#This Row],[SubGroup]],Product_Structure[Subgroup],0)),"")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Row],[SubGroup]],DIY!$B:$C,2,FALSE),0)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3" t="str">
        <f>IFERROR(INDEX(Product_Structure[SuperCategory],MATCH(Товары[[#This Row],[SubGroup]],Product_Structure[Subgroup],0)),"")</f>
        <v>A</v>
      </c>
      <c r="D532" s="113" t="str">
        <f>IFERROR(INDEX(Product_Structure[SuperCategory Name ENG],MATCH(Товары[[#This Row],[SubGroup]],Product_Structure[Subgroup],0)),"")</f>
        <v>Hand&amp;Cutting tools, Accessories</v>
      </c>
      <c r="E53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2" s="113" t="str">
        <f>IFERROR(INDEX(Product_Structure[Product group],MATCH(Товары[[#This Row],[SubGroup]],Product_Structure[Subgroup],0)),"")</f>
        <v>AMT_C</v>
      </c>
      <c r="G532" s="113" t="str">
        <f>IFERROR(INDEX(Product_Structure[Product group name ENG],MATCH(Товары[[#This Row],[SubGroup]],Product_Structure[Subgroup],0)),"")</f>
        <v>Accessories, Manual, Tools</v>
      </c>
      <c r="H532" s="113" t="str">
        <f>IFERROR(INDEX(Product_Structure[Generic Name (long)3],MATCH(Товары[[#This Row],[SubGroup]],Product_Structure[Subgroup],0)),"")</f>
        <v>Ручные инструменты для уборки</v>
      </c>
      <c r="I532" s="36">
        <v>9223</v>
      </c>
      <c r="J532" s="36" t="str">
        <f>IFERROR(INDEX(Product_Structure[Generic Name (long)],MATCH(Товары[[#This Row],[SubGroup]],Product_Structure[Subgroup],0)),"")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Row],[SubGroup]],DIY!$B:$C,2,FALSE),0)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3" t="str">
        <f>IFERROR(INDEX(Product_Structure[SuperCategory],MATCH(Товары[[#This Row],[SubGroup]],Product_Structure[Subgroup],0)),"")</f>
        <v>A</v>
      </c>
      <c r="D533" s="113" t="str">
        <f>IFERROR(INDEX(Product_Structure[SuperCategory Name ENG],MATCH(Товары[[#This Row],[SubGroup]],Product_Structure[Subgroup],0)),"")</f>
        <v>Hand&amp;Cutting tools, Accessories</v>
      </c>
      <c r="E5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3" s="113" t="str">
        <f>IFERROR(INDEX(Product_Structure[Product group],MATCH(Товары[[#This Row],[SubGroup]],Product_Structure[Subgroup],0)),"")</f>
        <v>AMT_C</v>
      </c>
      <c r="G533" s="113" t="str">
        <f>IFERROR(INDEX(Product_Structure[Product group name ENG],MATCH(Товары[[#This Row],[SubGroup]],Product_Structure[Subgroup],0)),"")</f>
        <v>Accessories, Manual, Tools</v>
      </c>
      <c r="H533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3" s="36">
        <v>9226</v>
      </c>
      <c r="J533" s="36" t="str">
        <f>IFERROR(INDEX(Product_Structure[Generic Name (long)],MATCH(Товары[[#This Row],[SubGroup]],Product_Structure[Subgroup],0)),"")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Row],[SubGroup]],DIY!$B:$C,2,FALSE),0)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3" t="str">
        <f>IFERROR(INDEX(Product_Structure[SuperCategory],MATCH(Товары[[#This Row],[SubGroup]],Product_Structure[Subgroup],0)),"")</f>
        <v>A</v>
      </c>
      <c r="D534" s="113" t="str">
        <f>IFERROR(INDEX(Product_Structure[SuperCategory Name ENG],MATCH(Товары[[#This Row],[SubGroup]],Product_Structure[Subgroup],0)),"")</f>
        <v>Hand&amp;Cutting tools, Accessories</v>
      </c>
      <c r="E5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4" s="113" t="str">
        <f>IFERROR(INDEX(Product_Structure[Product group],MATCH(Товары[[#This Row],[SubGroup]],Product_Structure[Subgroup],0)),"")</f>
        <v>AMT_C</v>
      </c>
      <c r="G534" s="113" t="str">
        <f>IFERROR(INDEX(Product_Structure[Product group name ENG],MATCH(Товары[[#This Row],[SubGroup]],Product_Structure[Subgroup],0)),"")</f>
        <v>Accessories, Manual, Tools</v>
      </c>
      <c r="H534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4" s="36">
        <v>9226</v>
      </c>
      <c r="J534" s="36" t="str">
        <f>IFERROR(INDEX(Product_Structure[Generic Name (long)],MATCH(Товары[[#This Row],[SubGroup]],Product_Structure[Subgroup],0)),"")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Row],[SubGroup]],DIY!$B:$C,2,FALSE),0)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3" t="str">
        <f>IFERROR(INDEX(Product_Structure[SuperCategory],MATCH(Товары[[#This Row],[SubGroup]],Product_Structure[Subgroup],0)),"")</f>
        <v>A</v>
      </c>
      <c r="D535" s="113" t="str">
        <f>IFERROR(INDEX(Product_Structure[SuperCategory Name ENG],MATCH(Товары[[#This Row],[SubGroup]],Product_Structure[Subgroup],0)),"")</f>
        <v>Hand&amp;Cutting tools, Accessories</v>
      </c>
      <c r="E53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5" s="113" t="str">
        <f>IFERROR(INDEX(Product_Structure[Product group],MATCH(Товары[[#This Row],[SubGroup]],Product_Structure[Subgroup],0)),"")</f>
        <v>AMT_C</v>
      </c>
      <c r="G535" s="113" t="str">
        <f>IFERROR(INDEX(Product_Structure[Product group name ENG],MATCH(Товары[[#This Row],[SubGroup]],Product_Structure[Subgroup],0)),"")</f>
        <v>Accessories, Manual, Tools</v>
      </c>
      <c r="H535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5" s="36">
        <v>9226</v>
      </c>
      <c r="J535" s="36" t="str">
        <f>IFERROR(INDEX(Product_Structure[Generic Name (long)],MATCH(Товары[[#This Row],[SubGroup]],Product_Structure[Subgroup],0)),"")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Row],[SubGroup]],DIY!$B:$C,2,FALSE),0)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3" t="str">
        <f>IFERROR(INDEX(Product_Structure[SuperCategory],MATCH(Товары[[#This Row],[SubGroup]],Product_Structure[Subgroup],0)),"")</f>
        <v>A</v>
      </c>
      <c r="D536" s="113" t="str">
        <f>IFERROR(INDEX(Product_Structure[SuperCategory Name ENG],MATCH(Товары[[#This Row],[SubGroup]],Product_Structure[Subgroup],0)),"")</f>
        <v>Hand&amp;Cutting tools, Accessories</v>
      </c>
      <c r="E53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6" s="113" t="str">
        <f>IFERROR(INDEX(Product_Structure[Product group],MATCH(Товары[[#This Row],[SubGroup]],Product_Structure[Subgroup],0)),"")</f>
        <v>AMT_C</v>
      </c>
      <c r="G536" s="113" t="str">
        <f>IFERROR(INDEX(Product_Structure[Product group name ENG],MATCH(Товары[[#This Row],[SubGroup]],Product_Structure[Subgroup],0)),"")</f>
        <v>Accessories, Manual, Tools</v>
      </c>
      <c r="H536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6" s="36">
        <v>9226</v>
      </c>
      <c r="J536" s="36" t="str">
        <f>IFERROR(INDEX(Product_Structure[Generic Name (long)],MATCH(Товары[[#This Row],[SubGroup]],Product_Structure[Subgroup],0)),"")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Row],[SubGroup]],DIY!$B:$C,2,FALSE),0)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3" t="str">
        <f>IFERROR(INDEX(Product_Structure[SuperCategory],MATCH(Товары[[#This Row],[SubGroup]],Product_Structure[Subgroup],0)),"")</f>
        <v>A</v>
      </c>
      <c r="D537" s="113" t="str">
        <f>IFERROR(INDEX(Product_Structure[SuperCategory Name ENG],MATCH(Товары[[#This Row],[SubGroup]],Product_Structure[Subgroup],0)),"")</f>
        <v>Hand&amp;Cutting tools, Accessories</v>
      </c>
      <c r="E53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7" s="113" t="str">
        <f>IFERROR(INDEX(Product_Structure[Product group],MATCH(Товары[[#This Row],[SubGroup]],Product_Structure[Subgroup],0)),"")</f>
        <v>AMT_C</v>
      </c>
      <c r="G537" s="113" t="str">
        <f>IFERROR(INDEX(Product_Structure[Product group name ENG],MATCH(Товары[[#This Row],[SubGroup]],Product_Structure[Subgroup],0)),"")</f>
        <v>Accessories, Manual, Tools</v>
      </c>
      <c r="H537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7" s="36">
        <v>9226</v>
      </c>
      <c r="J537" s="36" t="str">
        <f>IFERROR(INDEX(Product_Structure[Generic Name (long)],MATCH(Товары[[#This Row],[SubGroup]],Product_Structure[Subgroup],0)),"")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Row],[SubGroup]],DIY!$B:$C,2,FALSE),0)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3" t="str">
        <f>IFERROR(INDEX(Product_Structure[SuperCategory],MATCH(Товары[[#This Row],[SubGroup]],Product_Structure[Subgroup],0)),"")</f>
        <v>A</v>
      </c>
      <c r="D538" s="113" t="str">
        <f>IFERROR(INDEX(Product_Structure[SuperCategory Name ENG],MATCH(Товары[[#This Row],[SubGroup]],Product_Structure[Subgroup],0)),"")</f>
        <v>Hand&amp;Cutting tools, Accessories</v>
      </c>
      <c r="E53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8" s="113" t="str">
        <f>IFERROR(INDEX(Product_Structure[Product group],MATCH(Товары[[#This Row],[SubGroup]],Product_Structure[Subgroup],0)),"")</f>
        <v>AMT_C</v>
      </c>
      <c r="G538" s="113" t="str">
        <f>IFERROR(INDEX(Product_Structure[Product group name ENG],MATCH(Товары[[#This Row],[SubGroup]],Product_Structure[Subgroup],0)),"")</f>
        <v>Accessories, Manual, Tools</v>
      </c>
      <c r="H538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8" s="36">
        <v>9226</v>
      </c>
      <c r="J538" s="36" t="str">
        <f>IFERROR(INDEX(Product_Structure[Generic Name (long)],MATCH(Товары[[#This Row],[SubGroup]],Product_Structure[Subgroup],0)),"")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Row],[SubGroup]],DIY!$B:$C,2,FALSE),0)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3" t="str">
        <f>IFERROR(INDEX(Product_Structure[SuperCategory],MATCH(Товары[[#This Row],[SubGroup]],Product_Structure[Subgroup],0)),"")</f>
        <v>A</v>
      </c>
      <c r="D539" s="113" t="str">
        <f>IFERROR(INDEX(Product_Structure[SuperCategory Name ENG],MATCH(Товары[[#This Row],[SubGroup]],Product_Structure[Subgroup],0)),"")</f>
        <v>Hand&amp;Cutting tools, Accessories</v>
      </c>
      <c r="E53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39" s="113" t="str">
        <f>IFERROR(INDEX(Product_Structure[Product group],MATCH(Товары[[#This Row],[SubGroup]],Product_Structure[Subgroup],0)),"")</f>
        <v>AMT_C</v>
      </c>
      <c r="G539" s="113" t="str">
        <f>IFERROR(INDEX(Product_Structure[Product group name ENG],MATCH(Товары[[#This Row],[SubGroup]],Product_Structure[Subgroup],0)),"")</f>
        <v>Accessories, Manual, Tools</v>
      </c>
      <c r="H539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39" s="36">
        <v>9226</v>
      </c>
      <c r="J539" s="36" t="str">
        <f>IFERROR(INDEX(Product_Structure[Generic Name (long)],MATCH(Товары[[#This Row],[SubGroup]],Product_Structure[Subgroup],0)),"")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Row],[SubGroup]],DIY!$B:$C,2,FALSE),0)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3" t="str">
        <f>IFERROR(INDEX(Product_Structure[SuperCategory],MATCH(Товары[[#This Row],[SubGroup]],Product_Structure[Subgroup],0)),"")</f>
        <v>A</v>
      </c>
      <c r="D540" s="113" t="str">
        <f>IFERROR(INDEX(Product_Structure[SuperCategory Name ENG],MATCH(Товары[[#This Row],[SubGroup]],Product_Structure[Subgroup],0)),"")</f>
        <v>Hand&amp;Cutting tools, Accessories</v>
      </c>
      <c r="E54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0" s="113" t="str">
        <f>IFERROR(INDEX(Product_Structure[Product group],MATCH(Товары[[#This Row],[SubGroup]],Product_Structure[Subgroup],0)),"")</f>
        <v>AMT_C</v>
      </c>
      <c r="G540" s="113" t="str">
        <f>IFERROR(INDEX(Product_Structure[Product group name ENG],MATCH(Товары[[#This Row],[SubGroup]],Product_Structure[Subgroup],0)),"")</f>
        <v>Accessories, Manual, Tools</v>
      </c>
      <c r="H540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40" s="36">
        <v>9226</v>
      </c>
      <c r="J540" s="36" t="str">
        <f>IFERROR(INDEX(Product_Structure[Generic Name (long)],MATCH(Товары[[#This Row],[SubGroup]],Product_Structure[Subgroup],0)),"")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Row],[SubGroup]],DIY!$B:$C,2,FALSE),0)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3" t="str">
        <f>IFERROR(INDEX(Product_Structure[SuperCategory],MATCH(Товары[[#This Row],[SubGroup]],Product_Structure[Subgroup],0)),"")</f>
        <v>A</v>
      </c>
      <c r="D541" s="113" t="str">
        <f>IFERROR(INDEX(Product_Structure[SuperCategory Name ENG],MATCH(Товары[[#This Row],[SubGroup]],Product_Structure[Subgroup],0)),"")</f>
        <v>Hand&amp;Cutting tools, Accessories</v>
      </c>
      <c r="E54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1" s="113" t="str">
        <f>IFERROR(INDEX(Product_Structure[Product group],MATCH(Товары[[#This Row],[SubGroup]],Product_Structure[Subgroup],0)),"")</f>
        <v>AMT_C</v>
      </c>
      <c r="G541" s="113" t="str">
        <f>IFERROR(INDEX(Product_Structure[Product group name ENG],MATCH(Товары[[#This Row],[SubGroup]],Product_Structure[Subgroup],0)),"")</f>
        <v>Accessories, Manual, Tools</v>
      </c>
      <c r="H541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41" s="36">
        <v>9226</v>
      </c>
      <c r="J541" s="36" t="str">
        <f>IFERROR(INDEX(Product_Structure[Generic Name (long)],MATCH(Товары[[#This Row],[SubGroup]],Product_Structure[Subgroup],0)),"")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Row],[SubGroup]],DIY!$B:$C,2,FALSE),0)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3" t="str">
        <f>IFERROR(INDEX(Product_Structure[SuperCategory],MATCH(Товары[[#This Row],[SubGroup]],Product_Structure[Subgroup],0)),"")</f>
        <v>A</v>
      </c>
      <c r="D542" s="113" t="str">
        <f>IFERROR(INDEX(Product_Structure[SuperCategory Name ENG],MATCH(Товары[[#This Row],[SubGroup]],Product_Structure[Subgroup],0)),"")</f>
        <v>Hand&amp;Cutting tools, Accessories</v>
      </c>
      <c r="E54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2" s="113" t="str">
        <f>IFERROR(INDEX(Product_Structure[Product group],MATCH(Товары[[#This Row],[SubGroup]],Product_Structure[Subgroup],0)),"")</f>
        <v>AMT_C</v>
      </c>
      <c r="G542" s="113" t="str">
        <f>IFERROR(INDEX(Product_Structure[Product group name ENG],MATCH(Товары[[#This Row],[SubGroup]],Product_Structure[Subgroup],0)),"")</f>
        <v>Accessories, Manual, Tools</v>
      </c>
      <c r="H542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42" s="36">
        <v>9226</v>
      </c>
      <c r="J542" s="36" t="str">
        <f>IFERROR(INDEX(Product_Structure[Generic Name (long)],MATCH(Товары[[#This Row],[SubGroup]],Product_Structure[Subgroup],0)),"")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Row],[SubGroup]],DIY!$B:$C,2,FALSE),0)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3" t="str">
        <f>IFERROR(INDEX(Product_Structure[SuperCategory],MATCH(Товары[[#This Row],[SubGroup]],Product_Structure[Subgroup],0)),"")</f>
        <v>A</v>
      </c>
      <c r="D543" s="113" t="str">
        <f>IFERROR(INDEX(Product_Structure[SuperCategory Name ENG],MATCH(Товары[[#This Row],[SubGroup]],Product_Structure[Subgroup],0)),"")</f>
        <v>Hand&amp;Cutting tools, Accessories</v>
      </c>
      <c r="E54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3" s="113" t="str">
        <f>IFERROR(INDEX(Product_Structure[Product group],MATCH(Товары[[#This Row],[SubGroup]],Product_Structure[Subgroup],0)),"")</f>
        <v>AMT_C</v>
      </c>
      <c r="G543" s="113" t="str">
        <f>IFERROR(INDEX(Product_Structure[Product group name ENG],MATCH(Товары[[#This Row],[SubGroup]],Product_Structure[Subgroup],0)),"")</f>
        <v>Accessories, Manual, Tools</v>
      </c>
      <c r="H543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43" s="36">
        <v>9226</v>
      </c>
      <c r="J543" s="36" t="str">
        <f>IFERROR(INDEX(Product_Structure[Generic Name (long)],MATCH(Товары[[#This Row],[SubGroup]],Product_Structure[Subgroup],0)),"")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Row],[SubGroup]],DIY!$B:$C,2,FALSE),0)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3" t="str">
        <f>IFERROR(INDEX(Product_Structure[SuperCategory],MATCH(Товары[[#This Row],[SubGroup]],Product_Structure[Subgroup],0)),"")</f>
        <v>A</v>
      </c>
      <c r="D544" s="113" t="str">
        <f>IFERROR(INDEX(Product_Structure[SuperCategory Name ENG],MATCH(Товары[[#This Row],[SubGroup]],Product_Structure[Subgroup],0)),"")</f>
        <v>Hand&amp;Cutting tools, Accessories</v>
      </c>
      <c r="E54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4" s="113" t="str">
        <f>IFERROR(INDEX(Product_Structure[Product group],MATCH(Товары[[#This Row],[SubGroup]],Product_Structure[Subgroup],0)),"")</f>
        <v>AMT_C</v>
      </c>
      <c r="G544" s="113" t="str">
        <f>IFERROR(INDEX(Product_Structure[Product group name ENG],MATCH(Товары[[#This Row],[SubGroup]],Product_Structure[Subgroup],0)),"")</f>
        <v>Accessories, Manual, Tools</v>
      </c>
      <c r="H544" s="113" t="str">
        <f>IFERROR(INDEX(Product_Structure[Generic Name (long)3],MATCH(Товары[[#This Row],[SubGroup]],Product_Structure[Subgroup],0)),"")</f>
        <v>Комплекты - насадки для комбисистемы и короткая рукоятка</v>
      </c>
      <c r="I544" s="36">
        <v>9226</v>
      </c>
      <c r="J544" s="36" t="str">
        <f>IFERROR(INDEX(Product_Structure[Generic Name (long)],MATCH(Товары[[#This Row],[SubGroup]],Product_Structure[Subgroup],0)),"")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Row],[SubGroup]],DIY!$B:$C,2,FALSE),0)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3" t="str">
        <f>IFERROR(INDEX(Product_Structure[SuperCategory],MATCH(Товары[[#This Row],[SubGroup]],Product_Structure[Subgroup],0)),"")</f>
        <v>A</v>
      </c>
      <c r="D545" s="113" t="str">
        <f>IFERROR(INDEX(Product_Structure[SuperCategory Name ENG],MATCH(Товары[[#This Row],[SubGroup]],Product_Structure[Subgroup],0)),"")</f>
        <v>Hand&amp;Cutting tools, Accessories</v>
      </c>
      <c r="E54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5" s="113" t="str">
        <f>IFERROR(INDEX(Product_Structure[Product group],MATCH(Товары[[#This Row],[SubGroup]],Product_Structure[Subgroup],0)),"")</f>
        <v>AMT_C</v>
      </c>
      <c r="G545" s="113" t="str">
        <f>IFERROR(INDEX(Product_Structure[Product group name ENG],MATCH(Товары[[#This Row],[SubGroup]],Product_Structure[Subgroup],0)),"")</f>
        <v>Accessories, Manual, Tools</v>
      </c>
      <c r="H545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45" s="36">
        <v>9227</v>
      </c>
      <c r="J545" s="36" t="str">
        <f>IFERROR(INDEX(Product_Structure[Generic Name (long)],MATCH(Товары[[#This Row],[SubGroup]],Product_Structure[Subgroup],0)),"")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Row],[SubGroup]],DIY!$B:$C,2,FALSE),0)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3" t="str">
        <f>IFERROR(INDEX(Product_Structure[SuperCategory],MATCH(Товары[[#This Row],[SubGroup]],Product_Structure[Subgroup],0)),"")</f>
        <v>A</v>
      </c>
      <c r="D546" s="113" t="str">
        <f>IFERROR(INDEX(Product_Structure[SuperCategory Name ENG],MATCH(Товары[[#This Row],[SubGroup]],Product_Structure[Subgroup],0)),"")</f>
        <v>Hand&amp;Cutting tools, Accessories</v>
      </c>
      <c r="E54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6" s="113" t="str">
        <f>IFERROR(INDEX(Product_Structure[Product group],MATCH(Товары[[#This Row],[SubGroup]],Product_Structure[Subgroup],0)),"")</f>
        <v>AMT_C</v>
      </c>
      <c r="G546" s="113" t="str">
        <f>IFERROR(INDEX(Product_Structure[Product group name ENG],MATCH(Товары[[#This Row],[SubGroup]],Product_Structure[Subgroup],0)),"")</f>
        <v>Accessories, Manual, Tools</v>
      </c>
      <c r="H546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46" s="36">
        <v>9227</v>
      </c>
      <c r="J546" s="36" t="str">
        <f>IFERROR(INDEX(Product_Structure[Generic Name (long)],MATCH(Товары[[#This Row],[SubGroup]],Product_Structure[Subgroup],0)),"")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Row],[SubGroup]],DIY!$B:$C,2,FALSE),0)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3" t="str">
        <f>IFERROR(INDEX(Product_Structure[SuperCategory],MATCH(Товары[[#This Row],[SubGroup]],Product_Structure[Subgroup],0)),"")</f>
        <v>A</v>
      </c>
      <c r="D547" s="113" t="str">
        <f>IFERROR(INDEX(Product_Structure[SuperCategory Name ENG],MATCH(Товары[[#This Row],[SubGroup]],Product_Structure[Subgroup],0)),"")</f>
        <v>Hand&amp;Cutting tools, Accessories</v>
      </c>
      <c r="E54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7" s="113" t="str">
        <f>IFERROR(INDEX(Product_Structure[Product group],MATCH(Товары[[#This Row],[SubGroup]],Product_Structure[Subgroup],0)),"")</f>
        <v>AMT_C</v>
      </c>
      <c r="G547" s="113" t="str">
        <f>IFERROR(INDEX(Product_Structure[Product group name ENG],MATCH(Товары[[#This Row],[SubGroup]],Product_Structure[Subgroup],0)),"")</f>
        <v>Accessories, Manual, Tools</v>
      </c>
      <c r="H547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47" s="36">
        <v>9227</v>
      </c>
      <c r="J547" s="36" t="str">
        <f>IFERROR(INDEX(Product_Structure[Generic Name (long)],MATCH(Товары[[#This Row],[SubGroup]],Product_Structure[Subgroup],0)),"")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Row],[SubGroup]],DIY!$B:$C,2,FALSE),0)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3" t="str">
        <f>IFERROR(INDEX(Product_Structure[SuperCategory],MATCH(Товары[[#This Row],[SubGroup]],Product_Structure[Subgroup],0)),"")</f>
        <v>A</v>
      </c>
      <c r="D548" s="113" t="str">
        <f>IFERROR(INDEX(Product_Structure[SuperCategory Name ENG],MATCH(Товары[[#This Row],[SubGroup]],Product_Structure[Subgroup],0)),"")</f>
        <v>Hand&amp;Cutting tools, Accessories</v>
      </c>
      <c r="E54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8" s="113" t="str">
        <f>IFERROR(INDEX(Product_Structure[Product group],MATCH(Товары[[#This Row],[SubGroup]],Product_Structure[Subgroup],0)),"")</f>
        <v>AMT_C</v>
      </c>
      <c r="G548" s="113" t="str">
        <f>IFERROR(INDEX(Product_Structure[Product group name ENG],MATCH(Товары[[#This Row],[SubGroup]],Product_Structure[Subgroup],0)),"")</f>
        <v>Accessories, Manual, Tools</v>
      </c>
      <c r="H548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48" s="36">
        <v>9227</v>
      </c>
      <c r="J548" s="36" t="str">
        <f>IFERROR(INDEX(Product_Structure[Generic Name (long)],MATCH(Товары[[#This Row],[SubGroup]],Product_Structure[Subgroup],0)),"")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Row],[SubGroup]],DIY!$B:$C,2,FALSE),0)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3" t="str">
        <f>IFERROR(INDEX(Product_Structure[SuperCategory],MATCH(Товары[[#This Row],[SubGroup]],Product_Structure[Subgroup],0)),"")</f>
        <v>A</v>
      </c>
      <c r="D549" s="113" t="str">
        <f>IFERROR(INDEX(Product_Structure[SuperCategory Name ENG],MATCH(Товары[[#This Row],[SubGroup]],Product_Structure[Subgroup],0)),"")</f>
        <v>Hand&amp;Cutting tools, Accessories</v>
      </c>
      <c r="E54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49" s="113" t="str">
        <f>IFERROR(INDEX(Product_Structure[Product group],MATCH(Товары[[#This Row],[SubGroup]],Product_Structure[Subgroup],0)),"")</f>
        <v>AMT_C</v>
      </c>
      <c r="G549" s="113" t="str">
        <f>IFERROR(INDEX(Product_Structure[Product group name ENG],MATCH(Товары[[#This Row],[SubGroup]],Product_Structure[Subgroup],0)),"")</f>
        <v>Accessories, Manual, Tools</v>
      </c>
      <c r="H549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49" s="36">
        <v>9227</v>
      </c>
      <c r="J549" s="36" t="str">
        <f>IFERROR(INDEX(Product_Structure[Generic Name (long)],MATCH(Товары[[#This Row],[SubGroup]],Product_Structure[Subgroup],0)),"")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Row],[SubGroup]],DIY!$B:$C,2,FALSE),0)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3" t="str">
        <f>IFERROR(INDEX(Product_Structure[SuperCategory],MATCH(Товары[[#This Row],[SubGroup]],Product_Structure[Subgroup],0)),"")</f>
        <v>A</v>
      </c>
      <c r="D550" s="113" t="str">
        <f>IFERROR(INDEX(Product_Structure[SuperCategory Name ENG],MATCH(Товары[[#This Row],[SubGroup]],Product_Structure[Subgroup],0)),"")</f>
        <v>Hand&amp;Cutting tools, Accessories</v>
      </c>
      <c r="E55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0" s="113" t="str">
        <f>IFERROR(INDEX(Product_Structure[Product group],MATCH(Товары[[#This Row],[SubGroup]],Product_Structure[Subgroup],0)),"")</f>
        <v>AMT_C</v>
      </c>
      <c r="G550" s="113" t="str">
        <f>IFERROR(INDEX(Product_Structure[Product group name ENG],MATCH(Товары[[#This Row],[SubGroup]],Product_Structure[Subgroup],0)),"")</f>
        <v>Accessories, Manual, Tools</v>
      </c>
      <c r="H550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50" s="36">
        <v>9227</v>
      </c>
      <c r="J550" s="36" t="str">
        <f>IFERROR(INDEX(Product_Structure[Generic Name (long)],MATCH(Товары[[#This Row],[SubGroup]],Product_Structure[Subgroup],0)),"")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Row],[SubGroup]],DIY!$B:$C,2,FALSE),0)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3" t="str">
        <f>IFERROR(INDEX(Product_Structure[SuperCategory],MATCH(Товары[[#This Row],[SubGroup]],Product_Structure[Subgroup],0)),"")</f>
        <v>A</v>
      </c>
      <c r="D551" s="113" t="str">
        <f>IFERROR(INDEX(Product_Structure[SuperCategory Name ENG],MATCH(Товары[[#This Row],[SubGroup]],Product_Structure[Subgroup],0)),"")</f>
        <v>Hand&amp;Cutting tools, Accessories</v>
      </c>
      <c r="E55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1" s="113" t="str">
        <f>IFERROR(INDEX(Product_Structure[Product group],MATCH(Товары[[#This Row],[SubGroup]],Product_Structure[Subgroup],0)),"")</f>
        <v>AMT_C</v>
      </c>
      <c r="G551" s="113" t="str">
        <f>IFERROR(INDEX(Product_Structure[Product group name ENG],MATCH(Товары[[#This Row],[SubGroup]],Product_Structure[Subgroup],0)),"")</f>
        <v>Accessories, Manual, Tools</v>
      </c>
      <c r="H551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51" s="36">
        <v>9227</v>
      </c>
      <c r="J551" s="36" t="str">
        <f>IFERROR(INDEX(Product_Structure[Generic Name (long)],MATCH(Товары[[#This Row],[SubGroup]],Product_Structure[Subgroup],0)),"")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Row],[SubGroup]],DIY!$B:$C,2,FALSE),0)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3" t="str">
        <f>IFERROR(INDEX(Product_Structure[SuperCategory],MATCH(Товары[[#This Row],[SubGroup]],Product_Structure[Subgroup],0)),"")</f>
        <v>A</v>
      </c>
      <c r="D552" s="113" t="str">
        <f>IFERROR(INDEX(Product_Structure[SuperCategory Name ENG],MATCH(Товары[[#This Row],[SubGroup]],Product_Structure[Subgroup],0)),"")</f>
        <v>Hand&amp;Cutting tools, Accessories</v>
      </c>
      <c r="E55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2" s="113" t="str">
        <f>IFERROR(INDEX(Product_Structure[Product group],MATCH(Товары[[#This Row],[SubGroup]],Product_Structure[Subgroup],0)),"")</f>
        <v>AMT_C</v>
      </c>
      <c r="G552" s="113" t="str">
        <f>IFERROR(INDEX(Product_Structure[Product group name ENG],MATCH(Товары[[#This Row],[SubGroup]],Product_Structure[Subgroup],0)),"")</f>
        <v>Accessories, Manual, Tools</v>
      </c>
      <c r="H552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52" s="36">
        <v>9227</v>
      </c>
      <c r="J552" s="36" t="str">
        <f>IFERROR(INDEX(Product_Structure[Generic Name (long)],MATCH(Товары[[#This Row],[SubGroup]],Product_Structure[Subgroup],0)),"")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Row],[SubGroup]],DIY!$B:$C,2,FALSE),0)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3" t="str">
        <f>IFERROR(INDEX(Product_Structure[SuperCategory],MATCH(Товары[[#This Row],[SubGroup]],Product_Structure[Subgroup],0)),"")</f>
        <v>A</v>
      </c>
      <c r="D553" s="113" t="str">
        <f>IFERROR(INDEX(Product_Structure[SuperCategory Name ENG],MATCH(Товары[[#This Row],[SubGroup]],Product_Structure[Subgroup],0)),"")</f>
        <v>Hand&amp;Cutting tools, Accessories</v>
      </c>
      <c r="E55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3" s="113" t="str">
        <f>IFERROR(INDEX(Product_Structure[Product group],MATCH(Товары[[#This Row],[SubGroup]],Product_Structure[Subgroup],0)),"")</f>
        <v>AMT_C</v>
      </c>
      <c r="G553" s="113" t="str">
        <f>IFERROR(INDEX(Product_Structure[Product group name ENG],MATCH(Товары[[#This Row],[SubGroup]],Product_Structure[Subgroup],0)),"")</f>
        <v>Accessories, Manual, Tools</v>
      </c>
      <c r="H553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53" s="36">
        <v>9227</v>
      </c>
      <c r="J553" s="36" t="str">
        <f>IFERROR(INDEX(Product_Structure[Generic Name (long)],MATCH(Товары[[#This Row],[SubGroup]],Product_Structure[Subgroup],0)),"")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Row],[SubGroup]],DIY!$B:$C,2,FALSE),0)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3" t="str">
        <f>IFERROR(INDEX(Product_Structure[SuperCategory],MATCH(Товары[[#This Row],[SubGroup]],Product_Structure[Subgroup],0)),"")</f>
        <v>A</v>
      </c>
      <c r="D554" s="113" t="str">
        <f>IFERROR(INDEX(Product_Structure[SuperCategory Name ENG],MATCH(Товары[[#This Row],[SubGroup]],Product_Structure[Subgroup],0)),"")</f>
        <v>Hand&amp;Cutting tools, Accessories</v>
      </c>
      <c r="E55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4" s="113" t="str">
        <f>IFERROR(INDEX(Product_Structure[Product group],MATCH(Товары[[#This Row],[SubGroup]],Product_Structure[Subgroup],0)),"")</f>
        <v>AMT_C</v>
      </c>
      <c r="G554" s="113" t="str">
        <f>IFERROR(INDEX(Product_Structure[Product group name ENG],MATCH(Товары[[#This Row],[SubGroup]],Product_Structure[Subgroup],0)),"")</f>
        <v>Accessories, Manual, Tools</v>
      </c>
      <c r="H554" s="113" t="str">
        <f>IFERROR(INDEX(Product_Structure[Generic Name (long)3],MATCH(Товары[[#This Row],[SubGroup]],Product_Structure[Subgroup],0)),"")</f>
        <v>Ручные инструменты для высадки растений</v>
      </c>
      <c r="I554" s="36">
        <v>9227</v>
      </c>
      <c r="J554" s="36" t="str">
        <f>IFERROR(INDEX(Product_Structure[Generic Name (long)],MATCH(Товары[[#This Row],[SubGroup]],Product_Structure[Subgroup],0)),"")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Row],[SubGroup]],DIY!$B:$C,2,FALSE),0)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3" t="str">
        <f>IFERROR(INDEX(Product_Structure[SuperCategory],MATCH(Товары[[#This Row],[SubGroup]],Product_Structure[Subgroup],0)),"")</f>
        <v>A</v>
      </c>
      <c r="D555" s="113" t="str">
        <f>IFERROR(INDEX(Product_Structure[SuperCategory Name ENG],MATCH(Товары[[#This Row],[SubGroup]],Product_Structure[Subgroup],0)),"")</f>
        <v>Hand&amp;Cutting tools, Accessories</v>
      </c>
      <c r="E555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5" s="113" t="str">
        <f>IFERROR(INDEX(Product_Structure[Product group],MATCH(Товары[[#This Row],[SubGroup]],Product_Structure[Subgroup],0)),"")</f>
        <v>AMT_C</v>
      </c>
      <c r="G555" s="113" t="str">
        <f>IFERROR(INDEX(Product_Structure[Product group name ENG],MATCH(Товары[[#This Row],[SubGroup]],Product_Structure[Subgroup],0)),"")</f>
        <v>Accessories, Manual, Tools</v>
      </c>
      <c r="H555" s="113" t="str">
        <f>IFERROR(INDEX(Product_Structure[Generic Name (long)3],MATCH(Товары[[#This Row],[SubGroup]],Product_Structure[Subgroup],0)),"")</f>
        <v>Зимние ручные инструменты</v>
      </c>
      <c r="I555" s="36">
        <v>9224</v>
      </c>
      <c r="J555" s="36" t="str">
        <f>IFERROR(INDEX(Product_Structure[Generic Name (long)],MATCH(Товары[[#This Row],[SubGroup]],Product_Structure[Subgroup],0)),"")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Row],[SubGroup]],DIY!$B:$C,2,FALSE),0)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3" t="str">
        <f>IFERROR(INDEX(Product_Structure[SuperCategory],MATCH(Товары[[#This Row],[SubGroup]],Product_Structure[Subgroup],0)),"")</f>
        <v>A</v>
      </c>
      <c r="D556" s="113" t="str">
        <f>IFERROR(INDEX(Product_Structure[SuperCategory Name ENG],MATCH(Товары[[#This Row],[SubGroup]],Product_Structure[Subgroup],0)),"")</f>
        <v>Hand&amp;Cutting tools, Accessories</v>
      </c>
      <c r="E55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556" s="113" t="str">
        <f>IFERROR(INDEX(Product_Structure[Product group],MATCH(Товары[[#This Row],[SubGroup]],Product_Structure[Subgroup],0)),"")</f>
        <v>AMT_C</v>
      </c>
      <c r="G556" s="113" t="str">
        <f>IFERROR(INDEX(Product_Structure[Product group name ENG],MATCH(Товары[[#This Row],[SubGroup]],Product_Structure[Subgroup],0)),"")</f>
        <v>Accessories, Manual, Tools</v>
      </c>
      <c r="H556" s="113" t="str">
        <f>IFERROR(INDEX(Product_Structure[Generic Name (long)3],MATCH(Товары[[#This Row],[SubGroup]],Product_Structure[Subgroup],0)),"")</f>
        <v>Ручные инструменты для уборки</v>
      </c>
      <c r="I556" s="36">
        <v>9223</v>
      </c>
      <c r="J556" s="36" t="str">
        <f>IFERROR(INDEX(Product_Structure[Generic Name (long)],MATCH(Товары[[#This Row],[SubGroup]],Product_Structure[Subgroup],0)),"")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Row],[SubGroup]],DIY!$B:$C,2,FALSE),0)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3" t="str">
        <f>IFERROR(INDEX(Product_Structure[SuperCategory],MATCH(Товары[[#This Row],[SubGroup]],Product_Structure[Subgroup],0)),"")</f>
        <v>H</v>
      </c>
      <c r="D557" s="113" t="str">
        <f>IFERROR(INDEX(Product_Structure[SuperCategory Name ENG],MATCH(Товары[[#This Row],[SubGroup]],Product_Structure[Subgroup],0)),"")</f>
        <v>HandHeld (electric, battery) + spare parts</v>
      </c>
      <c r="E55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57" s="113" t="str">
        <f>IFERROR(INDEX(Product_Structure[Product group],MATCH(Товары[[#This Row],[SubGroup]],Product_Structure[Subgroup],0)),"")</f>
        <v>EEO_C</v>
      </c>
      <c r="G557" s="113" t="str">
        <f>IFERROR(INDEX(Product_Structure[Product group name ENG],MATCH(Товары[[#This Row],[SubGroup]],Product_Structure[Subgroup],0)),"")</f>
        <v>Electric, Batteries/Chargers</v>
      </c>
      <c r="H557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IFERROR(INDEX(Product_Structure[Generic Name (long)],MATCH(Товары[[#This Row],[SubGroup]],Product_Structure[Subgroup],0)),"")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Row],[SubGroup]],DIY!$B:$C,2,FALSE),0)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3" t="str">
        <f>IFERROR(INDEX(Product_Structure[SuperCategory],MATCH(Товары[[#This Row],[SubGroup]],Product_Structure[Subgroup],0)),"")</f>
        <v>H</v>
      </c>
      <c r="D558" s="113" t="str">
        <f>IFERROR(INDEX(Product_Structure[SuperCategory Name ENG],MATCH(Товары[[#This Row],[SubGroup]],Product_Structure[Subgroup],0)),"")</f>
        <v>HandHeld (electric, battery) + spare parts</v>
      </c>
      <c r="E55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58" s="113" t="str">
        <f>IFERROR(INDEX(Product_Structure[Product group],MATCH(Товары[[#This Row],[SubGroup]],Product_Structure[Subgroup],0)),"")</f>
        <v>EEO_C</v>
      </c>
      <c r="G558" s="113" t="str">
        <f>IFERROR(INDEX(Product_Structure[Product group name ENG],MATCH(Товары[[#This Row],[SubGroup]],Product_Structure[Subgroup],0)),"")</f>
        <v>Electric, Batteries/Chargers</v>
      </c>
      <c r="H558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IFERROR(INDEX(Product_Structure[Generic Name (long)],MATCH(Товары[[#This Row],[SubGroup]],Product_Structure[Subgroup],0)),"")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Row],[SubGroup]],DIY!$B:$C,2,FALSE),0)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3" t="str">
        <f>IFERROR(INDEX(Product_Structure[SuperCategory],MATCH(Товары[[#This Row],[SubGroup]],Product_Structure[Subgroup],0)),"")</f>
        <v>H</v>
      </c>
      <c r="D559" s="113" t="str">
        <f>IFERROR(INDEX(Product_Structure[SuperCategory Name ENG],MATCH(Товары[[#This Row],[SubGroup]],Product_Structure[Subgroup],0)),"")</f>
        <v>HandHeld (electric, battery) + spare parts</v>
      </c>
      <c r="E55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59" s="113" t="str">
        <f>IFERROR(INDEX(Product_Structure[Product group],MATCH(Товары[[#This Row],[SubGroup]],Product_Structure[Subgroup],0)),"")</f>
        <v>EEO_C</v>
      </c>
      <c r="G559" s="113" t="str">
        <f>IFERROR(INDEX(Product_Structure[Product group name ENG],MATCH(Товары[[#This Row],[SubGroup]],Product_Structure[Subgroup],0)),"")</f>
        <v>Electric, Batteries/Chargers</v>
      </c>
      <c r="H559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IFERROR(INDEX(Product_Structure[Generic Name (long)],MATCH(Товары[[#This Row],[SubGroup]],Product_Structure[Subgroup],0)),"")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Row],[SubGroup]],DIY!$B:$C,2,FALSE),0)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3" t="str">
        <f>IFERROR(INDEX(Product_Structure[SuperCategory],MATCH(Товары[[#This Row],[SubGroup]],Product_Structure[Subgroup],0)),"")</f>
        <v>H</v>
      </c>
      <c r="D560" s="113" t="str">
        <f>IFERROR(INDEX(Product_Structure[SuperCategory Name ENG],MATCH(Товары[[#This Row],[SubGroup]],Product_Structure[Subgroup],0)),"")</f>
        <v>HandHeld (electric, battery) + spare parts</v>
      </c>
      <c r="E56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0" s="113" t="str">
        <f>IFERROR(INDEX(Product_Structure[Product group],MATCH(Товары[[#This Row],[SubGroup]],Product_Structure[Subgroup],0)),"")</f>
        <v>EEO_C</v>
      </c>
      <c r="G560" s="113" t="str">
        <f>IFERROR(INDEX(Product_Structure[Product group name ENG],MATCH(Товары[[#This Row],[SubGroup]],Product_Structure[Subgroup],0)),"")</f>
        <v>Electric, Batteries/Chargers</v>
      </c>
      <c r="H560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IFERROR(INDEX(Product_Structure[Generic Name (long)],MATCH(Товары[[#This Row],[SubGroup]],Product_Structure[Subgroup],0)),"")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Row],[SubGroup]],DIY!$B:$C,2,FALSE),0)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3" t="str">
        <f>IFERROR(INDEX(Product_Structure[SuperCategory],MATCH(Товары[[#This Row],[SubGroup]],Product_Structure[Subgroup],0)),"")</f>
        <v>H</v>
      </c>
      <c r="D561" s="113" t="str">
        <f>IFERROR(INDEX(Product_Structure[SuperCategory Name ENG],MATCH(Товары[[#This Row],[SubGroup]],Product_Structure[Subgroup],0)),"")</f>
        <v>HandHeld (electric, battery) + spare parts</v>
      </c>
      <c r="E56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1" s="113" t="str">
        <f>IFERROR(INDEX(Product_Structure[Product group],MATCH(Товары[[#This Row],[SubGroup]],Product_Structure[Subgroup],0)),"")</f>
        <v>EEO_C</v>
      </c>
      <c r="G561" s="113" t="str">
        <f>IFERROR(INDEX(Product_Structure[Product group name ENG],MATCH(Товары[[#This Row],[SubGroup]],Product_Structure[Subgroup],0)),"")</f>
        <v>Electric, Batteries/Chargers</v>
      </c>
      <c r="H561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IFERROR(INDEX(Product_Structure[Generic Name (long)],MATCH(Товары[[#This Row],[SubGroup]],Product_Structure[Subgroup],0)),"")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Row],[SubGroup]],DIY!$B:$C,2,FALSE),0)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3" t="str">
        <f>IFERROR(INDEX(Product_Structure[SuperCategory],MATCH(Товары[[#This Row],[SubGroup]],Product_Structure[Subgroup],0)),"")</f>
        <v>H</v>
      </c>
      <c r="D562" s="113" t="str">
        <f>IFERROR(INDEX(Product_Structure[SuperCategory Name ENG],MATCH(Товары[[#This Row],[SubGroup]],Product_Structure[Subgroup],0)),"")</f>
        <v>HandHeld (electric, battery) + spare parts</v>
      </c>
      <c r="E56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2" s="113" t="str">
        <f>IFERROR(INDEX(Product_Structure[Product group],MATCH(Товары[[#This Row],[SubGroup]],Product_Structure[Subgroup],0)),"")</f>
        <v>EEO_C</v>
      </c>
      <c r="G562" s="113" t="str">
        <f>IFERROR(INDEX(Product_Structure[Product group name ENG],MATCH(Товары[[#This Row],[SubGroup]],Product_Structure[Subgroup],0)),"")</f>
        <v>Electric, Batteries/Chargers</v>
      </c>
      <c r="H562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IFERROR(INDEX(Product_Structure[Generic Name (long)],MATCH(Товары[[#This Row],[SubGroup]],Product_Structure[Subgroup],0)),"")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Row],[SubGroup]],DIY!$B:$C,2,FALSE),0)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3" t="str">
        <f>IFERROR(INDEX(Product_Structure[SuperCategory],MATCH(Товары[[#This Row],[SubGroup]],Product_Structure[Subgroup],0)),"")</f>
        <v>H</v>
      </c>
      <c r="D563" s="113" t="str">
        <f>IFERROR(INDEX(Product_Structure[SuperCategory Name ENG],MATCH(Товары[[#This Row],[SubGroup]],Product_Structure[Subgroup],0)),"")</f>
        <v>HandHeld (electric, battery) + spare parts</v>
      </c>
      <c r="E56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3" s="113" t="str">
        <f>IFERROR(INDEX(Product_Structure[Product group],MATCH(Товары[[#This Row],[SubGroup]],Product_Structure[Subgroup],0)),"")</f>
        <v>EEO_C</v>
      </c>
      <c r="G563" s="113" t="str">
        <f>IFERROR(INDEX(Product_Structure[Product group name ENG],MATCH(Товары[[#This Row],[SubGroup]],Product_Structure[Subgroup],0)),"")</f>
        <v>Electric, Batteries/Chargers</v>
      </c>
      <c r="H563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IFERROR(INDEX(Product_Structure[Generic Name (long)],MATCH(Товары[[#This Row],[SubGroup]],Product_Structure[Subgroup],0)),"")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Row],[SubGroup]],DIY!$B:$C,2,FALSE),0)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3" t="str">
        <f>IFERROR(INDEX(Product_Structure[SuperCategory],MATCH(Товары[[#This Row],[SubGroup]],Product_Structure[Subgroup],0)),"")</f>
        <v>H</v>
      </c>
      <c r="D564" s="113" t="str">
        <f>IFERROR(INDEX(Product_Structure[SuperCategory Name ENG],MATCH(Товары[[#This Row],[SubGroup]],Product_Structure[Subgroup],0)),"")</f>
        <v>HandHeld (electric, battery) + spare parts</v>
      </c>
      <c r="E56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4" s="113" t="str">
        <f>IFERROR(INDEX(Product_Structure[Product group],MATCH(Товары[[#This Row],[SubGroup]],Product_Structure[Subgroup],0)),"")</f>
        <v>EEO_C</v>
      </c>
      <c r="G564" s="113" t="str">
        <f>IFERROR(INDEX(Product_Structure[Product group name ENG],MATCH(Товары[[#This Row],[SubGroup]],Product_Structure[Subgroup],0)),"")</f>
        <v>Electric, Batteries/Chargers</v>
      </c>
      <c r="H564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IFERROR(INDEX(Product_Structure[Generic Name (long)],MATCH(Товары[[#This Row],[SubGroup]],Product_Structure[Subgroup],0)),"")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Row],[SubGroup]],DIY!$B:$C,2,FALSE),0)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3" t="str">
        <f>IFERROR(INDEX(Product_Structure[SuperCategory],MATCH(Товары[[#This Row],[SubGroup]],Product_Structure[Subgroup],0)),"")</f>
        <v>H</v>
      </c>
      <c r="D565" s="113" t="str">
        <f>IFERROR(INDEX(Product_Structure[SuperCategory Name ENG],MATCH(Товары[[#This Row],[SubGroup]],Product_Structure[Subgroup],0)),"")</f>
        <v>HandHeld (electric, battery) + spare parts</v>
      </c>
      <c r="E56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5" s="113" t="str">
        <f>IFERROR(INDEX(Product_Structure[Product group],MATCH(Товары[[#This Row],[SubGroup]],Product_Structure[Subgroup],0)),"")</f>
        <v>EEO_C</v>
      </c>
      <c r="G565" s="113" t="str">
        <f>IFERROR(INDEX(Product_Structure[Product group name ENG],MATCH(Товары[[#This Row],[SubGroup]],Product_Structure[Subgroup],0)),"")</f>
        <v>Electric, Batteries/Chargers</v>
      </c>
      <c r="H565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IFERROR(INDEX(Product_Structure[Generic Name (long)],MATCH(Товары[[#This Row],[SubGroup]],Product_Structure[Subgroup],0)),"")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Row],[SubGroup]],DIY!$B:$C,2,FALSE),0)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3" t="str">
        <f>IFERROR(INDEX(Product_Structure[SuperCategory],MATCH(Товары[[#This Row],[SubGroup]],Product_Structure[Subgroup],0)),"")</f>
        <v>H</v>
      </c>
      <c r="D566" s="113" t="str">
        <f>IFERROR(INDEX(Product_Structure[SuperCategory Name ENG],MATCH(Товары[[#This Row],[SubGroup]],Product_Structure[Subgroup],0)),"")</f>
        <v>HandHeld (electric, battery) + spare parts</v>
      </c>
      <c r="E56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6" s="113" t="str">
        <f>IFERROR(INDEX(Product_Structure[Product group],MATCH(Товары[[#This Row],[SubGroup]],Product_Structure[Subgroup],0)),"")</f>
        <v>EEO_C</v>
      </c>
      <c r="G566" s="113" t="str">
        <f>IFERROR(INDEX(Product_Structure[Product group name ENG],MATCH(Товары[[#This Row],[SubGroup]],Product_Structure[Subgroup],0)),"")</f>
        <v>Electric, Batteries/Chargers</v>
      </c>
      <c r="H566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IFERROR(INDEX(Product_Structure[Generic Name (long)],MATCH(Товары[[#This Row],[SubGroup]],Product_Structure[Subgroup],0)),"")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Row],[SubGroup]],DIY!$B:$C,2,FALSE),0)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3" t="str">
        <f>IFERROR(INDEX(Product_Structure[SuperCategory],MATCH(Товары[[#This Row],[SubGroup]],Product_Structure[Subgroup],0)),"")</f>
        <v>H</v>
      </c>
      <c r="D567" s="113" t="str">
        <f>IFERROR(INDEX(Product_Structure[SuperCategory Name ENG],MATCH(Товары[[#This Row],[SubGroup]],Product_Structure[Subgroup],0)),"")</f>
        <v>HandHeld (electric, battery) + spare parts</v>
      </c>
      <c r="E56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7" s="113" t="str">
        <f>IFERROR(INDEX(Product_Structure[Product group],MATCH(Товары[[#This Row],[SubGroup]],Product_Structure[Subgroup],0)),"")</f>
        <v>EEO_C</v>
      </c>
      <c r="G567" s="113" t="str">
        <f>IFERROR(INDEX(Product_Structure[Product group name ENG],MATCH(Товары[[#This Row],[SubGroup]],Product_Structure[Subgroup],0)),"")</f>
        <v>Electric, Batteries/Chargers</v>
      </c>
      <c r="H567" s="113" t="str">
        <f>IFERROR(INDEX(Product_Structure[Generic Name (long)3],MATCH(Товары[[#This Row],[SubGroup]],Product_Structure[Subgroup],0)),"")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IFERROR(INDEX(Product_Structure[Generic Name (long)],MATCH(Товары[[#This Row],[SubGroup]],Product_Structure[Subgroup],0)),"")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Row],[SubGroup]],DIY!$B:$C,2,FALSE),0)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3" t="str">
        <f>IFERROR(INDEX(Product_Structure[SuperCategory],MATCH(Товары[[#This Row],[SubGroup]],Product_Structure[Subgroup],0)),"")</f>
        <v>H</v>
      </c>
      <c r="D568" s="113" t="str">
        <f>IFERROR(INDEX(Product_Structure[SuperCategory Name ENG],MATCH(Товары[[#This Row],[SubGroup]],Product_Structure[Subgroup],0)),"")</f>
        <v>HandHeld (electric, battery) + spare parts</v>
      </c>
      <c r="E56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8" s="113" t="str">
        <f>IFERROR(INDEX(Product_Structure[Product group],MATCH(Товары[[#This Row],[SubGroup]],Product_Structure[Subgroup],0)),"")</f>
        <v>HEB_C</v>
      </c>
      <c r="G568" s="113" t="str">
        <f>IFERROR(INDEX(Product_Structure[Product group name ENG],MATCH(Товары[[#This Row],[SubGroup]],Product_Structure[Subgroup],0)),"")</f>
        <v>Handheld, Electric, Blowers</v>
      </c>
      <c r="H568" s="113" t="str">
        <f>IFERROR(INDEX(Product_Structure[Generic Name (long)3],MATCH(Товары[[#This Row],[SubGroup]],Product_Structure[Subgroup],0)),"")</f>
        <v>Воздуходувы электрические</v>
      </c>
      <c r="I568" s="36">
        <v>9332</v>
      </c>
      <c r="J568" s="36" t="str">
        <f>IFERROR(INDEX(Product_Structure[Generic Name (long)],MATCH(Товары[[#This Row],[SubGroup]],Product_Structure[Subgroup],0)),"")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Row],[SubGroup]],DIY!$B:$C,2,FALSE),0)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3" t="str">
        <f>IFERROR(INDEX(Product_Structure[SuperCategory],MATCH(Товары[[#This Row],[SubGroup]],Product_Structure[Subgroup],0)),"")</f>
        <v>H</v>
      </c>
      <c r="D569" s="113" t="str">
        <f>IFERROR(INDEX(Product_Structure[SuperCategory Name ENG],MATCH(Товары[[#This Row],[SubGroup]],Product_Structure[Subgroup],0)),"")</f>
        <v>HandHeld (electric, battery) + spare parts</v>
      </c>
      <c r="E56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69" s="113" t="str">
        <f>IFERROR(INDEX(Product_Structure[Product group],MATCH(Товары[[#This Row],[SubGroup]],Product_Structure[Subgroup],0)),"")</f>
        <v>HEB_C</v>
      </c>
      <c r="G569" s="113" t="str">
        <f>IFERROR(INDEX(Product_Structure[Product group name ENG],MATCH(Товары[[#This Row],[SubGroup]],Product_Structure[Subgroup],0)),"")</f>
        <v>Handheld, Electric, Blowers</v>
      </c>
      <c r="H569" s="113" t="str">
        <f>IFERROR(INDEX(Product_Structure[Generic Name (long)3],MATCH(Товары[[#This Row],[SubGroup]],Product_Structure[Subgroup],0)),"")</f>
        <v>Воздуходувы электрические</v>
      </c>
      <c r="I569" s="36">
        <v>9332</v>
      </c>
      <c r="J569" s="36" t="str">
        <f>IFERROR(INDEX(Product_Structure[Generic Name (long)],MATCH(Товары[[#This Row],[SubGroup]],Product_Structure[Subgroup],0)),"")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Row],[SubGroup]],DIY!$B:$C,2,FALSE),0)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3" t="str">
        <f>IFERROR(INDEX(Product_Structure[SuperCategory],MATCH(Товары[[#This Row],[SubGroup]],Product_Structure[Subgroup],0)),"")</f>
        <v>H</v>
      </c>
      <c r="D570" s="113" t="str">
        <f>IFERROR(INDEX(Product_Structure[SuperCategory Name ENG],MATCH(Товары[[#This Row],[SubGroup]],Product_Structure[Subgroup],0)),"")</f>
        <v>HandHeld (electric, battery) + spare parts</v>
      </c>
      <c r="E57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0" s="113" t="str">
        <f>IFERROR(INDEX(Product_Structure[Product group],MATCH(Товары[[#This Row],[SubGroup]],Product_Structure[Subgroup],0)),"")</f>
        <v>HEB_P</v>
      </c>
      <c r="G570" s="113" t="str">
        <f>IFERROR(INDEX(Product_Structure[Product group name ENG],MATCH(Товары[[#This Row],[SubGroup]],Product_Structure[Subgroup],0)),"")</f>
        <v>Handheld, Battery, Blowers</v>
      </c>
      <c r="H570" s="113" t="str">
        <f>IFERROR(INDEX(Product_Structure[Generic Name (long)3],MATCH(Товары[[#This Row],[SubGroup]],Product_Structure[Subgroup],0)),"")</f>
        <v>Воздуходувы аккумуляторные</v>
      </c>
      <c r="I570" s="36">
        <v>8208</v>
      </c>
      <c r="J570" s="36" t="str">
        <f>IFERROR(INDEX(Product_Structure[Generic Name (long)],MATCH(Товары[[#This Row],[SubGroup]],Product_Structure[Subgroup],0)),"")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Row],[SubGroup]],DIY!$B:$C,2,FALSE),0)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3" t="str">
        <f>IFERROR(INDEX(Product_Structure[SuperCategory],MATCH(Товары[[#This Row],[SubGroup]],Product_Structure[Subgroup],0)),"")</f>
        <v>H</v>
      </c>
      <c r="D571" s="113" t="str">
        <f>IFERROR(INDEX(Product_Structure[SuperCategory Name ENG],MATCH(Товары[[#This Row],[SubGroup]],Product_Structure[Subgroup],0)),"")</f>
        <v>HandHeld (electric, battery) + spare parts</v>
      </c>
      <c r="E57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1" s="113" t="str">
        <f>IFERROR(INDEX(Product_Structure[Product group],MATCH(Товары[[#This Row],[SubGroup]],Product_Structure[Subgroup],0)),"")</f>
        <v>HEB_P</v>
      </c>
      <c r="G571" s="113" t="str">
        <f>IFERROR(INDEX(Product_Structure[Product group name ENG],MATCH(Товары[[#This Row],[SubGroup]],Product_Structure[Subgroup],0)),"")</f>
        <v>Handheld, Battery, Blowers</v>
      </c>
      <c r="H571" s="113" t="str">
        <f>IFERROR(INDEX(Product_Structure[Generic Name (long)3],MATCH(Товары[[#This Row],[SubGroup]],Product_Structure[Subgroup],0)),"")</f>
        <v>Воздуходувы аккумуляторные</v>
      </c>
      <c r="I571" s="36">
        <v>8208</v>
      </c>
      <c r="J571" s="36" t="str">
        <f>IFERROR(INDEX(Product_Structure[Generic Name (long)],MATCH(Товары[[#This Row],[SubGroup]],Product_Structure[Subgroup],0)),"")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Row],[SubGroup]],DIY!$B:$C,2,FALSE),0)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3" t="str">
        <f>IFERROR(INDEX(Product_Structure[SuperCategory],MATCH(Товары[[#This Row],[SubGroup]],Product_Structure[Subgroup],0)),"")</f>
        <v>H</v>
      </c>
      <c r="D572" s="113" t="str">
        <f>IFERROR(INDEX(Product_Structure[SuperCategory Name ENG],MATCH(Товары[[#This Row],[SubGroup]],Product_Structure[Subgroup],0)),"")</f>
        <v>HandHeld (electric, battery) + spare parts</v>
      </c>
      <c r="E57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2" s="113" t="str">
        <f>IFERROR(INDEX(Product_Structure[Product group],MATCH(Товары[[#This Row],[SubGroup]],Product_Structure[Subgroup],0)),"")</f>
        <v>HEB_P</v>
      </c>
      <c r="G572" s="113" t="str">
        <f>IFERROR(INDEX(Product_Structure[Product group name ENG],MATCH(Товары[[#This Row],[SubGroup]],Product_Structure[Subgroup],0)),"")</f>
        <v>Handheld, Battery, Blowers</v>
      </c>
      <c r="H572" s="113" t="str">
        <f>IFERROR(INDEX(Product_Structure[Generic Name (long)3],MATCH(Товары[[#This Row],[SubGroup]],Product_Structure[Subgroup],0)),"")</f>
        <v>Воздуходувы аккумуляторные</v>
      </c>
      <c r="I572" s="36">
        <v>8208</v>
      </c>
      <c r="J572" s="36" t="str">
        <f>IFERROR(INDEX(Product_Structure[Generic Name (long)],MATCH(Товары[[#This Row],[SubGroup]],Product_Structure[Subgroup],0)),"")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Row],[SubGroup]],DIY!$B:$C,2,FALSE),0)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3" t="str">
        <f>IFERROR(INDEX(Product_Structure[SuperCategory],MATCH(Товары[[#This Row],[SubGroup]],Product_Structure[Subgroup],0)),"")</f>
        <v>H</v>
      </c>
      <c r="D573" s="113" t="str">
        <f>IFERROR(INDEX(Product_Structure[SuperCategory Name ENG],MATCH(Товары[[#This Row],[SubGroup]],Product_Structure[Subgroup],0)),"")</f>
        <v>HandHeld (electric, battery) + spare parts</v>
      </c>
      <c r="E57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3" s="113" t="str">
        <f>IFERROR(INDEX(Product_Structure[Product group],MATCH(Товары[[#This Row],[SubGroup]],Product_Structure[Subgroup],0)),"")</f>
        <v>HEB_P</v>
      </c>
      <c r="G573" s="113" t="str">
        <f>IFERROR(INDEX(Product_Structure[Product group name ENG],MATCH(Товары[[#This Row],[SubGroup]],Product_Structure[Subgroup],0)),"")</f>
        <v>Handheld, Battery, Blowers</v>
      </c>
      <c r="H573" s="113" t="str">
        <f>IFERROR(INDEX(Product_Structure[Generic Name (long)3],MATCH(Товары[[#This Row],[SubGroup]],Product_Structure[Subgroup],0)),"")</f>
        <v>Воздуходувы аккумуляторные</v>
      </c>
      <c r="I573" s="36">
        <v>8208</v>
      </c>
      <c r="J573" s="36" t="str">
        <f>IFERROR(INDEX(Product_Structure[Generic Name (long)],MATCH(Товары[[#This Row],[SubGroup]],Product_Structure[Subgroup],0)),"")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Row],[SubGroup]],DIY!$B:$C,2,FALSE),0)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3" t="str">
        <f>IFERROR(INDEX(Product_Structure[SuperCategory],MATCH(Товары[[#This Row],[SubGroup]],Product_Structure[Subgroup],0)),"")</f>
        <v>H</v>
      </c>
      <c r="D574" s="113" t="str">
        <f>IFERROR(INDEX(Product_Structure[SuperCategory Name ENG],MATCH(Товары[[#This Row],[SubGroup]],Product_Structure[Subgroup],0)),"")</f>
        <v>HandHeld (electric, battery) + spare parts</v>
      </c>
      <c r="E57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4" s="113" t="str">
        <f>IFERROR(INDEX(Product_Structure[Product group],MATCH(Товары[[#This Row],[SubGroup]],Product_Structure[Subgroup],0)),"")</f>
        <v>HEB_P</v>
      </c>
      <c r="G574" s="113" t="str">
        <f>IFERROR(INDEX(Product_Structure[Product group name ENG],MATCH(Товары[[#This Row],[SubGroup]],Product_Structure[Subgroup],0)),"")</f>
        <v>Handheld, Battery, Blowers</v>
      </c>
      <c r="H574" s="113" t="str">
        <f>IFERROR(INDEX(Product_Structure[Generic Name (long)3],MATCH(Товары[[#This Row],[SubGroup]],Product_Structure[Subgroup],0)),"")</f>
        <v>Воздуходувы аккумуляторные</v>
      </c>
      <c r="I574" s="36">
        <v>8208</v>
      </c>
      <c r="J574" s="36" t="str">
        <f>IFERROR(INDEX(Product_Structure[Generic Name (long)],MATCH(Товары[[#This Row],[SubGroup]],Product_Structure[Subgroup],0)),"")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Row],[SubGroup]],DIY!$B:$C,2,FALSE),0)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3" t="str">
        <f>IFERROR(INDEX(Product_Structure[SuperCategory],MATCH(Товары[[#This Row],[SubGroup]],Product_Structure[Subgroup],0)),"")</f>
        <v>H</v>
      </c>
      <c r="D575" s="113" t="str">
        <f>IFERROR(INDEX(Product_Structure[SuperCategory Name ENG],MATCH(Товары[[#This Row],[SubGroup]],Product_Structure[Subgroup],0)),"")</f>
        <v>HandHeld (electric, battery) + spare parts</v>
      </c>
      <c r="E57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5" s="113" t="str">
        <f>IFERROR(INDEX(Product_Structure[Product group],MATCH(Товары[[#This Row],[SubGroup]],Product_Structure[Subgroup],0)),"")</f>
        <v>HEB_P</v>
      </c>
      <c r="G575" s="113" t="str">
        <f>IFERROR(INDEX(Product_Structure[Product group name ENG],MATCH(Товары[[#This Row],[SubGroup]],Product_Structure[Subgroup],0)),"")</f>
        <v>Handheld, Battery, Blowers</v>
      </c>
      <c r="H575" s="113" t="str">
        <f>IFERROR(INDEX(Product_Structure[Generic Name (long)3],MATCH(Товары[[#This Row],[SubGroup]],Product_Structure[Subgroup],0)),"")</f>
        <v>Воздуходувы аккумуляторные</v>
      </c>
      <c r="I575" s="36">
        <v>8208</v>
      </c>
      <c r="J575" s="36" t="str">
        <f>IFERROR(INDEX(Product_Structure[Generic Name (long)],MATCH(Товары[[#This Row],[SubGroup]],Product_Structure[Subgroup],0)),"")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Row],[SubGroup]],DIY!$B:$C,2,FALSE),0)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3" t="str">
        <f>IFERROR(INDEX(Product_Structure[SuperCategory],MATCH(Товары[[#This Row],[SubGroup]],Product_Structure[Subgroup],0)),"")</f>
        <v>H</v>
      </c>
      <c r="D576" s="113" t="str">
        <f>IFERROR(INDEX(Product_Structure[SuperCategory Name ENG],MATCH(Товары[[#This Row],[SubGroup]],Product_Structure[Subgroup],0)),"")</f>
        <v>HandHeld (electric, battery) + spare parts</v>
      </c>
      <c r="E57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6" s="113" t="str">
        <f>IFERROR(INDEX(Product_Structure[Product group],MATCH(Товары[[#This Row],[SubGroup]],Product_Structure[Subgroup],0)),"")</f>
        <v>HEB_P</v>
      </c>
      <c r="G576" s="113" t="str">
        <f>IFERROR(INDEX(Product_Structure[Product group name ENG],MATCH(Товары[[#This Row],[SubGroup]],Product_Structure[Subgroup],0)),"")</f>
        <v>Handheld, Battery, Blowers</v>
      </c>
      <c r="H576" s="113" t="str">
        <f>IFERROR(INDEX(Product_Structure[Generic Name (long)3],MATCH(Товары[[#This Row],[SubGroup]],Product_Structure[Subgroup],0)),"")</f>
        <v>Воздуходувы аккумуляторные</v>
      </c>
      <c r="I576" s="36">
        <v>8208</v>
      </c>
      <c r="J576" s="36" t="str">
        <f>IFERROR(INDEX(Product_Structure[Generic Name (long)],MATCH(Товары[[#This Row],[SubGroup]],Product_Structure[Subgroup],0)),"")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Row],[SubGroup]],DIY!$B:$C,2,FALSE),0)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3" t="str">
        <f>IFERROR(INDEX(Product_Structure[SuperCategory],MATCH(Товары[[#This Row],[SubGroup]],Product_Structure[Subgroup],0)),"")</f>
        <v>H</v>
      </c>
      <c r="D577" s="113" t="str">
        <f>IFERROR(INDEX(Product_Structure[SuperCategory Name ENG],MATCH(Товары[[#This Row],[SubGroup]],Product_Structure[Subgroup],0)),"")</f>
        <v>HandHeld (electric, battery) + spare parts</v>
      </c>
      <c r="E57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7" s="113" t="str">
        <f>IFERROR(INDEX(Product_Structure[Product group],MATCH(Товары[[#This Row],[SubGroup]],Product_Structure[Subgroup],0)),"")</f>
        <v>HEB_P</v>
      </c>
      <c r="G577" s="113" t="str">
        <f>IFERROR(INDEX(Product_Structure[Product group name ENG],MATCH(Товары[[#This Row],[SubGroup]],Product_Structure[Subgroup],0)),"")</f>
        <v>Handheld, Battery, Blowers</v>
      </c>
      <c r="H577" s="113" t="str">
        <f>IFERROR(INDEX(Product_Structure[Generic Name (long)3],MATCH(Товары[[#This Row],[SubGroup]],Product_Structure[Subgroup],0)),"")</f>
        <v>Воздуходувы аккумуляторные</v>
      </c>
      <c r="I577" s="36">
        <v>8208</v>
      </c>
      <c r="J577" s="36" t="str">
        <f>IFERROR(INDEX(Product_Structure[Generic Name (long)],MATCH(Товары[[#This Row],[SubGroup]],Product_Structure[Subgroup],0)),"")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Row],[SubGroup]],DIY!$B:$C,2,FALSE),0)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3" t="str">
        <f>IFERROR(INDEX(Product_Structure[SuperCategory],MATCH(Товары[[#This Row],[SubGroup]],Product_Structure[Subgroup],0)),"")</f>
        <v>H</v>
      </c>
      <c r="D578" s="113" t="str">
        <f>IFERROR(INDEX(Product_Structure[SuperCategory Name ENG],MATCH(Товары[[#This Row],[SubGroup]],Product_Structure[Subgroup],0)),"")</f>
        <v>HandHeld (electric, battery) + spare parts</v>
      </c>
      <c r="E57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8" s="113" t="str">
        <f>IFERROR(INDEX(Product_Structure[Product group],MATCH(Товары[[#This Row],[SubGroup]],Product_Structure[Subgroup],0)),"")</f>
        <v>HEB_P</v>
      </c>
      <c r="G578" s="113" t="str">
        <f>IFERROR(INDEX(Product_Structure[Product group name ENG],MATCH(Товары[[#This Row],[SubGroup]],Product_Structure[Subgroup],0)),"")</f>
        <v>Handheld, Battery, Blowers</v>
      </c>
      <c r="H578" s="113" t="str">
        <f>IFERROR(INDEX(Product_Structure[Generic Name (long)3],MATCH(Товары[[#This Row],[SubGroup]],Product_Structure[Subgroup],0)),"")</f>
        <v>Воздуходувы аккумуляторные</v>
      </c>
      <c r="I578" s="36">
        <v>8208</v>
      </c>
      <c r="J578" s="36" t="str">
        <f>IFERROR(INDEX(Product_Structure[Generic Name (long)],MATCH(Товары[[#This Row],[SubGroup]],Product_Structure[Subgroup],0)),"")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Row],[SubGroup]],DIY!$B:$C,2,FALSE),0)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3" t="str">
        <f>IFERROR(INDEX(Product_Structure[SuperCategory],MATCH(Товары[[#This Row],[SubGroup]],Product_Structure[Subgroup],0)),"")</f>
        <v>H</v>
      </c>
      <c r="D579" s="113" t="str">
        <f>IFERROR(INDEX(Product_Structure[SuperCategory Name ENG],MATCH(Товары[[#This Row],[SubGroup]],Product_Structure[Subgroup],0)),"")</f>
        <v>HandHeld (electric, battery) + spare parts</v>
      </c>
      <c r="E57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79" s="113" t="str">
        <f>IFERROR(INDEX(Product_Structure[Product group],MATCH(Товары[[#This Row],[SubGroup]],Product_Structure[Subgroup],0)),"")</f>
        <v>HEB_P</v>
      </c>
      <c r="G579" s="113" t="str">
        <f>IFERROR(INDEX(Product_Structure[Product group name ENG],MATCH(Товары[[#This Row],[SubGroup]],Product_Structure[Subgroup],0)),"")</f>
        <v>Handheld, Battery, Blowers</v>
      </c>
      <c r="H579" s="113" t="str">
        <f>IFERROR(INDEX(Product_Structure[Generic Name (long)3],MATCH(Товары[[#This Row],[SubGroup]],Product_Structure[Subgroup],0)),"")</f>
        <v>Воздуходувы аккумуляторные</v>
      </c>
      <c r="I579" s="36">
        <v>8208</v>
      </c>
      <c r="J579" s="36" t="str">
        <f>IFERROR(INDEX(Product_Structure[Generic Name (long)],MATCH(Товары[[#This Row],[SubGroup]],Product_Structure[Subgroup],0)),"")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Row],[SubGroup]],DIY!$B:$C,2,FALSE),0)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3" t="str">
        <f>IFERROR(INDEX(Product_Structure[SuperCategory],MATCH(Товары[[#This Row],[SubGroup]],Product_Structure[Subgroup],0)),"")</f>
        <v>H</v>
      </c>
      <c r="D580" s="113" t="str">
        <f>IFERROR(INDEX(Product_Structure[SuperCategory Name ENG],MATCH(Товары[[#This Row],[SubGroup]],Product_Structure[Subgroup],0)),"")</f>
        <v>HandHeld (electric, battery) + spare parts</v>
      </c>
      <c r="E58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0" s="113" t="str">
        <f>IFERROR(INDEX(Product_Structure[Product group],MATCH(Товары[[#This Row],[SubGroup]],Product_Structure[Subgroup],0)),"")</f>
        <v>HEB_P</v>
      </c>
      <c r="G580" s="113" t="str">
        <f>IFERROR(INDEX(Product_Structure[Product group name ENG],MATCH(Товары[[#This Row],[SubGroup]],Product_Structure[Subgroup],0)),"")</f>
        <v>Handheld, Battery, Blowers</v>
      </c>
      <c r="H580" s="113" t="str">
        <f>IFERROR(INDEX(Product_Structure[Generic Name (long)3],MATCH(Товары[[#This Row],[SubGroup]],Product_Structure[Subgroup],0)),"")</f>
        <v>Воздуходувы аккумуляторные</v>
      </c>
      <c r="I580" s="36">
        <v>8208</v>
      </c>
      <c r="J580" s="36" t="str">
        <f>IFERROR(INDEX(Product_Structure[Generic Name (long)],MATCH(Товары[[#This Row],[SubGroup]],Product_Structure[Subgroup],0)),"")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Row],[SubGroup]],DIY!$B:$C,2,FALSE),0)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3" t="str">
        <f>IFERROR(INDEX(Product_Structure[SuperCategory],MATCH(Товары[[#This Row],[SubGroup]],Product_Structure[Subgroup],0)),"")</f>
        <v>H</v>
      </c>
      <c r="D581" s="113" t="str">
        <f>IFERROR(INDEX(Product_Structure[SuperCategory Name ENG],MATCH(Товары[[#This Row],[SubGroup]],Product_Structure[Subgroup],0)),"")</f>
        <v>HandHeld (electric, battery) + spare parts</v>
      </c>
      <c r="E58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1" s="113" t="str">
        <f>IFERROR(INDEX(Product_Structure[Product group],MATCH(Товары[[#This Row],[SubGroup]],Product_Structure[Subgroup],0)),"")</f>
        <v>HEB_P</v>
      </c>
      <c r="G581" s="113" t="str">
        <f>IFERROR(INDEX(Product_Structure[Product group name ENG],MATCH(Товары[[#This Row],[SubGroup]],Product_Structure[Subgroup],0)),"")</f>
        <v>Handheld, Battery, Blowers</v>
      </c>
      <c r="H581" s="113" t="str">
        <f>IFERROR(INDEX(Product_Structure[Generic Name (long)3],MATCH(Товары[[#This Row],[SubGroup]],Product_Structure[Subgroup],0)),"")</f>
        <v>Воздуходувы аккумуляторные</v>
      </c>
      <c r="I581" s="36">
        <v>8208</v>
      </c>
      <c r="J581" s="36" t="str">
        <f>IFERROR(INDEX(Product_Structure[Generic Name (long)],MATCH(Товары[[#This Row],[SubGroup]],Product_Structure[Subgroup],0)),"")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Row],[SubGroup]],DIY!$B:$C,2,FALSE),0)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3" t="str">
        <f>IFERROR(INDEX(Product_Structure[SuperCategory],MATCH(Товары[[#This Row],[SubGroup]],Product_Structure[Subgroup],0)),"")</f>
        <v>H</v>
      </c>
      <c r="D582" s="113" t="str">
        <f>IFERROR(INDEX(Product_Structure[SuperCategory Name ENG],MATCH(Товары[[#This Row],[SubGroup]],Product_Structure[Subgroup],0)),"")</f>
        <v>HandHeld (electric, battery) + spare parts</v>
      </c>
      <c r="E58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2" s="113" t="str">
        <f>IFERROR(INDEX(Product_Structure[Product group],MATCH(Товары[[#This Row],[SubGroup]],Product_Structure[Subgroup],0)),"")</f>
        <v>HEB_P</v>
      </c>
      <c r="G582" s="113" t="str">
        <f>IFERROR(INDEX(Product_Structure[Product group name ENG],MATCH(Товары[[#This Row],[SubGroup]],Product_Structure[Subgroup],0)),"")</f>
        <v>Handheld, Battery, Blowers</v>
      </c>
      <c r="H582" s="113" t="str">
        <f>IFERROR(INDEX(Product_Structure[Generic Name (long)3],MATCH(Товары[[#This Row],[SubGroup]],Product_Structure[Subgroup],0)),"")</f>
        <v>Воздуходувы аккумуляторные</v>
      </c>
      <c r="I582" s="36">
        <v>8208</v>
      </c>
      <c r="J582" s="36" t="str">
        <f>IFERROR(INDEX(Product_Structure[Generic Name (long)],MATCH(Товары[[#This Row],[SubGroup]],Product_Structure[Subgroup],0)),"")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Row],[SubGroup]],DIY!$B:$C,2,FALSE),0)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3" t="str">
        <f>IFERROR(INDEX(Product_Structure[SuperCategory],MATCH(Товары[[#This Row],[SubGroup]],Product_Structure[Subgroup],0)),"")</f>
        <v>H</v>
      </c>
      <c r="D583" s="113" t="str">
        <f>IFERROR(INDEX(Product_Structure[SuperCategory Name ENG],MATCH(Товары[[#This Row],[SubGroup]],Product_Structure[Subgroup],0)),"")</f>
        <v>HandHeld (electric, battery) + spare parts</v>
      </c>
      <c r="E58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3" s="113" t="str">
        <f>IFERROR(INDEX(Product_Structure[Product group],MATCH(Товары[[#This Row],[SubGroup]],Product_Structure[Subgroup],0)),"")</f>
        <v>HEB_P</v>
      </c>
      <c r="G583" s="113" t="str">
        <f>IFERROR(INDEX(Product_Structure[Product group name ENG],MATCH(Товары[[#This Row],[SubGroup]],Product_Structure[Subgroup],0)),"")</f>
        <v>Handheld, Battery, Blowers</v>
      </c>
      <c r="H583" s="113" t="str">
        <f>IFERROR(INDEX(Product_Structure[Generic Name (long)3],MATCH(Товары[[#This Row],[SubGroup]],Product_Structure[Subgroup],0)),"")</f>
        <v>Воздуходувы аккумуляторные</v>
      </c>
      <c r="I583" s="36">
        <v>8208</v>
      </c>
      <c r="J583" s="36" t="str">
        <f>IFERROR(INDEX(Product_Structure[Generic Name (long)],MATCH(Товары[[#This Row],[SubGroup]],Product_Structure[Subgroup],0)),"")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Row],[SubGroup]],DIY!$B:$C,2,FALSE),0)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3" t="str">
        <f>IFERROR(INDEX(Product_Structure[SuperCategory],MATCH(Товары[[#This Row],[SubGroup]],Product_Structure[Subgroup],0)),"")</f>
        <v>H</v>
      </c>
      <c r="D584" s="113" t="str">
        <f>IFERROR(INDEX(Product_Structure[SuperCategory Name ENG],MATCH(Товары[[#This Row],[SubGroup]],Product_Structure[Subgroup],0)),"")</f>
        <v>HandHeld (electric, battery) + spare parts</v>
      </c>
      <c r="E58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4" s="113" t="str">
        <f>IFERROR(INDEX(Product_Structure[Product group],MATCH(Товары[[#This Row],[SubGroup]],Product_Structure[Subgroup],0)),"")</f>
        <v>HEC_C</v>
      </c>
      <c r="G584" s="113" t="str">
        <f>IFERROR(INDEX(Product_Structure[Product group name ENG],MATCH(Товары[[#This Row],[SubGroup]],Product_Structure[Subgroup],0)),"")</f>
        <v>Handheld, Electric, Chainsaws</v>
      </c>
      <c r="H584" s="113" t="str">
        <f>IFERROR(INDEX(Product_Structure[Generic Name (long)3],MATCH(Товары[[#This Row],[SubGroup]],Product_Structure[Subgroup],0)),"")</f>
        <v>Пилы электрические</v>
      </c>
      <c r="I584" s="36">
        <v>9344</v>
      </c>
      <c r="J584" s="36" t="str">
        <f>IFERROR(INDEX(Product_Structure[Generic Name (long)],MATCH(Товары[[#This Row],[SubGroup]],Product_Structure[Subgroup],0)),"")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Row],[SubGroup]],DIY!$B:$C,2,FALSE),0)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3" t="str">
        <f>IFERROR(INDEX(Product_Structure[SuperCategory],MATCH(Товары[[#This Row],[SubGroup]],Product_Structure[Subgroup],0)),"")</f>
        <v>H</v>
      </c>
      <c r="D585" s="113" t="str">
        <f>IFERROR(INDEX(Product_Structure[SuperCategory Name ENG],MATCH(Товары[[#This Row],[SubGroup]],Product_Structure[Subgroup],0)),"")</f>
        <v>HandHeld (electric, battery) + spare parts</v>
      </c>
      <c r="E58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5" s="113" t="str">
        <f>IFERROR(INDEX(Product_Structure[Product group],MATCH(Товары[[#This Row],[SubGroup]],Product_Structure[Subgroup],0)),"")</f>
        <v>HEC_P</v>
      </c>
      <c r="G585" s="113" t="str">
        <f>IFERROR(INDEX(Product_Structure[Product group name ENG],MATCH(Товары[[#This Row],[SubGroup]],Product_Structure[Subgroup],0)),"")</f>
        <v>Handheld, Battery, Chainsaws</v>
      </c>
      <c r="H585" s="113" t="str">
        <f>IFERROR(INDEX(Product_Structure[Generic Name (long)3],MATCH(Товары[[#This Row],[SubGroup]],Product_Structure[Subgroup],0)),"")</f>
        <v>Пилы аккумуляторные</v>
      </c>
      <c r="I585" s="36">
        <v>9345</v>
      </c>
      <c r="J585" s="36" t="str">
        <f>IFERROR(INDEX(Product_Structure[Generic Name (long)],MATCH(Товары[[#This Row],[SubGroup]],Product_Structure[Subgroup],0)),"")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Row],[SubGroup]],DIY!$B:$C,2,FALSE),0)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3" t="str">
        <f>IFERROR(INDEX(Product_Structure[SuperCategory],MATCH(Товары[[#This Row],[SubGroup]],Product_Structure[Subgroup],0)),"")</f>
        <v>H</v>
      </c>
      <c r="D586" s="113" t="str">
        <f>IFERROR(INDEX(Product_Structure[SuperCategory Name ENG],MATCH(Товары[[#This Row],[SubGroup]],Product_Structure[Subgroup],0)),"")</f>
        <v>HandHeld (electric, battery) + spare parts</v>
      </c>
      <c r="E58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6" s="113" t="str">
        <f>IFERROR(INDEX(Product_Structure[Product group],MATCH(Товары[[#This Row],[SubGroup]],Product_Structure[Subgroup],0)),"")</f>
        <v>HEC_P</v>
      </c>
      <c r="G586" s="113" t="str">
        <f>IFERROR(INDEX(Product_Structure[Product group name ENG],MATCH(Товары[[#This Row],[SubGroup]],Product_Structure[Subgroup],0)),"")</f>
        <v>Handheld, Battery, Chainsaws</v>
      </c>
      <c r="H586" s="113" t="str">
        <f>IFERROR(INDEX(Product_Structure[Generic Name (long)3],MATCH(Товары[[#This Row],[SubGroup]],Product_Structure[Subgroup],0)),"")</f>
        <v>Пилы аккумуляторные</v>
      </c>
      <c r="I586" s="36">
        <v>9345</v>
      </c>
      <c r="J586" s="36" t="str">
        <f>IFERROR(INDEX(Product_Structure[Generic Name (long)],MATCH(Товары[[#This Row],[SubGroup]],Product_Structure[Subgroup],0)),"")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Row],[SubGroup]],DIY!$B:$C,2,FALSE),0)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3" t="str">
        <f>IFERROR(INDEX(Product_Structure[SuperCategory],MATCH(Товары[[#This Row],[SubGroup]],Product_Structure[Subgroup],0)),"")</f>
        <v>H</v>
      </c>
      <c r="D587" s="113" t="str">
        <f>IFERROR(INDEX(Product_Structure[SuperCategory Name ENG],MATCH(Товары[[#This Row],[SubGroup]],Product_Structure[Subgroup],0)),"")</f>
        <v>HandHeld (electric, battery) + spare parts</v>
      </c>
      <c r="E58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7" s="113" t="str">
        <f>IFERROR(INDEX(Product_Structure[Product group],MATCH(Товары[[#This Row],[SubGroup]],Product_Structure[Subgroup],0)),"")</f>
        <v>HEC_P</v>
      </c>
      <c r="G587" s="113" t="str">
        <f>IFERROR(INDEX(Product_Structure[Product group name ENG],MATCH(Товары[[#This Row],[SubGroup]],Product_Structure[Subgroup],0)),"")</f>
        <v>Handheld, Battery, Chainsaws</v>
      </c>
      <c r="H587" s="113" t="str">
        <f>IFERROR(INDEX(Product_Structure[Generic Name (long)3],MATCH(Товары[[#This Row],[SubGroup]],Product_Structure[Subgroup],0)),"")</f>
        <v>Пилы аккумуляторные</v>
      </c>
      <c r="I587" s="36">
        <v>9345</v>
      </c>
      <c r="J587" s="36" t="str">
        <f>IFERROR(INDEX(Product_Structure[Generic Name (long)],MATCH(Товары[[#This Row],[SubGroup]],Product_Structure[Subgroup],0)),"")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Row],[SubGroup]],DIY!$B:$C,2,FALSE),0)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3" t="str">
        <f>IFERROR(INDEX(Product_Structure[SuperCategory],MATCH(Товары[[#This Row],[SubGroup]],Product_Structure[Subgroup],0)),"")</f>
        <v>H</v>
      </c>
      <c r="D588" s="113" t="str">
        <f>IFERROR(INDEX(Product_Structure[SuperCategory Name ENG],MATCH(Товары[[#This Row],[SubGroup]],Product_Structure[Subgroup],0)),"")</f>
        <v>HandHeld (electric, battery) + spare parts</v>
      </c>
      <c r="E58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8" s="113" t="str">
        <f>IFERROR(INDEX(Product_Structure[Product group],MATCH(Товары[[#This Row],[SubGroup]],Product_Structure[Subgroup],0)),"")</f>
        <v>HEH_C</v>
      </c>
      <c r="G588" s="113" t="str">
        <f>IFERROR(INDEX(Product_Structure[Product group name ENG],MATCH(Товары[[#This Row],[SubGroup]],Product_Structure[Subgroup],0)),"")</f>
        <v>Handheld, Electric, Hedgetrimmer</v>
      </c>
      <c r="H588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88" s="36">
        <v>9341</v>
      </c>
      <c r="J588" s="36" t="str">
        <f>IFERROR(INDEX(Product_Structure[Generic Name (long)],MATCH(Товары[[#This Row],[SubGroup]],Product_Structure[Subgroup],0)),"")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Row],[SubGroup]],DIY!$B:$C,2,FALSE),0)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3" t="str">
        <f>IFERROR(INDEX(Product_Structure[SuperCategory],MATCH(Товары[[#This Row],[SubGroup]],Product_Structure[Subgroup],0)),"")</f>
        <v>H</v>
      </c>
      <c r="D589" s="113" t="str">
        <f>IFERROR(INDEX(Product_Structure[SuperCategory Name ENG],MATCH(Товары[[#This Row],[SubGroup]],Product_Structure[Subgroup],0)),"")</f>
        <v>HandHeld (electric, battery) + spare parts</v>
      </c>
      <c r="E58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89" s="113" t="str">
        <f>IFERROR(INDEX(Product_Structure[Product group],MATCH(Товары[[#This Row],[SubGroup]],Product_Structure[Subgroup],0)),"")</f>
        <v>HEH_C</v>
      </c>
      <c r="G589" s="113" t="str">
        <f>IFERROR(INDEX(Product_Structure[Product group name ENG],MATCH(Товары[[#This Row],[SubGroup]],Product_Structure[Subgroup],0)),"")</f>
        <v>Handheld, Electric, Hedgetrimmer</v>
      </c>
      <c r="H589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89" s="36">
        <v>9341</v>
      </c>
      <c r="J589" s="36" t="str">
        <f>IFERROR(INDEX(Product_Structure[Generic Name (long)],MATCH(Товары[[#This Row],[SubGroup]],Product_Structure[Subgroup],0)),"")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Row],[SubGroup]],DIY!$B:$C,2,FALSE),0)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3" t="str">
        <f>IFERROR(INDEX(Product_Structure[SuperCategory],MATCH(Товары[[#This Row],[SubGroup]],Product_Structure[Subgroup],0)),"")</f>
        <v>H</v>
      </c>
      <c r="D590" s="113" t="str">
        <f>IFERROR(INDEX(Product_Structure[SuperCategory Name ENG],MATCH(Товары[[#This Row],[SubGroup]],Product_Structure[Subgroup],0)),"")</f>
        <v>HandHeld (electric, battery) + spare parts</v>
      </c>
      <c r="E59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0" s="113" t="str">
        <f>IFERROR(INDEX(Product_Structure[Product group],MATCH(Товары[[#This Row],[SubGroup]],Product_Structure[Subgroup],0)),"")</f>
        <v>HEH_C</v>
      </c>
      <c r="G590" s="113" t="str">
        <f>IFERROR(INDEX(Product_Structure[Product group name ENG],MATCH(Товары[[#This Row],[SubGroup]],Product_Structure[Subgroup],0)),"")</f>
        <v>Handheld, Electric, Hedgetrimmer</v>
      </c>
      <c r="H590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0" s="36">
        <v>9341</v>
      </c>
      <c r="J590" s="36" t="str">
        <f>IFERROR(INDEX(Product_Structure[Generic Name (long)],MATCH(Товары[[#This Row],[SubGroup]],Product_Structure[Subgroup],0)),"")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Row],[SubGroup]],DIY!$B:$C,2,FALSE),0)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3" t="str">
        <f>IFERROR(INDEX(Product_Structure[SuperCategory],MATCH(Товары[[#This Row],[SubGroup]],Product_Structure[Subgroup],0)),"")</f>
        <v>H</v>
      </c>
      <c r="D591" s="113" t="str">
        <f>IFERROR(INDEX(Product_Structure[SuperCategory Name ENG],MATCH(Товары[[#This Row],[SubGroup]],Product_Structure[Subgroup],0)),"")</f>
        <v>HandHeld (electric, battery) + spare parts</v>
      </c>
      <c r="E59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1" s="113" t="str">
        <f>IFERROR(INDEX(Product_Structure[Product group],MATCH(Товары[[#This Row],[SubGroup]],Product_Structure[Subgroup],0)),"")</f>
        <v>HEH_C</v>
      </c>
      <c r="G591" s="113" t="str">
        <f>IFERROR(INDEX(Product_Structure[Product group name ENG],MATCH(Товары[[#This Row],[SubGroup]],Product_Structure[Subgroup],0)),"")</f>
        <v>Handheld, Electric, Hedgetrimmer</v>
      </c>
      <c r="H591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1" s="36">
        <v>9341</v>
      </c>
      <c r="J591" s="36" t="str">
        <f>IFERROR(INDEX(Product_Structure[Generic Name (long)],MATCH(Товары[[#This Row],[SubGroup]],Product_Structure[Subgroup],0)),"")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Row],[SubGroup]],DIY!$B:$C,2,FALSE),0)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3" t="str">
        <f>IFERROR(INDEX(Product_Structure[SuperCategory],MATCH(Товары[[#This Row],[SubGroup]],Product_Structure[Subgroup],0)),"")</f>
        <v>H</v>
      </c>
      <c r="D592" s="113" t="str">
        <f>IFERROR(INDEX(Product_Structure[SuperCategory Name ENG],MATCH(Товары[[#This Row],[SubGroup]],Product_Structure[Subgroup],0)),"")</f>
        <v>HandHeld (electric, battery) + spare parts</v>
      </c>
      <c r="E59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2" s="113" t="str">
        <f>IFERROR(INDEX(Product_Structure[Product group],MATCH(Товары[[#This Row],[SubGroup]],Product_Structure[Subgroup],0)),"")</f>
        <v>HEH_C</v>
      </c>
      <c r="G592" s="113" t="str">
        <f>IFERROR(INDEX(Product_Structure[Product group name ENG],MATCH(Товары[[#This Row],[SubGroup]],Product_Structure[Subgroup],0)),"")</f>
        <v>Handheld, Electric, Hedgetrimmer</v>
      </c>
      <c r="H592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2" s="36">
        <v>9341</v>
      </c>
      <c r="J592" s="36" t="str">
        <f>IFERROR(INDEX(Product_Structure[Generic Name (long)],MATCH(Товары[[#This Row],[SubGroup]],Product_Structure[Subgroup],0)),"")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Row],[SubGroup]],DIY!$B:$C,2,FALSE),0)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3" t="str">
        <f>IFERROR(INDEX(Product_Structure[SuperCategory],MATCH(Товары[[#This Row],[SubGroup]],Product_Structure[Subgroup],0)),"")</f>
        <v>H</v>
      </c>
      <c r="D593" s="113" t="str">
        <f>IFERROR(INDEX(Product_Structure[SuperCategory Name ENG],MATCH(Товары[[#This Row],[SubGroup]],Product_Structure[Subgroup],0)),"")</f>
        <v>HandHeld (electric, battery) + spare parts</v>
      </c>
      <c r="E59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3" s="113" t="str">
        <f>IFERROR(INDEX(Product_Structure[Product group],MATCH(Товары[[#This Row],[SubGroup]],Product_Structure[Subgroup],0)),"")</f>
        <v>HEH_C</v>
      </c>
      <c r="G593" s="113" t="str">
        <f>IFERROR(INDEX(Product_Structure[Product group name ENG],MATCH(Товары[[#This Row],[SubGroup]],Product_Structure[Subgroup],0)),"")</f>
        <v>Handheld, Electric, Hedgetrimmer</v>
      </c>
      <c r="H593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3" s="36">
        <v>9341</v>
      </c>
      <c r="J593" s="36" t="str">
        <f>IFERROR(INDEX(Product_Structure[Generic Name (long)],MATCH(Товары[[#This Row],[SubGroup]],Product_Structure[Subgroup],0)),"")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Row],[SubGroup]],DIY!$B:$C,2,FALSE),0)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3" t="str">
        <f>IFERROR(INDEX(Product_Structure[SuperCategory],MATCH(Товары[[#This Row],[SubGroup]],Product_Structure[Subgroup],0)),"")</f>
        <v>H</v>
      </c>
      <c r="D594" s="113" t="str">
        <f>IFERROR(INDEX(Product_Structure[SuperCategory Name ENG],MATCH(Товары[[#This Row],[SubGroup]],Product_Structure[Subgroup],0)),"")</f>
        <v>HandHeld (electric, battery) + spare parts</v>
      </c>
      <c r="E59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4" s="113" t="str">
        <f>IFERROR(INDEX(Product_Structure[Product group],MATCH(Товары[[#This Row],[SubGroup]],Product_Structure[Subgroup],0)),"")</f>
        <v>HEH_C</v>
      </c>
      <c r="G594" s="113" t="str">
        <f>IFERROR(INDEX(Product_Structure[Product group name ENG],MATCH(Товары[[#This Row],[SubGroup]],Product_Structure[Subgroup],0)),"")</f>
        <v>Handheld, Electric, Hedgetrimmer</v>
      </c>
      <c r="H594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4" s="36">
        <v>9341</v>
      </c>
      <c r="J594" s="36" t="str">
        <f>IFERROR(INDEX(Product_Structure[Generic Name (long)],MATCH(Товары[[#This Row],[SubGroup]],Product_Structure[Subgroup],0)),"")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Row],[SubGroup]],DIY!$B:$C,2,FALSE),0)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3" t="str">
        <f>IFERROR(INDEX(Product_Structure[SuperCategory],MATCH(Товары[[#This Row],[SubGroup]],Product_Structure[Subgroup],0)),"")</f>
        <v>H</v>
      </c>
      <c r="D595" s="113" t="str">
        <f>IFERROR(INDEX(Product_Structure[SuperCategory Name ENG],MATCH(Товары[[#This Row],[SubGroup]],Product_Structure[Subgroup],0)),"")</f>
        <v>HandHeld (electric, battery) + spare parts</v>
      </c>
      <c r="E59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5" s="113" t="str">
        <f>IFERROR(INDEX(Product_Structure[Product group],MATCH(Товары[[#This Row],[SubGroup]],Product_Structure[Subgroup],0)),"")</f>
        <v>HEH_C</v>
      </c>
      <c r="G595" s="113" t="str">
        <f>IFERROR(INDEX(Product_Structure[Product group name ENG],MATCH(Товары[[#This Row],[SubGroup]],Product_Structure[Subgroup],0)),"")</f>
        <v>Handheld, Electric, Hedgetrimmer</v>
      </c>
      <c r="H595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5" s="36">
        <v>9341</v>
      </c>
      <c r="J595" s="36" t="str">
        <f>IFERROR(INDEX(Product_Structure[Generic Name (long)],MATCH(Товары[[#This Row],[SubGroup]],Product_Structure[Subgroup],0)),"")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Row],[SubGroup]],DIY!$B:$C,2,FALSE),0)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3" t="str">
        <f>IFERROR(INDEX(Product_Structure[SuperCategory],MATCH(Товары[[#This Row],[SubGroup]],Product_Structure[Subgroup],0)),"")</f>
        <v>H</v>
      </c>
      <c r="D596" s="113" t="str">
        <f>IFERROR(INDEX(Product_Structure[SuperCategory Name ENG],MATCH(Товары[[#This Row],[SubGroup]],Product_Structure[Subgroup],0)),"")</f>
        <v>HandHeld (electric, battery) + spare parts</v>
      </c>
      <c r="E59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6" s="113" t="str">
        <f>IFERROR(INDEX(Product_Structure[Product group],MATCH(Товары[[#This Row],[SubGroup]],Product_Structure[Subgroup],0)),"")</f>
        <v>HEH_C</v>
      </c>
      <c r="G596" s="113" t="str">
        <f>IFERROR(INDEX(Product_Structure[Product group name ENG],MATCH(Товары[[#This Row],[SubGroup]],Product_Structure[Subgroup],0)),"")</f>
        <v>Handheld, Electric, Hedgetrimmer</v>
      </c>
      <c r="H596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6" s="36">
        <v>9341</v>
      </c>
      <c r="J596" s="36" t="str">
        <f>IFERROR(INDEX(Product_Structure[Generic Name (long)],MATCH(Товары[[#This Row],[SubGroup]],Product_Structure[Subgroup],0)),"")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Row],[SubGroup]],DIY!$B:$C,2,FALSE),0)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3" t="str">
        <f>IFERROR(INDEX(Product_Structure[SuperCategory],MATCH(Товары[[#This Row],[SubGroup]],Product_Structure[Subgroup],0)),"")</f>
        <v>H</v>
      </c>
      <c r="D597" s="113" t="str">
        <f>IFERROR(INDEX(Product_Structure[SuperCategory Name ENG],MATCH(Товары[[#This Row],[SubGroup]],Product_Structure[Subgroup],0)),"")</f>
        <v>HandHeld (electric, battery) + spare parts</v>
      </c>
      <c r="E59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7" s="113" t="str">
        <f>IFERROR(INDEX(Product_Structure[Product group],MATCH(Товары[[#This Row],[SubGroup]],Product_Structure[Subgroup],0)),"")</f>
        <v>HEH_C</v>
      </c>
      <c r="G597" s="113" t="str">
        <f>IFERROR(INDEX(Product_Structure[Product group name ENG],MATCH(Товары[[#This Row],[SubGroup]],Product_Structure[Subgroup],0)),"")</f>
        <v>Handheld, Electric, Hedgetrimmer</v>
      </c>
      <c r="H597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7" s="36">
        <v>9341</v>
      </c>
      <c r="J597" s="36" t="str">
        <f>IFERROR(INDEX(Product_Structure[Generic Name (long)],MATCH(Товары[[#This Row],[SubGroup]],Product_Structure[Subgroup],0)),"")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Row],[SubGroup]],DIY!$B:$C,2,FALSE),0)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3" t="str">
        <f>IFERROR(INDEX(Product_Structure[SuperCategory],MATCH(Товары[[#This Row],[SubGroup]],Product_Structure[Subgroup],0)),"")</f>
        <v>H</v>
      </c>
      <c r="D598" s="113" t="str">
        <f>IFERROR(INDEX(Product_Structure[SuperCategory Name ENG],MATCH(Товары[[#This Row],[SubGroup]],Product_Structure[Subgroup],0)),"")</f>
        <v>HandHeld (electric, battery) + spare parts</v>
      </c>
      <c r="E59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8" s="113" t="str">
        <f>IFERROR(INDEX(Product_Structure[Product group],MATCH(Товары[[#This Row],[SubGroup]],Product_Structure[Subgroup],0)),"")</f>
        <v>HEH_C</v>
      </c>
      <c r="G598" s="113" t="str">
        <f>IFERROR(INDEX(Product_Structure[Product group name ENG],MATCH(Товары[[#This Row],[SubGroup]],Product_Structure[Subgroup],0)),"")</f>
        <v>Handheld, Electric, Hedgetrimmer</v>
      </c>
      <c r="H598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8" s="36">
        <v>9341</v>
      </c>
      <c r="J598" s="36" t="str">
        <f>IFERROR(INDEX(Product_Structure[Generic Name (long)],MATCH(Товары[[#This Row],[SubGroup]],Product_Structure[Subgroup],0)),"")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Row],[SubGroup]],DIY!$B:$C,2,FALSE),0)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3" t="str">
        <f>IFERROR(INDEX(Product_Structure[SuperCategory],MATCH(Товары[[#This Row],[SubGroup]],Product_Structure[Subgroup],0)),"")</f>
        <v>H</v>
      </c>
      <c r="D599" s="113" t="str">
        <f>IFERROR(INDEX(Product_Structure[SuperCategory Name ENG],MATCH(Товары[[#This Row],[SubGroup]],Product_Structure[Subgroup],0)),"")</f>
        <v>HandHeld (electric, battery) + spare parts</v>
      </c>
      <c r="E59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599" s="113" t="str">
        <f>IFERROR(INDEX(Product_Structure[Product group],MATCH(Товары[[#This Row],[SubGroup]],Product_Structure[Subgroup],0)),"")</f>
        <v>HEH_C</v>
      </c>
      <c r="G599" s="113" t="str">
        <f>IFERROR(INDEX(Product_Structure[Product group name ENG],MATCH(Товары[[#This Row],[SubGroup]],Product_Structure[Subgroup],0)),"")</f>
        <v>Handheld, Electric, Hedgetrimmer</v>
      </c>
      <c r="H599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599" s="36">
        <v>9341</v>
      </c>
      <c r="J599" s="36" t="str">
        <f>IFERROR(INDEX(Product_Structure[Generic Name (long)],MATCH(Товары[[#This Row],[SubGroup]],Product_Structure[Subgroup],0)),"")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Row],[SubGroup]],DIY!$B:$C,2,FALSE),0)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3" t="str">
        <f>IFERROR(INDEX(Product_Structure[SuperCategory],MATCH(Товары[[#This Row],[SubGroup]],Product_Structure[Subgroup],0)),"")</f>
        <v>H</v>
      </c>
      <c r="D600" s="113" t="str">
        <f>IFERROR(INDEX(Product_Structure[SuperCategory Name ENG],MATCH(Товары[[#This Row],[SubGroup]],Product_Structure[Subgroup],0)),"")</f>
        <v>HandHeld (electric, battery) + spare parts</v>
      </c>
      <c r="E60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0" s="113" t="str">
        <f>IFERROR(INDEX(Product_Structure[Product group],MATCH(Товары[[#This Row],[SubGroup]],Product_Structure[Subgroup],0)),"")</f>
        <v>HEH_C</v>
      </c>
      <c r="G600" s="113" t="str">
        <f>IFERROR(INDEX(Product_Structure[Product group name ENG],MATCH(Товары[[#This Row],[SubGroup]],Product_Structure[Subgroup],0)),"")</f>
        <v>Handheld, Electric, Hedgetrimmer</v>
      </c>
      <c r="H600" s="113" t="str">
        <f>IFERROR(INDEX(Product_Structure[Generic Name (long)3],MATCH(Товары[[#This Row],[SubGroup]],Product_Structure[Subgroup],0)),"")</f>
        <v>Ножницы для живой изгороди электрические</v>
      </c>
      <c r="I600" s="36">
        <v>9341</v>
      </c>
      <c r="J600" s="36" t="str">
        <f>IFERROR(INDEX(Product_Structure[Generic Name (long)],MATCH(Товары[[#This Row],[SubGroup]],Product_Structure[Subgroup],0)),"")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Row],[SubGroup]],DIY!$B:$C,2,FALSE),0)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3" t="str">
        <f>IFERROR(INDEX(Product_Structure[SuperCategory],MATCH(Товары[[#This Row],[SubGroup]],Product_Structure[Subgroup],0)),"")</f>
        <v>H</v>
      </c>
      <c r="D601" s="113" t="str">
        <f>IFERROR(INDEX(Product_Structure[SuperCategory Name ENG],MATCH(Товары[[#This Row],[SubGroup]],Product_Structure[Subgroup],0)),"")</f>
        <v>HandHeld (electric, battery) + spare parts</v>
      </c>
      <c r="E60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1" s="113" t="str">
        <f>IFERROR(INDEX(Product_Structure[Product group],MATCH(Товары[[#This Row],[SubGroup]],Product_Structure[Subgroup],0)),"")</f>
        <v>HEH_P</v>
      </c>
      <c r="G601" s="113" t="str">
        <f>IFERROR(INDEX(Product_Structure[Product group name ENG],MATCH(Товары[[#This Row],[SubGroup]],Product_Structure[Subgroup],0)),"")</f>
        <v>Handheld, Battery, Hedgetrimmer</v>
      </c>
      <c r="H601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1" s="36">
        <v>9346</v>
      </c>
      <c r="J601" s="36" t="str">
        <f>IFERROR(INDEX(Product_Structure[Generic Name (long)],MATCH(Товары[[#This Row],[SubGroup]],Product_Structure[Subgroup],0)),"")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Row],[SubGroup]],DIY!$B:$C,2,FALSE),0)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3" t="str">
        <f>IFERROR(INDEX(Product_Structure[SuperCategory],MATCH(Товары[[#This Row],[SubGroup]],Product_Structure[Subgroup],0)),"")</f>
        <v>H</v>
      </c>
      <c r="D602" s="113" t="str">
        <f>IFERROR(INDEX(Product_Structure[SuperCategory Name ENG],MATCH(Товары[[#This Row],[SubGroup]],Product_Structure[Subgroup],0)),"")</f>
        <v>HandHeld (electric, battery) + spare parts</v>
      </c>
      <c r="E60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2" s="113" t="str">
        <f>IFERROR(INDEX(Product_Structure[Product group],MATCH(Товары[[#This Row],[SubGroup]],Product_Structure[Subgroup],0)),"")</f>
        <v>HEH_P</v>
      </c>
      <c r="G602" s="113" t="str">
        <f>IFERROR(INDEX(Product_Structure[Product group name ENG],MATCH(Товары[[#This Row],[SubGroup]],Product_Structure[Subgroup],0)),"")</f>
        <v>Handheld, Battery, Hedgetrimmer</v>
      </c>
      <c r="H602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2" s="36">
        <v>9346</v>
      </c>
      <c r="J602" s="36" t="str">
        <f>IFERROR(INDEX(Product_Structure[Generic Name (long)],MATCH(Товары[[#This Row],[SubGroup]],Product_Structure[Subgroup],0)),"")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Row],[SubGroup]],DIY!$B:$C,2,FALSE),0)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3" t="str">
        <f>IFERROR(INDEX(Product_Structure[SuperCategory],MATCH(Товары[[#This Row],[SubGroup]],Product_Structure[Subgroup],0)),"")</f>
        <v>H</v>
      </c>
      <c r="D603" s="113" t="str">
        <f>IFERROR(INDEX(Product_Structure[SuperCategory Name ENG],MATCH(Товары[[#This Row],[SubGroup]],Product_Structure[Subgroup],0)),"")</f>
        <v>HandHeld (electric, battery) + spare parts</v>
      </c>
      <c r="E60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3" s="113" t="str">
        <f>IFERROR(INDEX(Product_Structure[Product group],MATCH(Товары[[#This Row],[SubGroup]],Product_Structure[Subgroup],0)),"")</f>
        <v>HEH_P</v>
      </c>
      <c r="G603" s="113" t="str">
        <f>IFERROR(INDEX(Product_Structure[Product group name ENG],MATCH(Товары[[#This Row],[SubGroup]],Product_Structure[Subgroup],0)),"")</f>
        <v>Handheld, Battery, Hedgetrimmer</v>
      </c>
      <c r="H603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3" s="36">
        <v>9346</v>
      </c>
      <c r="J603" s="36" t="str">
        <f>IFERROR(INDEX(Product_Structure[Generic Name (long)],MATCH(Товары[[#This Row],[SubGroup]],Product_Structure[Subgroup],0)),"")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Row],[SubGroup]],DIY!$B:$C,2,FALSE),0)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3" t="str">
        <f>IFERROR(INDEX(Product_Structure[SuperCategory],MATCH(Товары[[#This Row],[SubGroup]],Product_Structure[Subgroup],0)),"")</f>
        <v>H</v>
      </c>
      <c r="D604" s="113" t="str">
        <f>IFERROR(INDEX(Product_Structure[SuperCategory Name ENG],MATCH(Товары[[#This Row],[SubGroup]],Product_Structure[Subgroup],0)),"")</f>
        <v>HandHeld (electric, battery) + spare parts</v>
      </c>
      <c r="E60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4" s="113" t="str">
        <f>IFERROR(INDEX(Product_Structure[Product group],MATCH(Товары[[#This Row],[SubGroup]],Product_Structure[Subgroup],0)),"")</f>
        <v>HEH_P</v>
      </c>
      <c r="G604" s="113" t="str">
        <f>IFERROR(INDEX(Product_Structure[Product group name ENG],MATCH(Товары[[#This Row],[SubGroup]],Product_Structure[Subgroup],0)),"")</f>
        <v>Handheld, Battery, Hedgetrimmer</v>
      </c>
      <c r="H604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4" s="36">
        <v>9346</v>
      </c>
      <c r="J604" s="36" t="str">
        <f>IFERROR(INDEX(Product_Structure[Generic Name (long)],MATCH(Товары[[#This Row],[SubGroup]],Product_Structure[Subgroup],0)),"")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Row],[SubGroup]],DIY!$B:$C,2,FALSE),0)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3" t="str">
        <f>IFERROR(INDEX(Product_Structure[SuperCategory],MATCH(Товары[[#This Row],[SubGroup]],Product_Structure[Subgroup],0)),"")</f>
        <v>H</v>
      </c>
      <c r="D605" s="113" t="str">
        <f>IFERROR(INDEX(Product_Structure[SuperCategory Name ENG],MATCH(Товары[[#This Row],[SubGroup]],Product_Structure[Subgroup],0)),"")</f>
        <v>HandHeld (electric, battery) + spare parts</v>
      </c>
      <c r="E60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5" s="113" t="str">
        <f>IFERROR(INDEX(Product_Structure[Product group],MATCH(Товары[[#This Row],[SubGroup]],Product_Structure[Subgroup],0)),"")</f>
        <v>HEH_P</v>
      </c>
      <c r="G605" s="113" t="str">
        <f>IFERROR(INDEX(Product_Structure[Product group name ENG],MATCH(Товары[[#This Row],[SubGroup]],Product_Structure[Subgroup],0)),"")</f>
        <v>Handheld, Battery, Hedgetrimmer</v>
      </c>
      <c r="H605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5" s="36">
        <v>9346</v>
      </c>
      <c r="J605" s="36" t="str">
        <f>IFERROR(INDEX(Product_Structure[Generic Name (long)],MATCH(Товары[[#This Row],[SubGroup]],Product_Structure[Subgroup],0)),"")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Row],[SubGroup]],DIY!$B:$C,2,FALSE),0)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3" t="str">
        <f>IFERROR(INDEX(Product_Structure[SuperCategory],MATCH(Товары[[#This Row],[SubGroup]],Product_Structure[Subgroup],0)),"")</f>
        <v>H</v>
      </c>
      <c r="D606" s="113" t="str">
        <f>IFERROR(INDEX(Product_Structure[SuperCategory Name ENG],MATCH(Товары[[#This Row],[SubGroup]],Product_Structure[Subgroup],0)),"")</f>
        <v>HandHeld (electric, battery) + spare parts</v>
      </c>
      <c r="E60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6" s="113" t="str">
        <f>IFERROR(INDEX(Product_Structure[Product group],MATCH(Товары[[#This Row],[SubGroup]],Product_Structure[Subgroup],0)),"")</f>
        <v>HEH_P</v>
      </c>
      <c r="G606" s="113" t="str">
        <f>IFERROR(INDEX(Product_Structure[Product group name ENG],MATCH(Товары[[#This Row],[SubGroup]],Product_Structure[Subgroup],0)),"")</f>
        <v>Handheld, Battery, Hedgetrimmer</v>
      </c>
      <c r="H606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6" s="36">
        <v>9346</v>
      </c>
      <c r="J606" s="36" t="str">
        <f>IFERROR(INDEX(Product_Structure[Generic Name (long)],MATCH(Товары[[#This Row],[SubGroup]],Product_Structure[Subgroup],0)),"")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Row],[SubGroup]],DIY!$B:$C,2,FALSE),0)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3" t="str">
        <f>IFERROR(INDEX(Product_Structure[SuperCategory],MATCH(Товары[[#This Row],[SubGroup]],Product_Structure[Subgroup],0)),"")</f>
        <v>H</v>
      </c>
      <c r="D607" s="113" t="str">
        <f>IFERROR(INDEX(Product_Structure[SuperCategory Name ENG],MATCH(Товары[[#This Row],[SubGroup]],Product_Structure[Subgroup],0)),"")</f>
        <v>HandHeld (electric, battery) + spare parts</v>
      </c>
      <c r="E60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7" s="113" t="str">
        <f>IFERROR(INDEX(Product_Structure[Product group],MATCH(Товары[[#This Row],[SubGroup]],Product_Structure[Subgroup],0)),"")</f>
        <v>HEH_P</v>
      </c>
      <c r="G607" s="113" t="str">
        <f>IFERROR(INDEX(Product_Structure[Product group name ENG],MATCH(Товары[[#This Row],[SubGroup]],Product_Structure[Subgroup],0)),"")</f>
        <v>Handheld, Battery, Hedgetrimmer</v>
      </c>
      <c r="H607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7" s="36">
        <v>9346</v>
      </c>
      <c r="J607" s="36" t="str">
        <f>IFERROR(INDEX(Product_Structure[Generic Name (long)],MATCH(Товары[[#This Row],[SubGroup]],Product_Structure[Subgroup],0)),"")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Row],[SubGroup]],DIY!$B:$C,2,FALSE),0)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3" t="str">
        <f>IFERROR(INDEX(Product_Structure[SuperCategory],MATCH(Товары[[#This Row],[SubGroup]],Product_Structure[Subgroup],0)),"")</f>
        <v>H</v>
      </c>
      <c r="D608" s="113" t="str">
        <f>IFERROR(INDEX(Product_Structure[SuperCategory Name ENG],MATCH(Товары[[#This Row],[SubGroup]],Product_Structure[Subgroup],0)),"")</f>
        <v>HandHeld (electric, battery) + spare parts</v>
      </c>
      <c r="E60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8" s="113" t="str">
        <f>IFERROR(INDEX(Product_Structure[Product group],MATCH(Товары[[#This Row],[SubGroup]],Product_Structure[Subgroup],0)),"")</f>
        <v>HEH_P</v>
      </c>
      <c r="G608" s="113" t="str">
        <f>IFERROR(INDEX(Product_Structure[Product group name ENG],MATCH(Товары[[#This Row],[SubGroup]],Product_Structure[Subgroup],0)),"")</f>
        <v>Handheld, Battery, Hedgetrimmer</v>
      </c>
      <c r="H608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8" s="36">
        <v>9346</v>
      </c>
      <c r="J608" s="36" t="str">
        <f>IFERROR(INDEX(Product_Structure[Generic Name (long)],MATCH(Товары[[#This Row],[SubGroup]],Product_Structure[Subgroup],0)),"")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Row],[SubGroup]],DIY!$B:$C,2,FALSE),0)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3" t="str">
        <f>IFERROR(INDEX(Product_Structure[SuperCategory],MATCH(Товары[[#This Row],[SubGroup]],Product_Structure[Subgroup],0)),"")</f>
        <v>H</v>
      </c>
      <c r="D609" s="113" t="str">
        <f>IFERROR(INDEX(Product_Structure[SuperCategory Name ENG],MATCH(Товары[[#This Row],[SubGroup]],Product_Structure[Subgroup],0)),"")</f>
        <v>HandHeld (electric, battery) + spare parts</v>
      </c>
      <c r="E60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09" s="113" t="str">
        <f>IFERROR(INDEX(Product_Structure[Product group],MATCH(Товары[[#This Row],[SubGroup]],Product_Structure[Subgroup],0)),"")</f>
        <v>HEH_P</v>
      </c>
      <c r="G609" s="113" t="str">
        <f>IFERROR(INDEX(Product_Structure[Product group name ENG],MATCH(Товары[[#This Row],[SubGroup]],Product_Structure[Subgroup],0)),"")</f>
        <v>Handheld, Battery, Hedgetrimmer</v>
      </c>
      <c r="H609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09" s="36">
        <v>9346</v>
      </c>
      <c r="J609" s="36" t="str">
        <f>IFERROR(INDEX(Product_Structure[Generic Name (long)],MATCH(Товары[[#This Row],[SubGroup]],Product_Structure[Subgroup],0)),"")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Row],[SubGroup]],DIY!$B:$C,2,FALSE),0)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3" t="str">
        <f>IFERROR(INDEX(Product_Structure[SuperCategory],MATCH(Товары[[#This Row],[SubGroup]],Product_Structure[Subgroup],0)),"")</f>
        <v>H</v>
      </c>
      <c r="D610" s="113" t="str">
        <f>IFERROR(INDEX(Product_Structure[SuperCategory Name ENG],MATCH(Товары[[#This Row],[SubGroup]],Product_Structure[Subgroup],0)),"")</f>
        <v>HandHeld (electric, battery) + spare parts</v>
      </c>
      <c r="E61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0" s="113" t="str">
        <f>IFERROR(INDEX(Product_Structure[Product group],MATCH(Товары[[#This Row],[SubGroup]],Product_Structure[Subgroup],0)),"")</f>
        <v>HEH_P</v>
      </c>
      <c r="G610" s="113" t="str">
        <f>IFERROR(INDEX(Product_Structure[Product group name ENG],MATCH(Товары[[#This Row],[SubGroup]],Product_Structure[Subgroup],0)),"")</f>
        <v>Handheld, Battery, Hedgetrimmer</v>
      </c>
      <c r="H610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10" s="36">
        <v>9346</v>
      </c>
      <c r="J610" s="36" t="str">
        <f>IFERROR(INDEX(Product_Structure[Generic Name (long)],MATCH(Товары[[#This Row],[SubGroup]],Product_Structure[Subgroup],0)),"")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Row],[SubGroup]],DIY!$B:$C,2,FALSE),0)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3" t="str">
        <f>IFERROR(INDEX(Product_Structure[SuperCategory],MATCH(Товары[[#This Row],[SubGroup]],Product_Structure[Subgroup],0)),"")</f>
        <v>H</v>
      </c>
      <c r="D611" s="113" t="str">
        <f>IFERROR(INDEX(Product_Structure[SuperCategory Name ENG],MATCH(Товары[[#This Row],[SubGroup]],Product_Structure[Subgroup],0)),"")</f>
        <v>HandHeld (electric, battery) + spare parts</v>
      </c>
      <c r="E61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1" s="113" t="str">
        <f>IFERROR(INDEX(Product_Structure[Product group],MATCH(Товары[[#This Row],[SubGroup]],Product_Structure[Subgroup],0)),"")</f>
        <v>HEH_P</v>
      </c>
      <c r="G611" s="113" t="str">
        <f>IFERROR(INDEX(Product_Structure[Product group name ENG],MATCH(Товары[[#This Row],[SubGroup]],Product_Structure[Subgroup],0)),"")</f>
        <v>Handheld, Battery, Hedgetrimmer</v>
      </c>
      <c r="H611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11" s="36">
        <v>9346</v>
      </c>
      <c r="J611" s="36" t="str">
        <f>IFERROR(INDEX(Product_Structure[Generic Name (long)],MATCH(Товары[[#This Row],[SubGroup]],Product_Structure[Subgroup],0)),"")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Row],[SubGroup]],DIY!$B:$C,2,FALSE),0)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3" t="str">
        <f>IFERROR(INDEX(Product_Structure[SuperCategory],MATCH(Товары[[#This Row],[SubGroup]],Product_Structure[Subgroup],0)),"")</f>
        <v>H</v>
      </c>
      <c r="D612" s="113" t="str">
        <f>IFERROR(INDEX(Product_Structure[SuperCategory Name ENG],MATCH(Товары[[#This Row],[SubGroup]],Product_Structure[Subgroup],0)),"")</f>
        <v>HandHeld (electric, battery) + spare parts</v>
      </c>
      <c r="E61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2" s="113" t="str">
        <f>IFERROR(INDEX(Product_Structure[Product group],MATCH(Товары[[#This Row],[SubGroup]],Product_Structure[Subgroup],0)),"")</f>
        <v>HEH_P</v>
      </c>
      <c r="G612" s="113" t="str">
        <f>IFERROR(INDEX(Product_Structure[Product group name ENG],MATCH(Товары[[#This Row],[SubGroup]],Product_Structure[Subgroup],0)),"")</f>
        <v>Handheld, Battery, Hedgetrimmer</v>
      </c>
      <c r="H612" s="113" t="str">
        <f>IFERROR(INDEX(Product_Structure[Generic Name (long)3],MATCH(Товары[[#This Row],[SubGroup]],Product_Structure[Subgroup],0)),"")</f>
        <v>Ножницы для живой изгороди аккумуляторные</v>
      </c>
      <c r="I612" s="36">
        <v>9346</v>
      </c>
      <c r="J612" s="36" t="str">
        <f>IFERROR(INDEX(Product_Structure[Generic Name (long)],MATCH(Товары[[#This Row],[SubGroup]],Product_Structure[Subgroup],0)),"")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Row],[SubGroup]],DIY!$B:$C,2,FALSE),0)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3" t="str">
        <f>IFERROR(INDEX(Product_Structure[SuperCategory],MATCH(Товары[[#This Row],[SubGroup]],Product_Structure[Subgroup],0)),"")</f>
        <v>H</v>
      </c>
      <c r="D613" s="113" t="str">
        <f>IFERROR(INDEX(Product_Structure[SuperCategory Name ENG],MATCH(Товары[[#This Row],[SubGroup]],Product_Structure[Subgroup],0)),"")</f>
        <v>HandHeld (electric, battery) + spare parts</v>
      </c>
      <c r="E61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3" s="113" t="str">
        <f>IFERROR(INDEX(Product_Structure[Product group],MATCH(Товары[[#This Row],[SubGroup]],Product_Structure[Subgroup],0)),"")</f>
        <v>HET_C</v>
      </c>
      <c r="G613" s="113" t="str">
        <f>IFERROR(INDEX(Product_Structure[Product group name ENG],MATCH(Товары[[#This Row],[SubGroup]],Product_Structure[Subgroup],0)),"")</f>
        <v>Handheld, Electric, Trimmer/ Brushcutter</v>
      </c>
      <c r="H613" s="113" t="str">
        <f>IFERROR(INDEX(Product_Structure[Generic Name (long)3],MATCH(Товары[[#This Row],[SubGroup]],Product_Structure[Subgroup],0)),"")</f>
        <v>Триммеры электрические</v>
      </c>
      <c r="I613" s="36">
        <v>9321</v>
      </c>
      <c r="J613" s="36" t="str">
        <f>IFERROR(INDEX(Product_Structure[Generic Name (long)],MATCH(Товары[[#This Row],[SubGroup]],Product_Structure[Subgroup],0)),"")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Row],[SubGroup]],DIY!$B:$C,2,FALSE),0)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3" t="str">
        <f>IFERROR(INDEX(Product_Structure[SuperCategory],MATCH(Товары[[#This Row],[SubGroup]],Product_Structure[Subgroup],0)),"")</f>
        <v>H</v>
      </c>
      <c r="D614" s="113" t="str">
        <f>IFERROR(INDEX(Product_Structure[SuperCategory Name ENG],MATCH(Товары[[#This Row],[SubGroup]],Product_Structure[Subgroup],0)),"")</f>
        <v>HandHeld (electric, battery) + spare parts</v>
      </c>
      <c r="E61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4" s="113" t="str">
        <f>IFERROR(INDEX(Product_Structure[Product group],MATCH(Товары[[#This Row],[SubGroup]],Product_Structure[Subgroup],0)),"")</f>
        <v>HET_C</v>
      </c>
      <c r="G614" s="113" t="str">
        <f>IFERROR(INDEX(Product_Structure[Product group name ENG],MATCH(Товары[[#This Row],[SubGroup]],Product_Structure[Subgroup],0)),"")</f>
        <v>Handheld, Electric, Trimmer/ Brushcutter</v>
      </c>
      <c r="H614" s="113" t="str">
        <f>IFERROR(INDEX(Product_Structure[Generic Name (long)3],MATCH(Товары[[#This Row],[SubGroup]],Product_Structure[Subgroup],0)),"")</f>
        <v>Триммеры электрические</v>
      </c>
      <c r="I614" s="36">
        <v>9321</v>
      </c>
      <c r="J614" s="36" t="str">
        <f>IFERROR(INDEX(Product_Structure[Generic Name (long)],MATCH(Товары[[#This Row],[SubGroup]],Product_Structure[Subgroup],0)),"")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Row],[SubGroup]],DIY!$B:$C,2,FALSE),0)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3" t="str">
        <f>IFERROR(INDEX(Product_Structure[SuperCategory],MATCH(Товары[[#This Row],[SubGroup]],Product_Structure[Subgroup],0)),"")</f>
        <v>H</v>
      </c>
      <c r="D615" s="113" t="str">
        <f>IFERROR(INDEX(Product_Structure[SuperCategory Name ENG],MATCH(Товары[[#This Row],[SubGroup]],Product_Structure[Subgroup],0)),"")</f>
        <v>HandHeld (electric, battery) + spare parts</v>
      </c>
      <c r="E61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5" s="113" t="str">
        <f>IFERROR(INDEX(Product_Structure[Product group],MATCH(Товары[[#This Row],[SubGroup]],Product_Structure[Subgroup],0)),"")</f>
        <v>HET_C</v>
      </c>
      <c r="G615" s="113" t="str">
        <f>IFERROR(INDEX(Product_Structure[Product group name ENG],MATCH(Товары[[#This Row],[SubGroup]],Product_Structure[Subgroup],0)),"")</f>
        <v>Handheld, Electric, Trimmer/ Brushcutter</v>
      </c>
      <c r="H615" s="113" t="str">
        <f>IFERROR(INDEX(Product_Structure[Generic Name (long)3],MATCH(Товары[[#This Row],[SubGroup]],Product_Structure[Subgroup],0)),"")</f>
        <v>Триммеры электрические</v>
      </c>
      <c r="I615" s="36">
        <v>9321</v>
      </c>
      <c r="J615" s="36" t="str">
        <f>IFERROR(INDEX(Product_Structure[Generic Name (long)],MATCH(Товары[[#This Row],[SubGroup]],Product_Structure[Subgroup],0)),"")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Row],[SubGroup]],DIY!$B:$C,2,FALSE),0)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3" t="str">
        <f>IFERROR(INDEX(Product_Structure[SuperCategory],MATCH(Товары[[#This Row],[SubGroup]],Product_Structure[Subgroup],0)),"")</f>
        <v>H</v>
      </c>
      <c r="D616" s="113" t="str">
        <f>IFERROR(INDEX(Product_Structure[SuperCategory Name ENG],MATCH(Товары[[#This Row],[SubGroup]],Product_Structure[Subgroup],0)),"")</f>
        <v>HandHeld (electric, battery) + spare parts</v>
      </c>
      <c r="E61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6" s="113" t="str">
        <f>IFERROR(INDEX(Product_Structure[Product group],MATCH(Товары[[#This Row],[SubGroup]],Product_Structure[Subgroup],0)),"")</f>
        <v>HET_C</v>
      </c>
      <c r="G616" s="113" t="str">
        <f>IFERROR(INDEX(Product_Structure[Product group name ENG],MATCH(Товары[[#This Row],[SubGroup]],Product_Structure[Subgroup],0)),"")</f>
        <v>Handheld, Electric, Trimmer/ Brushcutter</v>
      </c>
      <c r="H616" s="113" t="str">
        <f>IFERROR(INDEX(Product_Structure[Generic Name (long)3],MATCH(Товары[[#This Row],[SubGroup]],Product_Structure[Subgroup],0)),"")</f>
        <v>Триммеры электрические</v>
      </c>
      <c r="I616" s="36">
        <v>9321</v>
      </c>
      <c r="J616" s="36" t="str">
        <f>IFERROR(INDEX(Product_Structure[Generic Name (long)],MATCH(Товары[[#This Row],[SubGroup]],Product_Structure[Subgroup],0)),"")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Row],[SubGroup]],DIY!$B:$C,2,FALSE),0)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3" t="str">
        <f>IFERROR(INDEX(Product_Structure[SuperCategory],MATCH(Товары[[#This Row],[SubGroup]],Product_Structure[Subgroup],0)),"")</f>
        <v>H</v>
      </c>
      <c r="D617" s="113" t="str">
        <f>IFERROR(INDEX(Product_Structure[SuperCategory Name ENG],MATCH(Товары[[#This Row],[SubGroup]],Product_Structure[Subgroup],0)),"")</f>
        <v>HandHeld (electric, battery) + spare parts</v>
      </c>
      <c r="E61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7" s="113" t="str">
        <f>IFERROR(INDEX(Product_Structure[Product group],MATCH(Товары[[#This Row],[SubGroup]],Product_Structure[Subgroup],0)),"")</f>
        <v>HET_C</v>
      </c>
      <c r="G617" s="113" t="str">
        <f>IFERROR(INDEX(Product_Structure[Product group name ENG],MATCH(Товары[[#This Row],[SubGroup]],Product_Structure[Subgroup],0)),"")</f>
        <v>Handheld, Electric, Trimmer/ Brushcutter</v>
      </c>
      <c r="H617" s="113" t="str">
        <f>IFERROR(INDEX(Product_Structure[Generic Name (long)3],MATCH(Товары[[#This Row],[SubGroup]],Product_Structure[Subgroup],0)),"")</f>
        <v>Триммеры электрические</v>
      </c>
      <c r="I617" s="36">
        <v>9321</v>
      </c>
      <c r="J617" s="36" t="str">
        <f>IFERROR(INDEX(Product_Structure[Generic Name (long)],MATCH(Товары[[#This Row],[SubGroup]],Product_Structure[Subgroup],0)),"")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Row],[SubGroup]],DIY!$B:$C,2,FALSE),0)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3" t="str">
        <f>IFERROR(INDEX(Product_Structure[SuperCategory],MATCH(Товары[[#This Row],[SubGroup]],Product_Structure[Subgroup],0)),"")</f>
        <v>H</v>
      </c>
      <c r="D618" s="113" t="str">
        <f>IFERROR(INDEX(Product_Structure[SuperCategory Name ENG],MATCH(Товары[[#This Row],[SubGroup]],Product_Structure[Subgroup],0)),"")</f>
        <v>HandHeld (electric, battery) + spare parts</v>
      </c>
      <c r="E61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8" s="113" t="str">
        <f>IFERROR(INDEX(Product_Structure[Product group],MATCH(Товары[[#This Row],[SubGroup]],Product_Structure[Subgroup],0)),"")</f>
        <v>HET_C</v>
      </c>
      <c r="G618" s="113" t="str">
        <f>IFERROR(INDEX(Product_Structure[Product group name ENG],MATCH(Товары[[#This Row],[SubGroup]],Product_Structure[Subgroup],0)),"")</f>
        <v>Handheld, Electric, Trimmer/ Brushcutter</v>
      </c>
      <c r="H618" s="113" t="str">
        <f>IFERROR(INDEX(Product_Structure[Generic Name (long)3],MATCH(Товары[[#This Row],[SubGroup]],Product_Structure[Subgroup],0)),"")</f>
        <v>Триммеры электрические</v>
      </c>
      <c r="I618" s="36">
        <v>9321</v>
      </c>
      <c r="J618" s="36" t="str">
        <f>IFERROR(INDEX(Product_Structure[Generic Name (long)],MATCH(Товары[[#This Row],[SubGroup]],Product_Structure[Subgroup],0)),"")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Row],[SubGroup]],DIY!$B:$C,2,FALSE),0)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3" t="str">
        <f>IFERROR(INDEX(Product_Structure[SuperCategory],MATCH(Товары[[#This Row],[SubGroup]],Product_Structure[Subgroup],0)),"")</f>
        <v>H</v>
      </c>
      <c r="D619" s="113" t="str">
        <f>IFERROR(INDEX(Product_Structure[SuperCategory Name ENG],MATCH(Товары[[#This Row],[SubGroup]],Product_Structure[Subgroup],0)),"")</f>
        <v>HandHeld (electric, battery) + spare parts</v>
      </c>
      <c r="E61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19" s="113" t="str">
        <f>IFERROR(INDEX(Product_Structure[Product group],MATCH(Товары[[#This Row],[SubGroup]],Product_Structure[Subgroup],0)),"")</f>
        <v>HET_C</v>
      </c>
      <c r="G619" s="113" t="str">
        <f>IFERROR(INDEX(Product_Structure[Product group name ENG],MATCH(Товары[[#This Row],[SubGroup]],Product_Structure[Subgroup],0)),"")</f>
        <v>Handheld, Electric, Trimmer/ Brushcutter</v>
      </c>
      <c r="H619" s="113" t="str">
        <f>IFERROR(INDEX(Product_Structure[Generic Name (long)3],MATCH(Товары[[#This Row],[SubGroup]],Product_Structure[Subgroup],0)),"")</f>
        <v>Триммеры электрические</v>
      </c>
      <c r="I619" s="36">
        <v>9321</v>
      </c>
      <c r="J619" s="36" t="str">
        <f>IFERROR(INDEX(Product_Structure[Generic Name (long)],MATCH(Товары[[#This Row],[SubGroup]],Product_Structure[Subgroup],0)),"")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Row],[SubGroup]],DIY!$B:$C,2,FALSE),0)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3" t="str">
        <f>IFERROR(INDEX(Product_Structure[SuperCategory],MATCH(Товары[[#This Row],[SubGroup]],Product_Structure[Subgroup],0)),"")</f>
        <v>H</v>
      </c>
      <c r="D620" s="113" t="str">
        <f>IFERROR(INDEX(Product_Structure[SuperCategory Name ENG],MATCH(Товары[[#This Row],[SubGroup]],Product_Structure[Subgroup],0)),"")</f>
        <v>HandHeld (electric, battery) + spare parts</v>
      </c>
      <c r="E62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0" s="113" t="str">
        <f>IFERROR(INDEX(Product_Structure[Product group],MATCH(Товары[[#This Row],[SubGroup]],Product_Structure[Subgroup],0)),"")</f>
        <v>HET_P</v>
      </c>
      <c r="G620" s="113" t="str">
        <f>IFERROR(INDEX(Product_Structure[Product group name ENG],MATCH(Товары[[#This Row],[SubGroup]],Product_Structure[Subgroup],0)),"")</f>
        <v>Handheld, Battery, Trimmer/ Brushcutter</v>
      </c>
      <c r="H620" s="113" t="str">
        <f>IFERROR(INDEX(Product_Structure[Generic Name (long)3],MATCH(Товары[[#This Row],[SubGroup]],Product_Structure[Subgroup],0)),"")</f>
        <v>Триммеры аккумуляторные</v>
      </c>
      <c r="I620" s="36">
        <v>9322</v>
      </c>
      <c r="J620" s="36" t="str">
        <f>IFERROR(INDEX(Product_Structure[Generic Name (long)],MATCH(Товары[[#This Row],[SubGroup]],Product_Structure[Subgroup],0)),"")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Row],[SubGroup]],DIY!$B:$C,2,FALSE),0)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3" t="str">
        <f>IFERROR(INDEX(Product_Structure[SuperCategory],MATCH(Товары[[#This Row],[SubGroup]],Product_Structure[Subgroup],0)),"")</f>
        <v>H</v>
      </c>
      <c r="D621" s="113" t="str">
        <f>IFERROR(INDEX(Product_Structure[SuperCategory Name ENG],MATCH(Товары[[#This Row],[SubGroup]],Product_Structure[Subgroup],0)),"")</f>
        <v>HandHeld (electric, battery) + spare parts</v>
      </c>
      <c r="E62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1" s="113" t="str">
        <f>IFERROR(INDEX(Product_Structure[Product group],MATCH(Товары[[#This Row],[SubGroup]],Product_Structure[Subgroup],0)),"")</f>
        <v>HET_C</v>
      </c>
      <c r="G621" s="113" t="str">
        <f>IFERROR(INDEX(Product_Structure[Product group name ENG],MATCH(Товары[[#This Row],[SubGroup]],Product_Structure[Subgroup],0)),"")</f>
        <v>Handheld, Electric, Trimmer/ Brushcutter</v>
      </c>
      <c r="H621" s="113" t="str">
        <f>IFERROR(INDEX(Product_Structure[Generic Name (long)3],MATCH(Товары[[#This Row],[SubGroup]],Product_Structure[Subgroup],0)),"")</f>
        <v>Триммеры электрические</v>
      </c>
      <c r="I621" s="36">
        <v>9321</v>
      </c>
      <c r="J621" s="36" t="str">
        <f>IFERROR(INDEX(Product_Structure[Generic Name (long)],MATCH(Товары[[#This Row],[SubGroup]],Product_Structure[Subgroup],0)),"")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Row],[SubGroup]],DIY!$B:$C,2,FALSE),0)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3" t="str">
        <f>IFERROR(INDEX(Product_Structure[SuperCategory],MATCH(Товары[[#This Row],[SubGroup]],Product_Structure[Subgroup],0)),"")</f>
        <v>H</v>
      </c>
      <c r="D622" s="113" t="str">
        <f>IFERROR(INDEX(Product_Structure[SuperCategory Name ENG],MATCH(Товары[[#This Row],[SubGroup]],Product_Structure[Subgroup],0)),"")</f>
        <v>HandHeld (electric, battery) + spare parts</v>
      </c>
      <c r="E62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2" s="113" t="str">
        <f>IFERROR(INDEX(Product_Structure[Product group],MATCH(Товары[[#This Row],[SubGroup]],Product_Structure[Subgroup],0)),"")</f>
        <v>HET_C</v>
      </c>
      <c r="G622" s="113" t="str">
        <f>IFERROR(INDEX(Product_Structure[Product group name ENG],MATCH(Товары[[#This Row],[SubGroup]],Product_Structure[Subgroup],0)),"")</f>
        <v>Handheld, Electric, Trimmer/ Brushcutter</v>
      </c>
      <c r="H622" s="113" t="str">
        <f>IFERROR(INDEX(Product_Structure[Generic Name (long)3],MATCH(Товары[[#This Row],[SubGroup]],Product_Structure[Subgroup],0)),"")</f>
        <v>Триммеры электрические</v>
      </c>
      <c r="I622" s="36">
        <v>9321</v>
      </c>
      <c r="J622" s="36" t="str">
        <f>IFERROR(INDEX(Product_Structure[Generic Name (long)],MATCH(Товары[[#This Row],[SubGroup]],Product_Structure[Subgroup],0)),"")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Row],[SubGroup]],DIY!$B:$C,2,FALSE),0)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3" t="str">
        <f>IFERROR(INDEX(Product_Structure[SuperCategory],MATCH(Товары[[#This Row],[SubGroup]],Product_Structure[Subgroup],0)),"")</f>
        <v>H</v>
      </c>
      <c r="D623" s="113" t="str">
        <f>IFERROR(INDEX(Product_Structure[SuperCategory Name ENG],MATCH(Товары[[#This Row],[SubGroup]],Product_Structure[Subgroup],0)),"")</f>
        <v>HandHeld (electric, battery) + spare parts</v>
      </c>
      <c r="E62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3" s="113" t="str">
        <f>IFERROR(INDEX(Product_Structure[Product group],MATCH(Товары[[#This Row],[SubGroup]],Product_Structure[Subgroup],0)),"")</f>
        <v>HET_C</v>
      </c>
      <c r="G623" s="113" t="str">
        <f>IFERROR(INDEX(Product_Structure[Product group name ENG],MATCH(Товары[[#This Row],[SubGroup]],Product_Structure[Subgroup],0)),"")</f>
        <v>Handheld, Electric, Trimmer/ Brushcutter</v>
      </c>
      <c r="H623" s="113" t="str">
        <f>IFERROR(INDEX(Product_Structure[Generic Name (long)3],MATCH(Товары[[#This Row],[SubGroup]],Product_Structure[Subgroup],0)),"")</f>
        <v>Триммеры электрические</v>
      </c>
      <c r="I623" s="36">
        <v>9321</v>
      </c>
      <c r="J623" s="36" t="str">
        <f>IFERROR(INDEX(Product_Structure[Generic Name (long)],MATCH(Товары[[#This Row],[SubGroup]],Product_Structure[Subgroup],0)),"")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Row],[SubGroup]],DIY!$B:$C,2,FALSE),0)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3" t="str">
        <f>IFERROR(INDEX(Product_Structure[SuperCategory],MATCH(Товары[[#This Row],[SubGroup]],Product_Structure[Subgroup],0)),"")</f>
        <v>H</v>
      </c>
      <c r="D624" s="113" t="str">
        <f>IFERROR(INDEX(Product_Structure[SuperCategory Name ENG],MATCH(Товары[[#This Row],[SubGroup]],Product_Structure[Subgroup],0)),"")</f>
        <v>HandHeld (electric, battery) + spare parts</v>
      </c>
      <c r="E62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4" s="113" t="str">
        <f>IFERROR(INDEX(Product_Structure[Product group],MATCH(Товары[[#This Row],[SubGroup]],Product_Structure[Subgroup],0)),"")</f>
        <v>HET_C</v>
      </c>
      <c r="G624" s="113" t="str">
        <f>IFERROR(INDEX(Product_Structure[Product group name ENG],MATCH(Товары[[#This Row],[SubGroup]],Product_Structure[Subgroup],0)),"")</f>
        <v>Handheld, Electric, Trimmer/ Brushcutter</v>
      </c>
      <c r="H624" s="113" t="str">
        <f>IFERROR(INDEX(Product_Structure[Generic Name (long)3],MATCH(Товары[[#This Row],[SubGroup]],Product_Structure[Subgroup],0)),"")</f>
        <v>Триммеры электрические</v>
      </c>
      <c r="I624" s="36">
        <v>9321</v>
      </c>
      <c r="J624" s="36" t="str">
        <f>IFERROR(INDEX(Product_Structure[Generic Name (long)],MATCH(Товары[[#This Row],[SubGroup]],Product_Structure[Subgroup],0)),"")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Row],[SubGroup]],DIY!$B:$C,2,FALSE),0)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3" t="str">
        <f>IFERROR(INDEX(Product_Structure[SuperCategory],MATCH(Товары[[#This Row],[SubGroup]],Product_Structure[Subgroup],0)),"")</f>
        <v>H</v>
      </c>
      <c r="D625" s="113" t="str">
        <f>IFERROR(INDEX(Product_Structure[SuperCategory Name ENG],MATCH(Товары[[#This Row],[SubGroup]],Product_Structure[Subgroup],0)),"")</f>
        <v>HandHeld (electric, battery) + spare parts</v>
      </c>
      <c r="E62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5" s="113" t="str">
        <f>IFERROR(INDEX(Product_Structure[Product group],MATCH(Товары[[#This Row],[SubGroup]],Product_Structure[Subgroup],0)),"")</f>
        <v>HET_C</v>
      </c>
      <c r="G625" s="113" t="str">
        <f>IFERROR(INDEX(Product_Structure[Product group name ENG],MATCH(Товары[[#This Row],[SubGroup]],Product_Structure[Subgroup],0)),"")</f>
        <v>Handheld, Electric, Trimmer/ Brushcutter</v>
      </c>
      <c r="H625" s="113" t="str">
        <f>IFERROR(INDEX(Product_Structure[Generic Name (long)3],MATCH(Товары[[#This Row],[SubGroup]],Product_Structure[Subgroup],0)),"")</f>
        <v>Триммеры электрические</v>
      </c>
      <c r="I625" s="36">
        <v>9321</v>
      </c>
      <c r="J625" s="36" t="str">
        <f>IFERROR(INDEX(Product_Structure[Generic Name (long)],MATCH(Товары[[#This Row],[SubGroup]],Product_Structure[Subgroup],0)),"")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Row],[SubGroup]],DIY!$B:$C,2,FALSE),0)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3" t="str">
        <f>IFERROR(INDEX(Product_Structure[SuperCategory],MATCH(Товары[[#This Row],[SubGroup]],Product_Structure[Subgroup],0)),"")</f>
        <v>H</v>
      </c>
      <c r="D626" s="113" t="str">
        <f>IFERROR(INDEX(Product_Structure[SuperCategory Name ENG],MATCH(Товары[[#This Row],[SubGroup]],Product_Structure[Subgroup],0)),"")</f>
        <v>HandHeld (electric, battery) + spare parts</v>
      </c>
      <c r="E62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6" s="113" t="str">
        <f>IFERROR(INDEX(Product_Structure[Product group],MATCH(Товары[[#This Row],[SubGroup]],Product_Structure[Subgroup],0)),"")</f>
        <v>HET_C</v>
      </c>
      <c r="G626" s="113" t="str">
        <f>IFERROR(INDEX(Product_Structure[Product group name ENG],MATCH(Товары[[#This Row],[SubGroup]],Product_Structure[Subgroup],0)),"")</f>
        <v>Handheld, Electric, Trimmer/ Brushcutter</v>
      </c>
      <c r="H626" s="113" t="str">
        <f>IFERROR(INDEX(Product_Structure[Generic Name (long)3],MATCH(Товары[[#This Row],[SubGroup]],Product_Structure[Subgroup],0)),"")</f>
        <v>Триммеры электрические</v>
      </c>
      <c r="I626" s="36">
        <v>9321</v>
      </c>
      <c r="J626" s="36" t="str">
        <f>IFERROR(INDEX(Product_Structure[Generic Name (long)],MATCH(Товары[[#This Row],[SubGroup]],Product_Structure[Subgroup],0)),"")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Row],[SubGroup]],DIY!$B:$C,2,FALSE),0)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3" t="str">
        <f>IFERROR(INDEX(Product_Structure[SuperCategory],MATCH(Товары[[#This Row],[SubGroup]],Product_Structure[Subgroup],0)),"")</f>
        <v>H</v>
      </c>
      <c r="D627" s="113" t="str">
        <f>IFERROR(INDEX(Product_Structure[SuperCategory Name ENG],MATCH(Товары[[#This Row],[SubGroup]],Product_Structure[Subgroup],0)),"")</f>
        <v>HandHeld (electric, battery) + spare parts</v>
      </c>
      <c r="E62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7" s="113" t="str">
        <f>IFERROR(INDEX(Product_Structure[Product group],MATCH(Товары[[#This Row],[SubGroup]],Product_Structure[Subgroup],0)),"")</f>
        <v>HET_C</v>
      </c>
      <c r="G627" s="113" t="str">
        <f>IFERROR(INDEX(Product_Structure[Product group name ENG],MATCH(Товары[[#This Row],[SubGroup]],Product_Structure[Subgroup],0)),"")</f>
        <v>Handheld, Electric, Trimmer/ Brushcutter</v>
      </c>
      <c r="H627" s="113" t="str">
        <f>IFERROR(INDEX(Product_Structure[Generic Name (long)3],MATCH(Товары[[#This Row],[SubGroup]],Product_Structure[Subgroup],0)),"")</f>
        <v>Триммеры электрические</v>
      </c>
      <c r="I627" s="36">
        <v>9321</v>
      </c>
      <c r="J627" s="36" t="str">
        <f>IFERROR(INDEX(Product_Structure[Generic Name (long)],MATCH(Товары[[#This Row],[SubGroup]],Product_Structure[Subgroup],0)),"")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Row],[SubGroup]],DIY!$B:$C,2,FALSE),0)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3" t="str">
        <f>IFERROR(INDEX(Product_Structure[SuperCategory],MATCH(Товары[[#This Row],[SubGroup]],Product_Structure[Subgroup],0)),"")</f>
        <v>H</v>
      </c>
      <c r="D628" s="113" t="str">
        <f>IFERROR(INDEX(Product_Structure[SuperCategory Name ENG],MATCH(Товары[[#This Row],[SubGroup]],Product_Structure[Subgroup],0)),"")</f>
        <v>HandHeld (electric, battery) + spare parts</v>
      </c>
      <c r="E62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8" s="113" t="str">
        <f>IFERROR(INDEX(Product_Structure[Product group],MATCH(Товары[[#This Row],[SubGroup]],Product_Structure[Subgroup],0)),"")</f>
        <v>HET_C</v>
      </c>
      <c r="G628" s="113" t="str">
        <f>IFERROR(INDEX(Product_Structure[Product group name ENG],MATCH(Товары[[#This Row],[SubGroup]],Product_Structure[Subgroup],0)),"")</f>
        <v>Handheld, Electric, Trimmer/ Brushcutter</v>
      </c>
      <c r="H628" s="113" t="str">
        <f>IFERROR(INDEX(Product_Structure[Generic Name (long)3],MATCH(Товары[[#This Row],[SubGroup]],Product_Structure[Subgroup],0)),"")</f>
        <v>Триммеры электрические</v>
      </c>
      <c r="I628" s="36">
        <v>9321</v>
      </c>
      <c r="J628" s="36" t="str">
        <f>IFERROR(INDEX(Product_Structure[Generic Name (long)],MATCH(Товары[[#This Row],[SubGroup]],Product_Structure[Subgroup],0)),"")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Row],[SubGroup]],DIY!$B:$C,2,FALSE),0)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3" t="str">
        <f>IFERROR(INDEX(Product_Structure[SuperCategory],MATCH(Товары[[#This Row],[SubGroup]],Product_Structure[Subgroup],0)),"")</f>
        <v>H</v>
      </c>
      <c r="D629" s="113" t="str">
        <f>IFERROR(INDEX(Product_Structure[SuperCategory Name ENG],MATCH(Товары[[#This Row],[SubGroup]],Product_Structure[Subgroup],0)),"")</f>
        <v>HandHeld (electric, battery) + spare parts</v>
      </c>
      <c r="E62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29" s="113" t="str">
        <f>IFERROR(INDEX(Product_Structure[Product group],MATCH(Товары[[#This Row],[SubGroup]],Product_Structure[Subgroup],0)),"")</f>
        <v>HET_C</v>
      </c>
      <c r="G629" s="113" t="str">
        <f>IFERROR(INDEX(Product_Structure[Product group name ENG],MATCH(Товары[[#This Row],[SubGroup]],Product_Structure[Subgroup],0)),"")</f>
        <v>Handheld, Electric, Trimmer/ Brushcutter</v>
      </c>
      <c r="H629" s="113" t="str">
        <f>IFERROR(INDEX(Product_Structure[Generic Name (long)3],MATCH(Товары[[#This Row],[SubGroup]],Product_Structure[Subgroup],0)),"")</f>
        <v>Триммеры электрические</v>
      </c>
      <c r="I629" s="36">
        <v>9321</v>
      </c>
      <c r="J629" s="36" t="str">
        <f>IFERROR(INDEX(Product_Structure[Generic Name (long)],MATCH(Товары[[#This Row],[SubGroup]],Product_Structure[Subgroup],0)),"")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Row],[SubGroup]],DIY!$B:$C,2,FALSE),0)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3" t="str">
        <f>IFERROR(INDEX(Product_Structure[SuperCategory],MATCH(Товары[[#This Row],[SubGroup]],Product_Structure[Subgroup],0)),"")</f>
        <v>H</v>
      </c>
      <c r="D630" s="113" t="str">
        <f>IFERROR(INDEX(Product_Structure[SuperCategory Name ENG],MATCH(Товары[[#This Row],[SubGroup]],Product_Structure[Subgroup],0)),"")</f>
        <v>HandHeld (electric, battery) + spare parts</v>
      </c>
      <c r="E63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0" s="113" t="str">
        <f>IFERROR(INDEX(Product_Structure[Product group],MATCH(Товары[[#This Row],[SubGroup]],Product_Structure[Subgroup],0)),"")</f>
        <v>HET_P</v>
      </c>
      <c r="G630" s="113" t="str">
        <f>IFERROR(INDEX(Product_Structure[Product group name ENG],MATCH(Товары[[#This Row],[SubGroup]],Product_Structure[Subgroup],0)),"")</f>
        <v>Handheld, Battery, Trimmer/ Brushcutter</v>
      </c>
      <c r="H630" s="113" t="str">
        <f>IFERROR(INDEX(Product_Structure[Generic Name (long)3],MATCH(Товары[[#This Row],[SubGroup]],Product_Structure[Subgroup],0)),"")</f>
        <v>Триммеры аккумуляторные</v>
      </c>
      <c r="I630" s="36">
        <v>9322</v>
      </c>
      <c r="J630" s="36" t="str">
        <f>IFERROR(INDEX(Product_Structure[Generic Name (long)],MATCH(Товары[[#This Row],[SubGroup]],Product_Structure[Subgroup],0)),"")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Row],[SubGroup]],DIY!$B:$C,2,FALSE),0)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3" t="str">
        <f>IFERROR(INDEX(Product_Structure[SuperCategory],MATCH(Товары[[#This Row],[SubGroup]],Product_Structure[Subgroup],0)),"")</f>
        <v>H</v>
      </c>
      <c r="D631" s="113" t="str">
        <f>IFERROR(INDEX(Product_Structure[SuperCategory Name ENG],MATCH(Товары[[#This Row],[SubGroup]],Product_Structure[Subgroup],0)),"")</f>
        <v>HandHeld (electric, battery) + spare parts</v>
      </c>
      <c r="E63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1" s="113" t="str">
        <f>IFERROR(INDEX(Product_Structure[Product group],MATCH(Товары[[#This Row],[SubGroup]],Product_Structure[Subgroup],0)),"")</f>
        <v>HET_P</v>
      </c>
      <c r="G631" s="113" t="str">
        <f>IFERROR(INDEX(Product_Structure[Product group name ENG],MATCH(Товары[[#This Row],[SubGroup]],Product_Structure[Subgroup],0)),"")</f>
        <v>Handheld, Battery, Trimmer/ Brushcutter</v>
      </c>
      <c r="H631" s="113" t="str">
        <f>IFERROR(INDEX(Product_Structure[Generic Name (long)3],MATCH(Товары[[#This Row],[SubGroup]],Product_Structure[Subgroup],0)),"")</f>
        <v>Триммеры аккумуляторные</v>
      </c>
      <c r="I631" s="36">
        <v>9322</v>
      </c>
      <c r="J631" s="36" t="str">
        <f>IFERROR(INDEX(Product_Structure[Generic Name (long)],MATCH(Товары[[#This Row],[SubGroup]],Product_Structure[Subgroup],0)),"")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Row],[SubGroup]],DIY!$B:$C,2,FALSE),0)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3" t="str">
        <f>IFERROR(INDEX(Product_Structure[SuperCategory],MATCH(Товары[[#This Row],[SubGroup]],Product_Structure[Subgroup],0)),"")</f>
        <v>H</v>
      </c>
      <c r="D632" s="113" t="str">
        <f>IFERROR(INDEX(Product_Structure[SuperCategory Name ENG],MATCH(Товары[[#This Row],[SubGroup]],Product_Structure[Subgroup],0)),"")</f>
        <v>HandHeld (electric, battery) + spare parts</v>
      </c>
      <c r="E63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2" s="113" t="str">
        <f>IFERROR(INDEX(Product_Structure[Product group],MATCH(Товары[[#This Row],[SubGroup]],Product_Structure[Subgroup],0)),"")</f>
        <v>HET_P</v>
      </c>
      <c r="G632" s="113" t="str">
        <f>IFERROR(INDEX(Product_Structure[Product group name ENG],MATCH(Товары[[#This Row],[SubGroup]],Product_Structure[Subgroup],0)),"")</f>
        <v>Handheld, Battery, Trimmer/ Brushcutter</v>
      </c>
      <c r="H632" s="113" t="str">
        <f>IFERROR(INDEX(Product_Structure[Generic Name (long)3],MATCH(Товары[[#This Row],[SubGroup]],Product_Structure[Subgroup],0)),"")</f>
        <v>Триммеры аккумуляторные</v>
      </c>
      <c r="I632" s="36">
        <v>9322</v>
      </c>
      <c r="J632" s="36" t="str">
        <f>IFERROR(INDEX(Product_Structure[Generic Name (long)],MATCH(Товары[[#This Row],[SubGroup]],Product_Structure[Subgroup],0)),"")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Row],[SubGroup]],DIY!$B:$C,2,FALSE),0)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3" t="str">
        <f>IFERROR(INDEX(Product_Structure[SuperCategory],MATCH(Товары[[#This Row],[SubGroup]],Product_Structure[Subgroup],0)),"")</f>
        <v>H</v>
      </c>
      <c r="D633" s="113" t="str">
        <f>IFERROR(INDEX(Product_Structure[SuperCategory Name ENG],MATCH(Товары[[#This Row],[SubGroup]],Product_Structure[Subgroup],0)),"")</f>
        <v>HandHeld (electric, battery) + spare parts</v>
      </c>
      <c r="E63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3" s="113" t="str">
        <f>IFERROR(INDEX(Product_Structure[Product group],MATCH(Товары[[#This Row],[SubGroup]],Product_Structure[Subgroup],0)),"")</f>
        <v>HET_P</v>
      </c>
      <c r="G633" s="113" t="str">
        <f>IFERROR(INDEX(Product_Structure[Product group name ENG],MATCH(Товары[[#This Row],[SubGroup]],Product_Structure[Subgroup],0)),"")</f>
        <v>Handheld, Battery, Trimmer/ Brushcutter</v>
      </c>
      <c r="H633" s="113" t="str">
        <f>IFERROR(INDEX(Product_Structure[Generic Name (long)3],MATCH(Товары[[#This Row],[SubGroup]],Product_Structure[Subgroup],0)),"")</f>
        <v>Триммеры аккумуляторные</v>
      </c>
      <c r="I633" s="36">
        <v>9322</v>
      </c>
      <c r="J633" s="36" t="str">
        <f>IFERROR(INDEX(Product_Structure[Generic Name (long)],MATCH(Товары[[#This Row],[SubGroup]],Product_Structure[Subgroup],0)),"")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Row],[SubGroup]],DIY!$B:$C,2,FALSE),0)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3" t="str">
        <f>IFERROR(INDEX(Product_Structure[SuperCategory],MATCH(Товары[[#This Row],[SubGroup]],Product_Structure[Subgroup],0)),"")</f>
        <v>H</v>
      </c>
      <c r="D634" s="113" t="str">
        <f>IFERROR(INDEX(Product_Structure[SuperCategory Name ENG],MATCH(Товары[[#This Row],[SubGroup]],Product_Structure[Subgroup],0)),"")</f>
        <v>HandHeld (electric, battery) + spare parts</v>
      </c>
      <c r="E63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4" s="113" t="str">
        <f>IFERROR(INDEX(Product_Structure[Product group],MATCH(Товары[[#This Row],[SubGroup]],Product_Structure[Subgroup],0)),"")</f>
        <v>HET_P</v>
      </c>
      <c r="G634" s="113" t="str">
        <f>IFERROR(INDEX(Product_Structure[Product group name ENG],MATCH(Товары[[#This Row],[SubGroup]],Product_Structure[Subgroup],0)),"")</f>
        <v>Handheld, Battery, Trimmer/ Brushcutter</v>
      </c>
      <c r="H634" s="113" t="str">
        <f>IFERROR(INDEX(Product_Structure[Generic Name (long)3],MATCH(Товары[[#This Row],[SubGroup]],Product_Structure[Subgroup],0)),"")</f>
        <v>Триммеры аккумуляторные</v>
      </c>
      <c r="I634" s="36">
        <v>9322</v>
      </c>
      <c r="J634" s="36" t="str">
        <f>IFERROR(INDEX(Product_Structure[Generic Name (long)],MATCH(Товары[[#This Row],[SubGroup]],Product_Structure[Subgroup],0)),"")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Row],[SubGroup]],DIY!$B:$C,2,FALSE),0)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3" t="str">
        <f>IFERROR(INDEX(Product_Structure[SuperCategory],MATCH(Товары[[#This Row],[SubGroup]],Product_Structure[Subgroup],0)),"")</f>
        <v>H</v>
      </c>
      <c r="D635" s="113" t="str">
        <f>IFERROR(INDEX(Product_Structure[SuperCategory Name ENG],MATCH(Товары[[#This Row],[SubGroup]],Product_Structure[Subgroup],0)),"")</f>
        <v>HandHeld (electric, battery) + spare parts</v>
      </c>
      <c r="E63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5" s="113" t="str">
        <f>IFERROR(INDEX(Product_Structure[Product group],MATCH(Товары[[#This Row],[SubGroup]],Product_Structure[Subgroup],0)),"")</f>
        <v>HET_P</v>
      </c>
      <c r="G635" s="113" t="str">
        <f>IFERROR(INDEX(Product_Structure[Product group name ENG],MATCH(Товары[[#This Row],[SubGroup]],Product_Structure[Subgroup],0)),"")</f>
        <v>Handheld, Battery, Trimmer/ Brushcutter</v>
      </c>
      <c r="H635" s="113" t="str">
        <f>IFERROR(INDEX(Product_Structure[Generic Name (long)3],MATCH(Товары[[#This Row],[SubGroup]],Product_Structure[Subgroup],0)),"")</f>
        <v>Триммеры аккумуляторные</v>
      </c>
      <c r="I635" s="36">
        <v>9322</v>
      </c>
      <c r="J635" s="36" t="str">
        <f>IFERROR(INDEX(Product_Structure[Generic Name (long)],MATCH(Товары[[#This Row],[SubGroup]],Product_Structure[Subgroup],0)),"")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Row],[SubGroup]],DIY!$B:$C,2,FALSE),0)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3" t="str">
        <f>IFERROR(INDEX(Product_Structure[SuperCategory],MATCH(Товары[[#This Row],[SubGroup]],Product_Structure[Subgroup],0)),"")</f>
        <v>H</v>
      </c>
      <c r="D636" s="113" t="str">
        <f>IFERROR(INDEX(Product_Structure[SuperCategory Name ENG],MATCH(Товары[[#This Row],[SubGroup]],Product_Structure[Subgroup],0)),"")</f>
        <v>HandHeld (electric, battery) + spare parts</v>
      </c>
      <c r="E636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6" s="113" t="str">
        <f>IFERROR(INDEX(Product_Structure[Product group],MATCH(Товары[[#This Row],[SubGroup]],Product_Structure[Subgroup],0)),"")</f>
        <v>HET_P</v>
      </c>
      <c r="G636" s="113" t="str">
        <f>IFERROR(INDEX(Product_Structure[Product group name ENG],MATCH(Товары[[#This Row],[SubGroup]],Product_Structure[Subgroup],0)),"")</f>
        <v>Handheld, Battery, Trimmer/ Brushcutter</v>
      </c>
      <c r="H636" s="113" t="str">
        <f>IFERROR(INDEX(Product_Structure[Generic Name (long)3],MATCH(Товары[[#This Row],[SubGroup]],Product_Structure[Subgroup],0)),"")</f>
        <v>Триммеры аккумуляторные</v>
      </c>
      <c r="I636" s="36">
        <v>9322</v>
      </c>
      <c r="J636" s="36" t="str">
        <f>IFERROR(INDEX(Product_Structure[Generic Name (long)],MATCH(Товары[[#This Row],[SubGroup]],Product_Structure[Subgroup],0)),"")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Row],[SubGroup]],DIY!$B:$C,2,FALSE),0)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3" t="str">
        <f>IFERROR(INDEX(Product_Structure[SuperCategory],MATCH(Товары[[#This Row],[SubGroup]],Product_Structure[Subgroup],0)),"")</f>
        <v>H</v>
      </c>
      <c r="D637" s="113" t="str">
        <f>IFERROR(INDEX(Product_Structure[SuperCategory Name ENG],MATCH(Товары[[#This Row],[SubGroup]],Product_Structure[Subgroup],0)),"")</f>
        <v>HandHeld (electric, battery) + spare parts</v>
      </c>
      <c r="E637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7" s="113" t="str">
        <f>IFERROR(INDEX(Product_Structure[Product group],MATCH(Товары[[#This Row],[SubGroup]],Product_Structure[Subgroup],0)),"")</f>
        <v>HET_P</v>
      </c>
      <c r="G637" s="113" t="str">
        <f>IFERROR(INDEX(Product_Structure[Product group name ENG],MATCH(Товары[[#This Row],[SubGroup]],Product_Structure[Subgroup],0)),"")</f>
        <v>Handheld, Battery, Trimmer/ Brushcutter</v>
      </c>
      <c r="H637" s="113" t="str">
        <f>IFERROR(INDEX(Product_Structure[Generic Name (long)3],MATCH(Товары[[#This Row],[SubGroup]],Product_Structure[Subgroup],0)),"")</f>
        <v>Триммеры аккумуляторные</v>
      </c>
      <c r="I637" s="36">
        <v>9322</v>
      </c>
      <c r="J637" s="36" t="str">
        <f>IFERROR(INDEX(Product_Structure[Generic Name (long)],MATCH(Товары[[#This Row],[SubGroup]],Product_Structure[Subgroup],0)),"")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Row],[SubGroup]],DIY!$B:$C,2,FALSE),0)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3" t="str">
        <f>IFERROR(INDEX(Product_Structure[SuperCategory],MATCH(Товары[[#This Row],[SubGroup]],Product_Structure[Subgroup],0)),"")</f>
        <v>H</v>
      </c>
      <c r="D638" s="113" t="str">
        <f>IFERROR(INDEX(Product_Structure[SuperCategory Name ENG],MATCH(Товары[[#This Row],[SubGroup]],Product_Structure[Subgroup],0)),"")</f>
        <v>HandHeld (electric, battery) + spare parts</v>
      </c>
      <c r="E638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8" s="113" t="str">
        <f>IFERROR(INDEX(Product_Structure[Product group],MATCH(Товары[[#This Row],[SubGroup]],Product_Structure[Subgroup],0)),"")</f>
        <v>HET_P</v>
      </c>
      <c r="G638" s="113" t="str">
        <f>IFERROR(INDEX(Product_Structure[Product group name ENG],MATCH(Товары[[#This Row],[SubGroup]],Product_Structure[Subgroup],0)),"")</f>
        <v>Handheld, Battery, Trimmer/ Brushcutter</v>
      </c>
      <c r="H638" s="113" t="str">
        <f>IFERROR(INDEX(Product_Structure[Generic Name (long)3],MATCH(Товары[[#This Row],[SubGroup]],Product_Structure[Subgroup],0)),"")</f>
        <v>Триммеры аккумуляторные</v>
      </c>
      <c r="I638" s="36">
        <v>9322</v>
      </c>
      <c r="J638" s="36" t="str">
        <f>IFERROR(INDEX(Product_Structure[Generic Name (long)],MATCH(Товары[[#This Row],[SubGroup]],Product_Structure[Subgroup],0)),"")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Row],[SubGroup]],DIY!$B:$C,2,FALSE),0)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3" t="str">
        <f>IFERROR(INDEX(Product_Structure[SuperCategory],MATCH(Товары[[#This Row],[SubGroup]],Product_Structure[Subgroup],0)),"")</f>
        <v>H</v>
      </c>
      <c r="D639" s="113" t="str">
        <f>IFERROR(INDEX(Product_Structure[SuperCategory Name ENG],MATCH(Товары[[#This Row],[SubGroup]],Product_Structure[Subgroup],0)),"")</f>
        <v>HandHeld (electric, battery) + spare parts</v>
      </c>
      <c r="E639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39" s="113" t="str">
        <f>IFERROR(INDEX(Product_Structure[Product group],MATCH(Товары[[#This Row],[SubGroup]],Product_Structure[Subgroup],0)),"")</f>
        <v>HET_P</v>
      </c>
      <c r="G639" s="113" t="str">
        <f>IFERROR(INDEX(Product_Structure[Product group name ENG],MATCH(Товары[[#This Row],[SubGroup]],Product_Structure[Subgroup],0)),"")</f>
        <v>Handheld, Battery, Trimmer/ Brushcutter</v>
      </c>
      <c r="H639" s="113" t="str">
        <f>IFERROR(INDEX(Product_Structure[Generic Name (long)3],MATCH(Товары[[#This Row],[SubGroup]],Product_Structure[Subgroup],0)),"")</f>
        <v>Триммеры аккумуляторные</v>
      </c>
      <c r="I639" s="36">
        <v>9322</v>
      </c>
      <c r="J639" s="36" t="str">
        <f>IFERROR(INDEX(Product_Structure[Generic Name (long)],MATCH(Товары[[#This Row],[SubGroup]],Product_Structure[Subgroup],0)),"")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Row],[SubGroup]],DIY!$B:$C,2,FALSE),0)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3" t="str">
        <f>IFERROR(INDEX(Product_Structure[SuperCategory],MATCH(Товары[[#This Row],[SubGroup]],Product_Structure[Subgroup],0)),"")</f>
        <v>H</v>
      </c>
      <c r="D640" s="113" t="str">
        <f>IFERROR(INDEX(Product_Structure[SuperCategory Name ENG],MATCH(Товары[[#This Row],[SubGroup]],Product_Structure[Subgroup],0)),"")</f>
        <v>HandHeld (electric, battery) + spare parts</v>
      </c>
      <c r="E640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40" s="113" t="str">
        <f>IFERROR(INDEX(Product_Structure[Product group],MATCH(Товары[[#This Row],[SubGroup]],Product_Structure[Subgroup],0)),"")</f>
        <v>HET_P</v>
      </c>
      <c r="G640" s="113" t="str">
        <f>IFERROR(INDEX(Product_Structure[Product group name ENG],MATCH(Товары[[#This Row],[SubGroup]],Product_Structure[Subgroup],0)),"")</f>
        <v>Handheld, Battery, Trimmer/ Brushcutter</v>
      </c>
      <c r="H640" s="113" t="str">
        <f>IFERROR(INDEX(Product_Structure[Generic Name (long)3],MATCH(Товары[[#This Row],[SubGroup]],Product_Structure[Subgroup],0)),"")</f>
        <v>Триммеры аккумуляторные</v>
      </c>
      <c r="I640" s="36">
        <v>9322</v>
      </c>
      <c r="J640" s="36" t="str">
        <f>IFERROR(INDEX(Product_Structure[Generic Name (long)],MATCH(Товары[[#This Row],[SubGroup]],Product_Structure[Subgroup],0)),"")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Row],[SubGroup]],DIY!$B:$C,2,FALSE),0)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3" t="str">
        <f>IFERROR(INDEX(Product_Structure[SuperCategory],MATCH(Товары[[#This Row],[SubGroup]],Product_Structure[Subgroup],0)),"")</f>
        <v>H</v>
      </c>
      <c r="D641" s="113" t="str">
        <f>IFERROR(INDEX(Product_Structure[SuperCategory Name ENG],MATCH(Товары[[#This Row],[SubGroup]],Product_Structure[Subgroup],0)),"")</f>
        <v>HandHeld (electric, battery) + spare parts</v>
      </c>
      <c r="E641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41" s="113" t="str">
        <f>IFERROR(INDEX(Product_Structure[Product group],MATCH(Товары[[#This Row],[SubGroup]],Product_Structure[Subgroup],0)),"")</f>
        <v>HET_P</v>
      </c>
      <c r="G641" s="113" t="str">
        <f>IFERROR(INDEX(Product_Structure[Product group name ENG],MATCH(Товары[[#This Row],[SubGroup]],Product_Structure[Subgroup],0)),"")</f>
        <v>Handheld, Battery, Trimmer/ Brushcutter</v>
      </c>
      <c r="H641" s="113" t="str">
        <f>IFERROR(INDEX(Product_Structure[Generic Name (long)3],MATCH(Товары[[#This Row],[SubGroup]],Product_Structure[Subgroup],0)),"")</f>
        <v>Триммеры аккумуляторные</v>
      </c>
      <c r="I641" s="36">
        <v>9322</v>
      </c>
      <c r="J641" s="36" t="str">
        <f>IFERROR(INDEX(Product_Structure[Generic Name (long)],MATCH(Товары[[#This Row],[SubGroup]],Product_Structure[Subgroup],0)),"")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Row],[SubGroup]],DIY!$B:$C,2,FALSE),0)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3" t="str">
        <f>IFERROR(INDEX(Product_Structure[SuperCategory],MATCH(Товары[[#This Row],[SubGroup]],Product_Structure[Subgroup],0)),"")</f>
        <v>H</v>
      </c>
      <c r="D642" s="113" t="str">
        <f>IFERROR(INDEX(Product_Structure[SuperCategory Name ENG],MATCH(Товары[[#This Row],[SubGroup]],Product_Structure[Subgroup],0)),"")</f>
        <v>HandHeld (electric, battery) + spare parts</v>
      </c>
      <c r="E642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42" s="113" t="str">
        <f>IFERROR(INDEX(Product_Structure[Product group],MATCH(Товары[[#This Row],[SubGroup]],Product_Structure[Subgroup],0)),"")</f>
        <v>HET_P</v>
      </c>
      <c r="G642" s="113" t="str">
        <f>IFERROR(INDEX(Product_Structure[Product group name ENG],MATCH(Товары[[#This Row],[SubGroup]],Product_Structure[Subgroup],0)),"")</f>
        <v>Handheld, Battery, Trimmer/ Brushcutter</v>
      </c>
      <c r="H642" s="113" t="str">
        <f>IFERROR(INDEX(Product_Structure[Generic Name (long)3],MATCH(Товары[[#This Row],[SubGroup]],Product_Structure[Subgroup],0)),"")</f>
        <v>Триммеры аккумуляторные</v>
      </c>
      <c r="I642" s="36">
        <v>9322</v>
      </c>
      <c r="J642" s="36" t="str">
        <f>IFERROR(INDEX(Product_Structure[Generic Name (long)],MATCH(Товары[[#This Row],[SubGroup]],Product_Structure[Subgroup],0)),"")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Row],[SubGroup]],DIY!$B:$C,2,FALSE),0)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3" t="str">
        <f>IFERROR(INDEX(Product_Structure[SuperCategory],MATCH(Товары[[#This Row],[SubGroup]],Product_Structure[Subgroup],0)),"")</f>
        <v>H</v>
      </c>
      <c r="D643" s="113" t="str">
        <f>IFERROR(INDEX(Product_Structure[SuperCategory Name ENG],MATCH(Товары[[#This Row],[SubGroup]],Product_Structure[Subgroup],0)),"")</f>
        <v>HandHeld (electric, battery) + spare parts</v>
      </c>
      <c r="E643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43" s="113" t="str">
        <f>IFERROR(INDEX(Product_Structure[Product group],MATCH(Товары[[#This Row],[SubGroup]],Product_Structure[Subgroup],0)),"")</f>
        <v>HET_P</v>
      </c>
      <c r="G643" s="113" t="str">
        <f>IFERROR(INDEX(Product_Structure[Product group name ENG],MATCH(Товары[[#This Row],[SubGroup]],Product_Structure[Subgroup],0)),"")</f>
        <v>Handheld, Battery, Trimmer/ Brushcutter</v>
      </c>
      <c r="H643" s="113" t="str">
        <f>IFERROR(INDEX(Product_Structure[Generic Name (long)3],MATCH(Товары[[#This Row],[SubGroup]],Product_Structure[Subgroup],0)),"")</f>
        <v>Триммеры аккумуляторные</v>
      </c>
      <c r="I643" s="36">
        <v>9322</v>
      </c>
      <c r="J643" s="36" t="str">
        <f>IFERROR(INDEX(Product_Structure[Generic Name (long)],MATCH(Товары[[#This Row],[SubGroup]],Product_Structure[Subgroup],0)),"")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Row],[SubGroup]],DIY!$B:$C,2,FALSE),0)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3" t="str">
        <f>IFERROR(INDEX(Product_Structure[SuperCategory],MATCH(Товары[[#This Row],[SubGroup]],Product_Structure[Subgroup],0)),"")</f>
        <v>H</v>
      </c>
      <c r="D644" s="113" t="str">
        <f>IFERROR(INDEX(Product_Structure[SuperCategory Name ENG],MATCH(Товары[[#This Row],[SubGroup]],Product_Structure[Subgroup],0)),"")</f>
        <v>HandHeld (electric, battery) + spare parts</v>
      </c>
      <c r="E644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44" s="113" t="str">
        <f>IFERROR(INDEX(Product_Structure[Product group],MATCH(Товары[[#This Row],[SubGroup]],Product_Structure[Subgroup],0)),"")</f>
        <v>HET_P</v>
      </c>
      <c r="G644" s="113" t="str">
        <f>IFERROR(INDEX(Product_Structure[Product group name ENG],MATCH(Товары[[#This Row],[SubGroup]],Product_Structure[Subgroup],0)),"")</f>
        <v>Handheld, Battery, Trimmer/ Brushcutter</v>
      </c>
      <c r="H644" s="113" t="str">
        <f>IFERROR(INDEX(Product_Structure[Generic Name (long)3],MATCH(Товары[[#This Row],[SubGroup]],Product_Structure[Subgroup],0)),"")</f>
        <v>Триммеры аккумуляторные</v>
      </c>
      <c r="I644" s="36">
        <v>9322</v>
      </c>
      <c r="J644" s="36" t="str">
        <f>IFERROR(INDEX(Product_Structure[Generic Name (long)],MATCH(Товары[[#This Row],[SubGroup]],Product_Structure[Subgroup],0)),"")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Row],[SubGroup]],DIY!$B:$C,2,FALSE),0)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3" t="str">
        <f>IFERROR(INDEX(Product_Structure[SuperCategory],MATCH(Товары[[#This Row],[SubGroup]],Product_Structure[Subgroup],0)),"")</f>
        <v>H</v>
      </c>
      <c r="D645" s="113" t="str">
        <f>IFERROR(INDEX(Product_Structure[SuperCategory Name ENG],MATCH(Товары[[#This Row],[SubGroup]],Product_Structure[Subgroup],0)),"")</f>
        <v>HandHeld (electric, battery) + spare parts</v>
      </c>
      <c r="E645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45" s="113" t="str">
        <f>IFERROR(INDEX(Product_Structure[Product group],MATCH(Товары[[#This Row],[SubGroup]],Product_Structure[Subgroup],0)),"")</f>
        <v>HSP_C</v>
      </c>
      <c r="G645" s="113" t="str">
        <f>IFERROR(INDEX(Product_Structure[Product group name ENG],MATCH(Товары[[#This Row],[SubGroup]],Product_Structure[Subgroup],0)),"")</f>
        <v>Handheld, Spare Parts</v>
      </c>
      <c r="H645" s="113" t="str">
        <f>IFERROR(INDEX(Product_Structure[Generic Name (long)3],MATCH(Товары[[#This Row],[SubGroup]],Product_Structure[Subgroup],0)),"")</f>
        <v>Наборы аксессуаров</v>
      </c>
      <c r="I645" s="36">
        <v>2603</v>
      </c>
      <c r="J645" s="36" t="str">
        <f>IFERROR(INDEX(Product_Structure[Generic Name (long)],MATCH(Товары[[#This Row],[SubGroup]],Product_Structure[Subgroup],0)),"")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Row],[SubGroup]],DIY!$B:$C,2,FALSE),0)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3" t="str">
        <f>IFERROR(INDEX(Product_Structure[SuperCategory],MATCH(Товары[[#This Row],[SubGroup]],Product_Structure[Subgroup],0)),"")</f>
        <v>H</v>
      </c>
      <c r="D646" s="113" t="str">
        <f>IFERROR(INDEX(Product_Structure[SuperCategory Name ENG],MATCH(Товары[[#This Row],[SubGroup]],Product_Structure[Subgroup],0)),"")</f>
        <v>HandHeld (electric, battery) + spare parts</v>
      </c>
      <c r="E646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46" s="113" t="str">
        <f>IFERROR(INDEX(Product_Structure[Product group],MATCH(Товары[[#This Row],[SubGroup]],Product_Structure[Subgroup],0)),"")</f>
        <v>HSP_C</v>
      </c>
      <c r="G646" s="113" t="str">
        <f>IFERROR(INDEX(Product_Structure[Product group name ENG],MATCH(Товары[[#This Row],[SubGroup]],Product_Structure[Subgroup],0)),"")</f>
        <v>Handheld, Spare Parts</v>
      </c>
      <c r="H646" s="113" t="str">
        <f>IFERROR(INDEX(Product_Structure[Generic Name (long)3],MATCH(Товары[[#This Row],[SubGroup]],Product_Structure[Subgroup],0)),"")</f>
        <v>Наборы аксессуаров</v>
      </c>
      <c r="I646" s="36">
        <v>2603</v>
      </c>
      <c r="J646" s="36" t="str">
        <f>IFERROR(INDEX(Product_Structure[Generic Name (long)],MATCH(Товары[[#This Row],[SubGroup]],Product_Structure[Subgroup],0)),"")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Row],[SubGroup]],DIY!$B:$C,2,FALSE),0)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3" t="str">
        <f>IFERROR(INDEX(Product_Structure[SuperCategory],MATCH(Товары[[#This Row],[SubGroup]],Product_Structure[Subgroup],0)),"")</f>
        <v>H</v>
      </c>
      <c r="D647" s="113" t="str">
        <f>IFERROR(INDEX(Product_Structure[SuperCategory Name ENG],MATCH(Товары[[#This Row],[SubGroup]],Product_Structure[Subgroup],0)),"")</f>
        <v>HandHeld (electric, battery) + spare parts</v>
      </c>
      <c r="E647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47" s="113" t="str">
        <f>IFERROR(INDEX(Product_Structure[Product group],MATCH(Товары[[#This Row],[SubGroup]],Product_Structure[Subgroup],0)),"")</f>
        <v>HSP_C</v>
      </c>
      <c r="G647" s="113" t="str">
        <f>IFERROR(INDEX(Product_Structure[Product group name ENG],MATCH(Товары[[#This Row],[SubGroup]],Product_Structure[Subgroup],0)),"")</f>
        <v>Handheld, Spare Parts</v>
      </c>
      <c r="H647" s="113" t="str">
        <f>IFERROR(INDEX(Product_Structure[Generic Name (long)3],MATCH(Товары[[#This Row],[SubGroup]],Product_Structure[Subgroup],0)),"")</f>
        <v>Наборы аксессуаров</v>
      </c>
      <c r="I647" s="36">
        <v>2603</v>
      </c>
      <c r="J647" s="36" t="str">
        <f>IFERROR(INDEX(Product_Structure[Generic Name (long)],MATCH(Товары[[#This Row],[SubGroup]],Product_Structure[Subgroup],0)),"")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Row],[SubGroup]],DIY!$B:$C,2,FALSE),0)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3" t="str">
        <f>IFERROR(INDEX(Product_Structure[SuperCategory],MATCH(Товары[[#This Row],[SubGroup]],Product_Structure[Subgroup],0)),"")</f>
        <v>H</v>
      </c>
      <c r="D648" s="113" t="str">
        <f>IFERROR(INDEX(Product_Structure[SuperCategory Name ENG],MATCH(Товары[[#This Row],[SubGroup]],Product_Structure[Subgroup],0)),"")</f>
        <v>HandHeld (electric, battery) + spare parts</v>
      </c>
      <c r="E648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48" s="113" t="str">
        <f>IFERROR(INDEX(Product_Structure[Product group],MATCH(Товары[[#This Row],[SubGroup]],Product_Structure[Subgroup],0)),"")</f>
        <v>HSP_C</v>
      </c>
      <c r="G648" s="113" t="str">
        <f>IFERROR(INDEX(Product_Structure[Product group name ENG],MATCH(Товары[[#This Row],[SubGroup]],Product_Structure[Subgroup],0)),"")</f>
        <v>Handheld, Spare Parts</v>
      </c>
      <c r="H648" s="113" t="str">
        <f>IFERROR(INDEX(Product_Structure[Generic Name (long)3],MATCH(Товары[[#This Row],[SubGroup]],Product_Structure[Subgroup],0)),"")</f>
        <v>Наборы аксессуаров</v>
      </c>
      <c r="I648" s="36">
        <v>2603</v>
      </c>
      <c r="J648" s="36" t="str">
        <f>IFERROR(INDEX(Product_Structure[Generic Name (long)],MATCH(Товары[[#This Row],[SubGroup]],Product_Structure[Subgroup],0)),"")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Row],[SubGroup]],DIY!$B:$C,2,FALSE),0)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3" t="str">
        <f>IFERROR(INDEX(Product_Structure[SuperCategory],MATCH(Товары[[#This Row],[SubGroup]],Product_Structure[Subgroup],0)),"")</f>
        <v>H</v>
      </c>
      <c r="D649" s="113" t="str">
        <f>IFERROR(INDEX(Product_Structure[SuperCategory Name ENG],MATCH(Товары[[#This Row],[SubGroup]],Product_Structure[Subgroup],0)),"")</f>
        <v>HandHeld (electric, battery) + spare parts</v>
      </c>
      <c r="E649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49" s="113" t="str">
        <f>IFERROR(INDEX(Product_Structure[Product group],MATCH(Товары[[#This Row],[SubGroup]],Product_Structure[Subgroup],0)),"")</f>
        <v>HSP_C</v>
      </c>
      <c r="G649" s="113" t="str">
        <f>IFERROR(INDEX(Product_Structure[Product group name ENG],MATCH(Товары[[#This Row],[SubGroup]],Product_Structure[Subgroup],0)),"")</f>
        <v>Handheld, Spare Parts</v>
      </c>
      <c r="H649" s="113" t="str">
        <f>IFERROR(INDEX(Product_Structure[Generic Name (long)3],MATCH(Товары[[#This Row],[SubGroup]],Product_Structure[Subgroup],0)),"")</f>
        <v>Сменные цепи</v>
      </c>
      <c r="I649" s="36">
        <v>2600</v>
      </c>
      <c r="J649" s="36" t="str">
        <f>IFERROR(INDEX(Product_Structure[Generic Name (long)],MATCH(Товары[[#This Row],[SubGroup]],Product_Structure[Subgroup],0)),"")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Row],[SubGroup]],DIY!$B:$C,2,FALSE),0)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3" t="str">
        <f>IFERROR(INDEX(Product_Structure[SuperCategory],MATCH(Товары[[#This Row],[SubGroup]],Product_Structure[Subgroup],0)),"")</f>
        <v>H</v>
      </c>
      <c r="D650" s="113" t="str">
        <f>IFERROR(INDEX(Product_Structure[SuperCategory Name ENG],MATCH(Товары[[#This Row],[SubGroup]],Product_Structure[Subgroup],0)),"")</f>
        <v>HandHeld (electric, battery) + spare parts</v>
      </c>
      <c r="E650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0" s="113" t="str">
        <f>IFERROR(INDEX(Product_Structure[Product group],MATCH(Товары[[#This Row],[SubGroup]],Product_Structure[Subgroup],0)),"")</f>
        <v>HSP_C</v>
      </c>
      <c r="G650" s="113" t="str">
        <f>IFERROR(INDEX(Product_Structure[Product group name ENG],MATCH(Товары[[#This Row],[SubGroup]],Product_Structure[Subgroup],0)),"")</f>
        <v>Handheld, Spare Parts</v>
      </c>
      <c r="H650" s="113" t="str">
        <f>IFERROR(INDEX(Product_Structure[Generic Name (long)3],MATCH(Товары[[#This Row],[SubGroup]],Product_Structure[Subgroup],0)),"")</f>
        <v>Сменные цепи</v>
      </c>
      <c r="I650" s="36">
        <v>2600</v>
      </c>
      <c r="J650" s="36" t="str">
        <f>IFERROR(INDEX(Product_Structure[Generic Name (long)],MATCH(Товары[[#This Row],[SubGroup]],Product_Structure[Subgroup],0)),"")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Row],[SubGroup]],DIY!$B:$C,2,FALSE),0)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3" t="str">
        <f>IFERROR(INDEX(Product_Structure[SuperCategory],MATCH(Товары[[#This Row],[SubGroup]],Product_Structure[Subgroup],0)),"")</f>
        <v>H</v>
      </c>
      <c r="D651" s="113" t="str">
        <f>IFERROR(INDEX(Product_Structure[SuperCategory Name ENG],MATCH(Товары[[#This Row],[SubGroup]],Product_Structure[Subgroup],0)),"")</f>
        <v>HandHeld (electric, battery) + spare parts</v>
      </c>
      <c r="E651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1" s="113" t="str">
        <f>IFERROR(INDEX(Product_Structure[Product group],MATCH(Товары[[#This Row],[SubGroup]],Product_Structure[Subgroup],0)),"")</f>
        <v>HSP_C</v>
      </c>
      <c r="G651" s="113" t="str">
        <f>IFERROR(INDEX(Product_Structure[Product group name ENG],MATCH(Товары[[#This Row],[SubGroup]],Product_Structure[Subgroup],0)),"")</f>
        <v>Handheld, Spare Parts</v>
      </c>
      <c r="H651" s="113" t="str">
        <f>IFERROR(INDEX(Product_Structure[Generic Name (long)3],MATCH(Товары[[#This Row],[SubGroup]],Product_Structure[Subgroup],0)),"")</f>
        <v>Сумки для хранения аксессуаров для садовой техники</v>
      </c>
      <c r="I651" s="36">
        <v>2602</v>
      </c>
      <c r="J651" s="36" t="str">
        <f>IFERROR(INDEX(Product_Structure[Generic Name (long)],MATCH(Товары[[#This Row],[SubGroup]],Product_Structure[Subgroup],0)),"")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Row],[SubGroup]],DIY!$B:$C,2,FALSE),0)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3" t="str">
        <f>IFERROR(INDEX(Product_Structure[SuperCategory],MATCH(Товары[[#This Row],[SubGroup]],Product_Structure[Subgroup],0)),"")</f>
        <v>H</v>
      </c>
      <c r="D652" s="113" t="str">
        <f>IFERROR(INDEX(Product_Structure[SuperCategory Name ENG],MATCH(Товары[[#This Row],[SubGroup]],Product_Structure[Subgroup],0)),"")</f>
        <v>HandHeld (electric, battery) + spare parts</v>
      </c>
      <c r="E652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2" s="113" t="str">
        <f>IFERROR(INDEX(Product_Structure[Product group],MATCH(Товары[[#This Row],[SubGroup]],Product_Structure[Subgroup],0)),"")</f>
        <v>HSP_C</v>
      </c>
      <c r="G652" s="113" t="str">
        <f>IFERROR(INDEX(Product_Structure[Product group name ENG],MATCH(Товары[[#This Row],[SubGroup]],Product_Structure[Subgroup],0)),"")</f>
        <v>Handheld, Spare Parts</v>
      </c>
      <c r="H652" s="113" t="str">
        <f>IFERROR(INDEX(Product_Structure[Generic Name (long)3],MATCH(Товары[[#This Row],[SubGroup]],Product_Structure[Subgroup],0)),"")</f>
        <v>Сумки для хранения аксессуаров для садовой техники</v>
      </c>
      <c r="I652" s="36">
        <v>2602</v>
      </c>
      <c r="J652" s="36" t="str">
        <f>IFERROR(INDEX(Product_Structure[Generic Name (long)],MATCH(Товары[[#This Row],[SubGroup]],Product_Structure[Subgroup],0)),"")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Row],[SubGroup]],DIY!$B:$C,2,FALSE),0)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3" t="str">
        <f>IFERROR(INDEX(Product_Structure[SuperCategory],MATCH(Товары[[#This Row],[SubGroup]],Product_Structure[Subgroup],0)),"")</f>
        <v>H</v>
      </c>
      <c r="D653" s="113" t="str">
        <f>IFERROR(INDEX(Product_Structure[SuperCategory Name ENG],MATCH(Товары[[#This Row],[SubGroup]],Product_Structure[Subgroup],0)),"")</f>
        <v>HandHeld (electric, battery) + spare parts</v>
      </c>
      <c r="E653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3" s="113" t="str">
        <f>IFERROR(INDEX(Product_Structure[Product group],MATCH(Товары[[#This Row],[SubGroup]],Product_Structure[Subgroup],0)),"")</f>
        <v>HSP_C</v>
      </c>
      <c r="G653" s="113" t="str">
        <f>IFERROR(INDEX(Product_Structure[Product group name ENG],MATCH(Товары[[#This Row],[SubGroup]],Product_Structure[Subgroup],0)),"")</f>
        <v>Handheld, Spare Parts</v>
      </c>
      <c r="H653" s="113" t="str">
        <f>IFERROR(INDEX(Product_Structure[Generic Name (long)3],MATCH(Товары[[#This Row],[SubGroup]],Product_Structure[Subgroup],0)),"")</f>
        <v>Сменные цепи</v>
      </c>
      <c r="I653" s="36">
        <v>2600</v>
      </c>
      <c r="J653" s="36" t="str">
        <f>IFERROR(INDEX(Product_Structure[Generic Name (long)],MATCH(Товары[[#This Row],[SubGroup]],Product_Structure[Subgroup],0)),"")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Row],[SubGroup]],DIY!$B:$C,2,FALSE),0)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3" t="str">
        <f>IFERROR(INDEX(Product_Structure[SuperCategory],MATCH(Товары[[#This Row],[SubGroup]],Product_Structure[Subgroup],0)),"")</f>
        <v>H</v>
      </c>
      <c r="D654" s="113" t="str">
        <f>IFERROR(INDEX(Product_Structure[SuperCategory Name ENG],MATCH(Товары[[#This Row],[SubGroup]],Product_Structure[Subgroup],0)),"")</f>
        <v>HandHeld (electric, battery) + spare parts</v>
      </c>
      <c r="E654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4" s="113" t="str">
        <f>IFERROR(INDEX(Product_Structure[Product group],MATCH(Товары[[#This Row],[SubGroup]],Product_Structure[Subgroup],0)),"")</f>
        <v>HSP_C</v>
      </c>
      <c r="G654" s="113" t="str">
        <f>IFERROR(INDEX(Product_Structure[Product group name ENG],MATCH(Товары[[#This Row],[SubGroup]],Product_Structure[Subgroup],0)),"")</f>
        <v>Handheld, Spare Parts</v>
      </c>
      <c r="H654" s="113" t="str">
        <f>IFERROR(INDEX(Product_Structure[Generic Name (long)3],MATCH(Товары[[#This Row],[SubGroup]],Product_Structure[Subgroup],0)),"")</f>
        <v>Сменные катушки с леской</v>
      </c>
      <c r="I654" s="36">
        <v>2601</v>
      </c>
      <c r="J654" s="36" t="str">
        <f>IFERROR(INDEX(Product_Structure[Generic Name (long)],MATCH(Товары[[#This Row],[SubGroup]],Product_Structure[Subgroup],0)),"")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Row],[SubGroup]],DIY!$B:$C,2,FALSE),0)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3" t="str">
        <f>IFERROR(INDEX(Product_Structure[SuperCategory],MATCH(Товары[[#This Row],[SubGroup]],Product_Structure[Subgroup],0)),"")</f>
        <v>H</v>
      </c>
      <c r="D655" s="113" t="str">
        <f>IFERROR(INDEX(Product_Structure[SuperCategory Name ENG],MATCH(Товары[[#This Row],[SubGroup]],Product_Structure[Subgroup],0)),"")</f>
        <v>HandHeld (electric, battery) + spare parts</v>
      </c>
      <c r="E655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5" s="113" t="str">
        <f>IFERROR(INDEX(Product_Structure[Product group],MATCH(Товары[[#This Row],[SubGroup]],Product_Structure[Subgroup],0)),"")</f>
        <v>HSP_C</v>
      </c>
      <c r="G655" s="113" t="str">
        <f>IFERROR(INDEX(Product_Structure[Product group name ENG],MATCH(Товары[[#This Row],[SubGroup]],Product_Structure[Subgroup],0)),"")</f>
        <v>Handheld, Spare Parts</v>
      </c>
      <c r="H655" s="113" t="str">
        <f>IFERROR(INDEX(Product_Structure[Generic Name (long)3],MATCH(Товары[[#This Row],[SubGroup]],Product_Structure[Subgroup],0)),"")</f>
        <v>Сменные катушки с леской</v>
      </c>
      <c r="I655" s="36">
        <v>2601</v>
      </c>
      <c r="J655" s="36" t="str">
        <f>IFERROR(INDEX(Product_Structure[Generic Name (long)],MATCH(Товары[[#This Row],[SubGroup]],Product_Structure[Subgroup],0)),"")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Row],[SubGroup]],DIY!$B:$C,2,FALSE),0)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3" t="str">
        <f>IFERROR(INDEX(Product_Structure[SuperCategory],MATCH(Товары[[#This Row],[SubGroup]],Product_Structure[Subgroup],0)),"")</f>
        <v>H</v>
      </c>
      <c r="D656" s="113" t="str">
        <f>IFERROR(INDEX(Product_Structure[SuperCategory Name ENG],MATCH(Товары[[#This Row],[SubGroup]],Product_Structure[Subgroup],0)),"")</f>
        <v>HandHeld (electric, battery) + spare parts</v>
      </c>
      <c r="E656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6" s="113" t="str">
        <f>IFERROR(INDEX(Product_Structure[Product group],MATCH(Товары[[#This Row],[SubGroup]],Product_Structure[Subgroup],0)),"")</f>
        <v>HSP_C</v>
      </c>
      <c r="G656" s="113" t="str">
        <f>IFERROR(INDEX(Product_Structure[Product group name ENG],MATCH(Товары[[#This Row],[SubGroup]],Product_Structure[Subgroup],0)),"")</f>
        <v>Handheld, Spare Parts</v>
      </c>
      <c r="H656" s="113" t="str">
        <f>IFERROR(INDEX(Product_Structure[Generic Name (long)3],MATCH(Товары[[#This Row],[SubGroup]],Product_Structure[Subgroup],0)),"")</f>
        <v>Сменные катушки с леской</v>
      </c>
      <c r="I656" s="36">
        <v>2601</v>
      </c>
      <c r="J656" s="36" t="str">
        <f>IFERROR(INDEX(Product_Structure[Generic Name (long)],MATCH(Товары[[#This Row],[SubGroup]],Product_Structure[Subgroup],0)),"")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Row],[SubGroup]],DIY!$B:$C,2,FALSE),0)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3" t="str">
        <f>IFERROR(INDEX(Product_Structure[SuperCategory],MATCH(Товары[[#This Row],[SubGroup]],Product_Structure[Subgroup],0)),"")</f>
        <v>H</v>
      </c>
      <c r="D657" s="113" t="str">
        <f>IFERROR(INDEX(Product_Structure[SuperCategory Name ENG],MATCH(Товары[[#This Row],[SubGroup]],Product_Structure[Subgroup],0)),"")</f>
        <v>HandHeld (electric, battery) + spare parts</v>
      </c>
      <c r="E657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7" s="113" t="str">
        <f>IFERROR(INDEX(Product_Structure[Product group],MATCH(Товары[[#This Row],[SubGroup]],Product_Structure[Subgroup],0)),"")</f>
        <v>HSP_C</v>
      </c>
      <c r="G657" s="113" t="str">
        <f>IFERROR(INDEX(Product_Structure[Product group name ENG],MATCH(Товары[[#This Row],[SubGroup]],Product_Structure[Subgroup],0)),"")</f>
        <v>Handheld, Spare Parts</v>
      </c>
      <c r="H657" s="113" t="str">
        <f>IFERROR(INDEX(Product_Structure[Generic Name (long)3],MATCH(Товары[[#This Row],[SubGroup]],Product_Structure[Subgroup],0)),"")</f>
        <v>Сменные катушки с леской</v>
      </c>
      <c r="I657" s="36">
        <v>2601</v>
      </c>
      <c r="J657" s="36" t="str">
        <f>IFERROR(INDEX(Product_Structure[Generic Name (long)],MATCH(Товары[[#This Row],[SubGroup]],Product_Structure[Subgroup],0)),"")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Row],[SubGroup]],DIY!$B:$C,2,FALSE),0)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3" t="str">
        <f>IFERROR(INDEX(Product_Structure[SuperCategory],MATCH(Товары[[#This Row],[SubGroup]],Product_Structure[Subgroup],0)),"")</f>
        <v>H</v>
      </c>
      <c r="D658" s="113" t="str">
        <f>IFERROR(INDEX(Product_Structure[SuperCategory Name ENG],MATCH(Товары[[#This Row],[SubGroup]],Product_Structure[Subgroup],0)),"")</f>
        <v>HandHeld (electric, battery) + spare parts</v>
      </c>
      <c r="E658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8" s="113" t="str">
        <f>IFERROR(INDEX(Product_Structure[Product group],MATCH(Товары[[#This Row],[SubGroup]],Product_Structure[Subgroup],0)),"")</f>
        <v>HSP_C</v>
      </c>
      <c r="G658" s="113" t="str">
        <f>IFERROR(INDEX(Product_Structure[Product group name ENG],MATCH(Товары[[#This Row],[SubGroup]],Product_Structure[Subgroup],0)),"")</f>
        <v>Handheld, Spare Parts</v>
      </c>
      <c r="H658" s="113" t="str">
        <f>IFERROR(INDEX(Product_Structure[Generic Name (long)3],MATCH(Товары[[#This Row],[SubGroup]],Product_Structure[Subgroup],0)),"")</f>
        <v>Сменные катушки с леской</v>
      </c>
      <c r="I658" s="36">
        <v>2601</v>
      </c>
      <c r="J658" s="36" t="str">
        <f>IFERROR(INDEX(Product_Structure[Generic Name (long)],MATCH(Товары[[#This Row],[SubGroup]],Product_Structure[Subgroup],0)),"")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Row],[SubGroup]],DIY!$B:$C,2,FALSE),0)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3" t="str">
        <f>IFERROR(INDEX(Product_Structure[SuperCategory],MATCH(Товары[[#This Row],[SubGroup]],Product_Structure[Subgroup],0)),"")</f>
        <v>H</v>
      </c>
      <c r="D659" s="113" t="str">
        <f>IFERROR(INDEX(Product_Structure[SuperCategory Name ENG],MATCH(Товары[[#This Row],[SubGroup]],Product_Structure[Subgroup],0)),"")</f>
        <v>HandHeld (electric, battery) + spare parts</v>
      </c>
      <c r="E659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59" s="113" t="str">
        <f>IFERROR(INDEX(Product_Structure[Product group],MATCH(Товары[[#This Row],[SubGroup]],Product_Structure[Subgroup],0)),"")</f>
        <v>HSP_C</v>
      </c>
      <c r="G659" s="113" t="str">
        <f>IFERROR(INDEX(Product_Structure[Product group name ENG],MATCH(Товары[[#This Row],[SubGroup]],Product_Structure[Subgroup],0)),"")</f>
        <v>Handheld, Spare Parts</v>
      </c>
      <c r="H659" s="113" t="str">
        <f>IFERROR(INDEX(Product_Structure[Generic Name (long)3],MATCH(Товары[[#This Row],[SubGroup]],Product_Structure[Subgroup],0)),"")</f>
        <v>Сменные катушки с леской</v>
      </c>
      <c r="I659" s="36">
        <v>2601</v>
      </c>
      <c r="J659" s="36" t="str">
        <f>IFERROR(INDEX(Product_Structure[Generic Name (long)],MATCH(Товары[[#This Row],[SubGroup]],Product_Structure[Subgroup],0)),"")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Row],[SubGroup]],DIY!$B:$C,2,FALSE),0)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3" t="str">
        <f>IFERROR(INDEX(Product_Structure[SuperCategory],MATCH(Товары[[#This Row],[SubGroup]],Product_Structure[Subgroup],0)),"")</f>
        <v>H</v>
      </c>
      <c r="D660" s="113" t="str">
        <f>IFERROR(INDEX(Product_Structure[SuperCategory Name ENG],MATCH(Товары[[#This Row],[SubGroup]],Product_Structure[Subgroup],0)),"")</f>
        <v>HandHeld (electric, battery) + spare parts</v>
      </c>
      <c r="E660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0" s="113" t="str">
        <f>IFERROR(INDEX(Product_Structure[Product group],MATCH(Товары[[#This Row],[SubGroup]],Product_Structure[Subgroup],0)),"")</f>
        <v>HSP_C</v>
      </c>
      <c r="G660" s="113" t="str">
        <f>IFERROR(INDEX(Product_Structure[Product group name ENG],MATCH(Товары[[#This Row],[SubGroup]],Product_Structure[Subgroup],0)),"")</f>
        <v>Handheld, Spare Parts</v>
      </c>
      <c r="H660" s="113" t="str">
        <f>IFERROR(INDEX(Product_Structure[Generic Name (long)3],MATCH(Товары[[#This Row],[SubGroup]],Product_Structure[Subgroup],0)),"")</f>
        <v>Сменные катушки с леской</v>
      </c>
      <c r="I660" s="36">
        <v>2601</v>
      </c>
      <c r="J660" s="36" t="str">
        <f>IFERROR(INDEX(Product_Structure[Generic Name (long)],MATCH(Товары[[#This Row],[SubGroup]],Product_Structure[Subgroup],0)),"")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Row],[SubGroup]],DIY!$B:$C,2,FALSE),0)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3" t="str">
        <f>IFERROR(INDEX(Product_Structure[SuperCategory],MATCH(Товары[[#This Row],[SubGroup]],Product_Structure[Subgroup],0)),"")</f>
        <v>H</v>
      </c>
      <c r="D661" s="113" t="str">
        <f>IFERROR(INDEX(Product_Structure[SuperCategory Name ENG],MATCH(Товары[[#This Row],[SubGroup]],Product_Structure[Subgroup],0)),"")</f>
        <v>HandHeld (electric, battery) + spare parts</v>
      </c>
      <c r="E661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1" s="113" t="str">
        <f>IFERROR(INDEX(Product_Structure[Product group],MATCH(Товары[[#This Row],[SubGroup]],Product_Structure[Subgroup],0)),"")</f>
        <v>HSP_C</v>
      </c>
      <c r="G661" s="113" t="str">
        <f>IFERROR(INDEX(Product_Structure[Product group name ENG],MATCH(Товары[[#This Row],[SubGroup]],Product_Structure[Subgroup],0)),"")</f>
        <v>Handheld, Spare Parts</v>
      </c>
      <c r="H661" s="113" t="str">
        <f>IFERROR(INDEX(Product_Structure[Generic Name (long)3],MATCH(Товары[[#This Row],[SubGroup]],Product_Structure[Subgroup],0)),"")</f>
        <v>Сменные катушки с леской</v>
      </c>
      <c r="I661" s="36">
        <v>2601</v>
      </c>
      <c r="J661" s="36" t="str">
        <f>IFERROR(INDEX(Product_Structure[Generic Name (long)],MATCH(Товары[[#This Row],[SubGroup]],Product_Structure[Subgroup],0)),"")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Row],[SubGroup]],DIY!$B:$C,2,FALSE),0)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3" t="str">
        <f>IFERROR(INDEX(Product_Structure[SuperCategory],MATCH(Товары[[#This Row],[SubGroup]],Product_Structure[Subgroup],0)),"")</f>
        <v>H</v>
      </c>
      <c r="D662" s="113" t="str">
        <f>IFERROR(INDEX(Product_Structure[SuperCategory Name ENG],MATCH(Товары[[#This Row],[SubGroup]],Product_Structure[Subgroup],0)),"")</f>
        <v>HandHeld (electric, battery) + spare parts</v>
      </c>
      <c r="E662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2" s="113" t="str">
        <f>IFERROR(INDEX(Product_Structure[Product group],MATCH(Товары[[#This Row],[SubGroup]],Product_Structure[Subgroup],0)),"")</f>
        <v>HSP_C</v>
      </c>
      <c r="G662" s="113" t="str">
        <f>IFERROR(INDEX(Product_Structure[Product group name ENG],MATCH(Товары[[#This Row],[SubGroup]],Product_Structure[Subgroup],0)),"")</f>
        <v>Handheld, Spare Parts</v>
      </c>
      <c r="H662" s="113" t="str">
        <f>IFERROR(INDEX(Product_Structure[Generic Name (long)3],MATCH(Товары[[#This Row],[SubGroup]],Product_Structure[Subgroup],0)),"")</f>
        <v>Сменные катушки с леской</v>
      </c>
      <c r="I662" s="36">
        <v>2601</v>
      </c>
      <c r="J662" s="36" t="str">
        <f>IFERROR(INDEX(Product_Structure[Generic Name (long)],MATCH(Товары[[#This Row],[SubGroup]],Product_Structure[Subgroup],0)),"")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Row],[SubGroup]],DIY!$B:$C,2,FALSE),0)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3" t="str">
        <f>IFERROR(INDEX(Product_Structure[SuperCategory],MATCH(Товары[[#This Row],[SubGroup]],Product_Structure[Subgroup],0)),"")</f>
        <v>H</v>
      </c>
      <c r="D663" s="113" t="str">
        <f>IFERROR(INDEX(Product_Structure[SuperCategory Name ENG],MATCH(Товары[[#This Row],[SubGroup]],Product_Structure[Subgroup],0)),"")</f>
        <v>HandHeld (electric, battery) + spare parts</v>
      </c>
      <c r="E663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3" s="113" t="str">
        <f>IFERROR(INDEX(Product_Structure[Product group],MATCH(Товары[[#This Row],[SubGroup]],Product_Structure[Subgroup],0)),"")</f>
        <v>HSP_C</v>
      </c>
      <c r="G663" s="113" t="str">
        <f>IFERROR(INDEX(Product_Structure[Product group name ENG],MATCH(Товары[[#This Row],[SubGroup]],Product_Structure[Subgroup],0)),"")</f>
        <v>Handheld, Spare Parts</v>
      </c>
      <c r="H663" s="113" t="str">
        <f>IFERROR(INDEX(Product_Structure[Generic Name (long)3],MATCH(Товары[[#This Row],[SubGroup]],Product_Structure[Subgroup],0)),"")</f>
        <v>Сменные катушки с леской</v>
      </c>
      <c r="I663" s="36">
        <v>2601</v>
      </c>
      <c r="J663" s="36" t="str">
        <f>IFERROR(INDEX(Product_Structure[Generic Name (long)],MATCH(Товары[[#This Row],[SubGroup]],Product_Structure[Subgroup],0)),"")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Row],[SubGroup]],DIY!$B:$C,2,FALSE),0)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3" t="str">
        <f>IFERROR(INDEX(Product_Structure[SuperCategory],MATCH(Товары[[#This Row],[SubGroup]],Product_Structure[Subgroup],0)),"")</f>
        <v>H</v>
      </c>
      <c r="D664" s="113" t="str">
        <f>IFERROR(INDEX(Product_Structure[SuperCategory Name ENG],MATCH(Товары[[#This Row],[SubGroup]],Product_Structure[Subgroup],0)),"")</f>
        <v>HandHeld (electric, battery) + spare parts</v>
      </c>
      <c r="E664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4" s="113" t="str">
        <f>IFERROR(INDEX(Product_Structure[Product group],MATCH(Товары[[#This Row],[SubGroup]],Product_Structure[Subgroup],0)),"")</f>
        <v>HSP_C</v>
      </c>
      <c r="G664" s="113" t="str">
        <f>IFERROR(INDEX(Product_Structure[Product group name ENG],MATCH(Товары[[#This Row],[SubGroup]],Product_Structure[Subgroup],0)),"")</f>
        <v>Handheld, Spare Parts</v>
      </c>
      <c r="H664" s="113" t="str">
        <f>IFERROR(INDEX(Product_Structure[Generic Name (long)3],MATCH(Товары[[#This Row],[SubGroup]],Product_Structure[Subgroup],0)),"")</f>
        <v>Сменные катушки с леской</v>
      </c>
      <c r="I664" s="36">
        <v>2601</v>
      </c>
      <c r="J664" s="36" t="str">
        <f>IFERROR(INDEX(Product_Structure[Generic Name (long)],MATCH(Товары[[#This Row],[SubGroup]],Product_Structure[Subgroup],0)),"")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Row],[SubGroup]],DIY!$B:$C,2,FALSE),0)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3" t="str">
        <f>IFERROR(INDEX(Product_Structure[SuperCategory],MATCH(Товары[[#This Row],[SubGroup]],Product_Structure[Subgroup],0)),"")</f>
        <v>H</v>
      </c>
      <c r="D665" s="113" t="str">
        <f>IFERROR(INDEX(Product_Structure[SuperCategory Name ENG],MATCH(Товары[[#This Row],[SubGroup]],Product_Structure[Subgroup],0)),"")</f>
        <v>HandHeld (electric, battery) + spare parts</v>
      </c>
      <c r="E665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5" s="113" t="str">
        <f>IFERROR(INDEX(Product_Structure[Product group],MATCH(Товары[[#This Row],[SubGroup]],Product_Structure[Subgroup],0)),"")</f>
        <v>HSP_C</v>
      </c>
      <c r="G665" s="113" t="str">
        <f>IFERROR(INDEX(Product_Structure[Product group name ENG],MATCH(Товары[[#This Row],[SubGroup]],Product_Structure[Subgroup],0)),"")</f>
        <v>Handheld, Spare Parts</v>
      </c>
      <c r="H665" s="113" t="str">
        <f>IFERROR(INDEX(Product_Structure[Generic Name (long)3],MATCH(Товары[[#This Row],[SubGroup]],Product_Structure[Subgroup],0)),"")</f>
        <v>Сменные катушки с леской</v>
      </c>
      <c r="I665" s="36">
        <v>2601</v>
      </c>
      <c r="J665" s="36" t="str">
        <f>IFERROR(INDEX(Product_Structure[Generic Name (long)],MATCH(Товары[[#This Row],[SubGroup]],Product_Structure[Subgroup],0)),"")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Row],[SubGroup]],DIY!$B:$C,2,FALSE),0)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3" t="str">
        <f>IFERROR(INDEX(Product_Structure[SuperCategory],MATCH(Товары[[#This Row],[SubGroup]],Product_Structure[Subgroup],0)),"")</f>
        <v>H</v>
      </c>
      <c r="D666" s="113" t="str">
        <f>IFERROR(INDEX(Product_Structure[SuperCategory Name ENG],MATCH(Товары[[#This Row],[SubGroup]],Product_Structure[Subgroup],0)),"")</f>
        <v>HandHeld (electric, battery) + spare parts</v>
      </c>
      <c r="E666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6" s="113" t="str">
        <f>IFERROR(INDEX(Product_Structure[Product group],MATCH(Товары[[#This Row],[SubGroup]],Product_Structure[Subgroup],0)),"")</f>
        <v>HSP_C</v>
      </c>
      <c r="G666" s="113" t="str">
        <f>IFERROR(INDEX(Product_Structure[Product group name ENG],MATCH(Товары[[#This Row],[SubGroup]],Product_Structure[Subgroup],0)),"")</f>
        <v>Handheld, Spare Parts</v>
      </c>
      <c r="H666" s="113" t="str">
        <f>IFERROR(INDEX(Product_Structure[Generic Name (long)3],MATCH(Товары[[#This Row],[SubGroup]],Product_Structure[Subgroup],0)),"")</f>
        <v>Сменные катушки с леской</v>
      </c>
      <c r="I666" s="36">
        <v>2601</v>
      </c>
      <c r="J666" s="36" t="str">
        <f>IFERROR(INDEX(Product_Structure[Generic Name (long)],MATCH(Товары[[#This Row],[SubGroup]],Product_Structure[Subgroup],0)),"")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Row],[SubGroup]],DIY!$B:$C,2,FALSE),0)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3" t="str">
        <f>IFERROR(INDEX(Product_Structure[SuperCategory],MATCH(Товары[[#This Row],[SubGroup]],Product_Structure[Subgroup],0)),"")</f>
        <v>H</v>
      </c>
      <c r="D667" s="113" t="str">
        <f>IFERROR(INDEX(Product_Structure[SuperCategory Name ENG],MATCH(Товары[[#This Row],[SubGroup]],Product_Structure[Subgroup],0)),"")</f>
        <v>HandHeld (electric, battery) + spare parts</v>
      </c>
      <c r="E667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7" s="113" t="str">
        <f>IFERROR(INDEX(Product_Structure[Product group],MATCH(Товары[[#This Row],[SubGroup]],Product_Structure[Subgroup],0)),"")</f>
        <v>HSP_C</v>
      </c>
      <c r="G667" s="113" t="str">
        <f>IFERROR(INDEX(Product_Structure[Product group name ENG],MATCH(Товары[[#This Row],[SubGroup]],Product_Structure[Subgroup],0)),"")</f>
        <v>Handheld, Spare Parts</v>
      </c>
      <c r="H667" s="113" t="str">
        <f>IFERROR(INDEX(Product_Structure[Generic Name (long)3],MATCH(Товары[[#This Row],[SubGroup]],Product_Structure[Subgroup],0)),"")</f>
        <v>Сменные катушки с леской</v>
      </c>
      <c r="I667" s="36">
        <v>2601</v>
      </c>
      <c r="J667" s="36" t="str">
        <f>IFERROR(INDEX(Product_Structure[Generic Name (long)],MATCH(Товары[[#This Row],[SubGroup]],Product_Structure[Subgroup],0)),"")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Row],[SubGroup]],DIY!$B:$C,2,FALSE),0)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3" t="str">
        <f>IFERROR(INDEX(Product_Structure[SuperCategory],MATCH(Товары[[#This Row],[SubGroup]],Product_Structure[Subgroup],0)),"")</f>
        <v>H</v>
      </c>
      <c r="D668" s="113" t="str">
        <f>IFERROR(INDEX(Product_Structure[SuperCategory Name ENG],MATCH(Товары[[#This Row],[SubGroup]],Product_Structure[Subgroup],0)),"")</f>
        <v>HandHeld (electric, battery) + spare parts</v>
      </c>
      <c r="E668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8" s="113" t="str">
        <f>IFERROR(INDEX(Product_Structure[Product group],MATCH(Товары[[#This Row],[SubGroup]],Product_Structure[Subgroup],0)),"")</f>
        <v>HSP_C</v>
      </c>
      <c r="G668" s="113" t="str">
        <f>IFERROR(INDEX(Product_Structure[Product group name ENG],MATCH(Товары[[#This Row],[SubGroup]],Product_Structure[Subgroup],0)),"")</f>
        <v>Handheld, Spare Parts</v>
      </c>
      <c r="H668" s="113" t="str">
        <f>IFERROR(INDEX(Product_Structure[Generic Name (long)3],MATCH(Товары[[#This Row],[SubGroup]],Product_Structure[Subgroup],0)),"")</f>
        <v>Сменные ножи и лезвия</v>
      </c>
      <c r="I668" s="36">
        <v>2604</v>
      </c>
      <c r="J668" s="36" t="str">
        <f>IFERROR(INDEX(Product_Structure[Generic Name (long)],MATCH(Товары[[#This Row],[SubGroup]],Product_Structure[Subgroup],0)),"")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Row],[SubGroup]],DIY!$B:$C,2,FALSE),0)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3" t="str">
        <f>IFERROR(INDEX(Product_Structure[SuperCategory],MATCH(Товары[[#This Row],[SubGroup]],Product_Structure[Subgroup],0)),"")</f>
        <v>H</v>
      </c>
      <c r="D669" s="113" t="str">
        <f>IFERROR(INDEX(Product_Structure[SuperCategory Name ENG],MATCH(Товары[[#This Row],[SubGroup]],Product_Structure[Subgroup],0)),"")</f>
        <v>HandHeld (electric, battery) + spare parts</v>
      </c>
      <c r="E669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69" s="113" t="str">
        <f>IFERROR(INDEX(Product_Structure[Product group],MATCH(Товары[[#This Row],[SubGroup]],Product_Structure[Subgroup],0)),"")</f>
        <v>HSP_C</v>
      </c>
      <c r="G669" s="113" t="str">
        <f>IFERROR(INDEX(Product_Structure[Product group name ENG],MATCH(Товары[[#This Row],[SubGroup]],Product_Structure[Subgroup],0)),"")</f>
        <v>Handheld, Spare Parts</v>
      </c>
      <c r="H669" s="113" t="str">
        <f>IFERROR(INDEX(Product_Structure[Generic Name (long)3],MATCH(Товары[[#This Row],[SubGroup]],Product_Structure[Subgroup],0)),"")</f>
        <v>Сменные ножи и лезвия</v>
      </c>
      <c r="I669" s="36">
        <v>2604</v>
      </c>
      <c r="J669" s="36" t="str">
        <f>IFERROR(INDEX(Product_Structure[Generic Name (long)],MATCH(Товары[[#This Row],[SubGroup]],Product_Structure[Subgroup],0)),"")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Row],[SubGroup]],DIY!$B:$C,2,FALSE),0)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3" t="str">
        <f>IFERROR(INDEX(Product_Structure[SuperCategory],MATCH(Товары[[#This Row],[SubGroup]],Product_Structure[Subgroup],0)),"")</f>
        <v>H</v>
      </c>
      <c r="D670" s="113" t="str">
        <f>IFERROR(INDEX(Product_Structure[SuperCategory Name ENG],MATCH(Товары[[#This Row],[SubGroup]],Product_Structure[Subgroup],0)),"")</f>
        <v>HandHeld (electric, battery) + spare parts</v>
      </c>
      <c r="E670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0" s="113" t="str">
        <f>IFERROR(INDEX(Product_Structure[Product group],MATCH(Товары[[#This Row],[SubGroup]],Product_Structure[Subgroup],0)),"")</f>
        <v>HSP_C</v>
      </c>
      <c r="G670" s="113" t="str">
        <f>IFERROR(INDEX(Product_Structure[Product group name ENG],MATCH(Товары[[#This Row],[SubGroup]],Product_Structure[Subgroup],0)),"")</f>
        <v>Handheld, Spare Parts</v>
      </c>
      <c r="H670" s="113" t="str">
        <f>IFERROR(INDEX(Product_Structure[Generic Name (long)3],MATCH(Товары[[#This Row],[SubGroup]],Product_Structure[Subgroup],0)),"")</f>
        <v>Сменные ножи и лезвия</v>
      </c>
      <c r="I670" s="36">
        <v>2604</v>
      </c>
      <c r="J670" s="36" t="str">
        <f>IFERROR(INDEX(Product_Structure[Generic Name (long)],MATCH(Товары[[#This Row],[SubGroup]],Product_Structure[Subgroup],0)),"")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Row],[SubGroup]],DIY!$B:$C,2,FALSE),0)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3" t="str">
        <f>IFERROR(INDEX(Product_Structure[SuperCategory],MATCH(Товары[[#This Row],[SubGroup]],Product_Structure[Subgroup],0)),"")</f>
        <v>H</v>
      </c>
      <c r="D671" s="113" t="str">
        <f>IFERROR(INDEX(Product_Structure[SuperCategory Name ENG],MATCH(Товары[[#This Row],[SubGroup]],Product_Structure[Subgroup],0)),"")</f>
        <v>HandHeld (electric, battery) + spare parts</v>
      </c>
      <c r="E671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1" s="113" t="str">
        <f>IFERROR(INDEX(Product_Structure[Product group],MATCH(Товары[[#This Row],[SubGroup]],Product_Structure[Subgroup],0)),"")</f>
        <v>HSP_C</v>
      </c>
      <c r="G671" s="113" t="str">
        <f>IFERROR(INDEX(Product_Structure[Product group name ENG],MATCH(Товары[[#This Row],[SubGroup]],Product_Structure[Subgroup],0)),"")</f>
        <v>Handheld, Spare Parts</v>
      </c>
      <c r="H671" s="113" t="str">
        <f>IFERROR(INDEX(Product_Structure[Generic Name (long)3],MATCH(Товары[[#This Row],[SubGroup]],Product_Structure[Subgroup],0)),"")</f>
        <v>Сменные ножи и лезвия</v>
      </c>
      <c r="I671" s="36">
        <v>2604</v>
      </c>
      <c r="J671" s="36" t="str">
        <f>IFERROR(INDEX(Product_Structure[Generic Name (long)],MATCH(Товары[[#This Row],[SubGroup]],Product_Structure[Subgroup],0)),"")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Row],[SubGroup]],DIY!$B:$C,2,FALSE),0)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3" t="str">
        <f>IFERROR(INDEX(Product_Structure[SuperCategory],MATCH(Товары[[#This Row],[SubGroup]],Product_Structure[Subgroup],0)),"")</f>
        <v>H</v>
      </c>
      <c r="D672" s="113" t="str">
        <f>IFERROR(INDEX(Product_Structure[SuperCategory Name ENG],MATCH(Товары[[#This Row],[SubGroup]],Product_Structure[Subgroup],0)),"")</f>
        <v>HandHeld (electric, battery) + spare parts</v>
      </c>
      <c r="E672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2" s="113" t="str">
        <f>IFERROR(INDEX(Product_Structure[Product group],MATCH(Товары[[#This Row],[SubGroup]],Product_Structure[Subgroup],0)),"")</f>
        <v>HSP_C</v>
      </c>
      <c r="G672" s="113" t="str">
        <f>IFERROR(INDEX(Product_Structure[Product group name ENG],MATCH(Товары[[#This Row],[SubGroup]],Product_Structure[Subgroup],0)),"")</f>
        <v>Handheld, Spare Parts</v>
      </c>
      <c r="H672" s="113" t="str">
        <f>IFERROR(INDEX(Product_Structure[Generic Name (long)3],MATCH(Товары[[#This Row],[SubGroup]],Product_Structure[Subgroup],0)),"")</f>
        <v>Сменные ножи и лезвия</v>
      </c>
      <c r="I672" s="36">
        <v>2604</v>
      </c>
      <c r="J672" s="36" t="str">
        <f>IFERROR(INDEX(Product_Structure[Generic Name (long)],MATCH(Товары[[#This Row],[SubGroup]],Product_Structure[Subgroup],0)),"")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Row],[SubGroup]],DIY!$B:$C,2,FALSE),0)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3" t="str">
        <f>IFERROR(INDEX(Product_Structure[SuperCategory],MATCH(Товары[[#This Row],[SubGroup]],Product_Structure[Subgroup],0)),"")</f>
        <v>H</v>
      </c>
      <c r="D673" s="113" t="str">
        <f>IFERROR(INDEX(Product_Structure[SuperCategory Name ENG],MATCH(Товары[[#This Row],[SubGroup]],Product_Structure[Subgroup],0)),"")</f>
        <v>HandHeld (electric, battery) + spare parts</v>
      </c>
      <c r="E673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3" s="113" t="str">
        <f>IFERROR(INDEX(Product_Structure[Product group],MATCH(Товары[[#This Row],[SubGroup]],Product_Structure[Subgroup],0)),"")</f>
        <v>HSP_C</v>
      </c>
      <c r="G673" s="113" t="str">
        <f>IFERROR(INDEX(Product_Structure[Product group name ENG],MATCH(Товары[[#This Row],[SubGroup]],Product_Structure[Subgroup],0)),"")</f>
        <v>Handheld, Spare Parts</v>
      </c>
      <c r="H673" s="113" t="str">
        <f>IFERROR(INDEX(Product_Structure[Generic Name (long)3],MATCH(Товары[[#This Row],[SubGroup]],Product_Structure[Subgroup],0)),"")</f>
        <v>Сменные ножи и лезвия</v>
      </c>
      <c r="I673" s="36">
        <v>2604</v>
      </c>
      <c r="J673" s="36" t="str">
        <f>IFERROR(INDEX(Product_Structure[Generic Name (long)],MATCH(Товары[[#This Row],[SubGroup]],Product_Structure[Subgroup],0)),"")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Row],[SubGroup]],DIY!$B:$C,2,FALSE),0)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3" t="str">
        <f>IFERROR(INDEX(Product_Structure[SuperCategory],MATCH(Товары[[#This Row],[SubGroup]],Product_Structure[Subgroup],0)),"")</f>
        <v>H</v>
      </c>
      <c r="D674" s="113" t="str">
        <f>IFERROR(INDEX(Product_Structure[SuperCategory Name ENG],MATCH(Товары[[#This Row],[SubGroup]],Product_Structure[Subgroup],0)),"")</f>
        <v>HandHeld (electric, battery) + spare parts</v>
      </c>
      <c r="E674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4" s="113" t="str">
        <f>IFERROR(INDEX(Product_Structure[Product group],MATCH(Товары[[#This Row],[SubGroup]],Product_Structure[Subgroup],0)),"")</f>
        <v>HSP_C</v>
      </c>
      <c r="G674" s="113" t="str">
        <f>IFERROR(INDEX(Product_Structure[Product group name ENG],MATCH(Товары[[#This Row],[SubGroup]],Product_Structure[Subgroup],0)),"")</f>
        <v>Handheld, Spare Parts</v>
      </c>
      <c r="H674" s="113" t="str">
        <f>IFERROR(INDEX(Product_Structure[Generic Name (long)3],MATCH(Товары[[#This Row],[SubGroup]],Product_Structure[Subgroup],0)),"")</f>
        <v>Сменные ножи и лезвия</v>
      </c>
      <c r="I674" s="36">
        <v>2604</v>
      </c>
      <c r="J674" s="36" t="str">
        <f>IFERROR(INDEX(Product_Structure[Generic Name (long)],MATCH(Товары[[#This Row],[SubGroup]],Product_Structure[Subgroup],0)),"")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Row],[SubGroup]],DIY!$B:$C,2,FALSE),0)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3" t="str">
        <f>IFERROR(INDEX(Product_Structure[SuperCategory],MATCH(Товары[[#This Row],[SubGroup]],Product_Structure[Subgroup],0)),"")</f>
        <v>H</v>
      </c>
      <c r="D675" s="113" t="str">
        <f>IFERROR(INDEX(Product_Structure[SuperCategory Name ENG],MATCH(Товары[[#This Row],[SubGroup]],Product_Structure[Subgroup],0)),"")</f>
        <v>HandHeld (electric, battery) + spare parts</v>
      </c>
      <c r="E675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5" s="113" t="str">
        <f>IFERROR(INDEX(Product_Structure[Product group],MATCH(Товары[[#This Row],[SubGroup]],Product_Structure[Subgroup],0)),"")</f>
        <v>HSP_C</v>
      </c>
      <c r="G675" s="113" t="str">
        <f>IFERROR(INDEX(Product_Structure[Product group name ENG],MATCH(Товары[[#This Row],[SubGroup]],Product_Structure[Subgroup],0)),"")</f>
        <v>Handheld, Spare Parts</v>
      </c>
      <c r="H675" s="113" t="str">
        <f>IFERROR(INDEX(Product_Structure[Generic Name (long)3],MATCH(Товары[[#This Row],[SubGroup]],Product_Structure[Subgroup],0)),"")</f>
        <v>Сменные ножи и лезвия</v>
      </c>
      <c r="I675" s="36">
        <v>2604</v>
      </c>
      <c r="J675" s="36" t="str">
        <f>IFERROR(INDEX(Product_Structure[Generic Name (long)],MATCH(Товары[[#This Row],[SubGroup]],Product_Structure[Subgroup],0)),"")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Row],[SubGroup]],DIY!$B:$C,2,FALSE),0)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3" t="str">
        <f>IFERROR(INDEX(Product_Structure[SuperCategory],MATCH(Товары[[#This Row],[SubGroup]],Product_Structure[Subgroup],0)),"")</f>
        <v>H</v>
      </c>
      <c r="D676" s="113" t="str">
        <f>IFERROR(INDEX(Product_Structure[SuperCategory Name ENG],MATCH(Товары[[#This Row],[SubGroup]],Product_Structure[Subgroup],0)),"")</f>
        <v>HandHeld (electric, battery) + spare parts</v>
      </c>
      <c r="E676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6" s="113" t="str">
        <f>IFERROR(INDEX(Product_Structure[Product group],MATCH(Товары[[#This Row],[SubGroup]],Product_Structure[Subgroup],0)),"")</f>
        <v>HSP_C</v>
      </c>
      <c r="G676" s="113" t="str">
        <f>IFERROR(INDEX(Product_Structure[Product group name ENG],MATCH(Товары[[#This Row],[SubGroup]],Product_Structure[Subgroup],0)),"")</f>
        <v>Handheld, Spare Parts</v>
      </c>
      <c r="H676" s="113" t="str">
        <f>IFERROR(INDEX(Product_Structure[Generic Name (long)3],MATCH(Товары[[#This Row],[SubGroup]],Product_Structure[Subgroup],0)),"")</f>
        <v>Сменные ножи и лезвия</v>
      </c>
      <c r="I676" s="36">
        <v>2604</v>
      </c>
      <c r="J676" s="36" t="str">
        <f>IFERROR(INDEX(Product_Structure[Generic Name (long)],MATCH(Товары[[#This Row],[SubGroup]],Product_Structure[Subgroup],0)),"")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Row],[SubGroup]],DIY!$B:$C,2,FALSE),0)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3" t="str">
        <f>IFERROR(INDEX(Product_Structure[SuperCategory],MATCH(Товары[[#This Row],[SubGroup]],Product_Structure[Subgroup],0)),"")</f>
        <v>H</v>
      </c>
      <c r="D677" s="113" t="str">
        <f>IFERROR(INDEX(Product_Structure[SuperCategory Name ENG],MATCH(Товары[[#This Row],[SubGroup]],Product_Structure[Subgroup],0)),"")</f>
        <v>HandHeld (electric, battery) + spare parts</v>
      </c>
      <c r="E677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7" s="113" t="str">
        <f>IFERROR(INDEX(Product_Structure[Product group],MATCH(Товары[[#This Row],[SubGroup]],Product_Structure[Subgroup],0)),"")</f>
        <v>HSP_C</v>
      </c>
      <c r="G677" s="113" t="str">
        <f>IFERROR(INDEX(Product_Structure[Product group name ENG],MATCH(Товары[[#This Row],[SubGroup]],Product_Structure[Subgroup],0)),"")</f>
        <v>Handheld, Spare Parts</v>
      </c>
      <c r="H677" s="113" t="str">
        <f>IFERROR(INDEX(Product_Structure[Generic Name (long)3],MATCH(Товары[[#This Row],[SubGroup]],Product_Structure[Subgroup],0)),"")</f>
        <v>Сменные ножи и лезвия</v>
      </c>
      <c r="I677" s="36">
        <v>2604</v>
      </c>
      <c r="J677" s="36" t="str">
        <f>IFERROR(INDEX(Product_Structure[Generic Name (long)],MATCH(Товары[[#This Row],[SubGroup]],Product_Structure[Subgroup],0)),"")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Row],[SubGroup]],DIY!$B:$C,2,FALSE),0)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3" t="str">
        <f>IFERROR(INDEX(Product_Structure[SuperCategory],MATCH(Товары[[#This Row],[SubGroup]],Product_Structure[Subgroup],0)),"")</f>
        <v>H</v>
      </c>
      <c r="D678" s="113" t="str">
        <f>IFERROR(INDEX(Product_Structure[SuperCategory Name ENG],MATCH(Товары[[#This Row],[SubGroup]],Product_Structure[Subgroup],0)),"")</f>
        <v>HandHeld (electric, battery) + spare parts</v>
      </c>
      <c r="E678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8" s="113" t="str">
        <f>IFERROR(INDEX(Product_Structure[Product group],MATCH(Товары[[#This Row],[SubGroup]],Product_Structure[Subgroup],0)),"")</f>
        <v>HSP_C</v>
      </c>
      <c r="G678" s="113" t="str">
        <f>IFERROR(INDEX(Product_Structure[Product group name ENG],MATCH(Товары[[#This Row],[SubGroup]],Product_Structure[Subgroup],0)),"")</f>
        <v>Handheld, Spare Parts</v>
      </c>
      <c r="H678" s="113" t="str">
        <f>IFERROR(INDEX(Product_Structure[Generic Name (long)3],MATCH(Товары[[#This Row],[SubGroup]],Product_Structure[Subgroup],0)),"")</f>
        <v>Сменные ножи и лезвия</v>
      </c>
      <c r="I678" s="36">
        <v>2604</v>
      </c>
      <c r="J678" s="36" t="str">
        <f>IFERROR(INDEX(Product_Structure[Generic Name (long)],MATCH(Товары[[#This Row],[SubGroup]],Product_Structure[Subgroup],0)),"")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Row],[SubGroup]],DIY!$B:$C,2,FALSE),0)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3" t="str">
        <f>IFERROR(INDEX(Product_Structure[SuperCategory],MATCH(Товары[[#This Row],[SubGroup]],Product_Structure[Subgroup],0)),"")</f>
        <v>H</v>
      </c>
      <c r="D679" s="113" t="str">
        <f>IFERROR(INDEX(Product_Structure[SuperCategory Name ENG],MATCH(Товары[[#This Row],[SubGroup]],Product_Structure[Subgroup],0)),"")</f>
        <v>HandHeld (electric, battery) + spare parts</v>
      </c>
      <c r="E679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79" s="113" t="str">
        <f>IFERROR(INDEX(Product_Structure[Product group],MATCH(Товары[[#This Row],[SubGroup]],Product_Structure[Subgroup],0)),"")</f>
        <v>HSP_C</v>
      </c>
      <c r="G679" s="113" t="str">
        <f>IFERROR(INDEX(Product_Structure[Product group name ENG],MATCH(Товары[[#This Row],[SubGroup]],Product_Structure[Subgroup],0)),"")</f>
        <v>Handheld, Spare Parts</v>
      </c>
      <c r="H679" s="113" t="str">
        <f>IFERROR(INDEX(Product_Structure[Generic Name (long)3],MATCH(Товары[[#This Row],[SubGroup]],Product_Structure[Subgroup],0)),"")</f>
        <v>Сменные катушки с леской</v>
      </c>
      <c r="I679" s="36">
        <v>2601</v>
      </c>
      <c r="J679" s="36" t="str">
        <f>IFERROR(INDEX(Product_Structure[Generic Name (long)],MATCH(Товары[[#This Row],[SubGroup]],Product_Structure[Subgroup],0)),"")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Row],[SubGroup]],DIY!$B:$C,2,FALSE),0)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3" t="str">
        <f>IFERROR(INDEX(Product_Structure[SuperCategory],MATCH(Товары[[#This Row],[SubGroup]],Product_Structure[Subgroup],0)),"")</f>
        <v>H</v>
      </c>
      <c r="D680" s="113" t="str">
        <f>IFERROR(INDEX(Product_Structure[SuperCategory Name ENG],MATCH(Товары[[#This Row],[SubGroup]],Product_Structure[Subgroup],0)),"")</f>
        <v>HandHeld (electric, battery) + spare parts</v>
      </c>
      <c r="E680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80" s="113" t="str">
        <f>IFERROR(INDEX(Product_Structure[Product group],MATCH(Товары[[#This Row],[SubGroup]],Product_Structure[Subgroup],0)),"")</f>
        <v>HSP_C</v>
      </c>
      <c r="G680" s="113" t="str">
        <f>IFERROR(INDEX(Product_Structure[Product group name ENG],MATCH(Товары[[#This Row],[SubGroup]],Product_Structure[Subgroup],0)),"")</f>
        <v>Handheld, Spare Parts</v>
      </c>
      <c r="H680" s="113" t="str">
        <f>IFERROR(INDEX(Product_Structure[Generic Name (long)3],MATCH(Товары[[#This Row],[SubGroup]],Product_Structure[Subgroup],0)),"")</f>
        <v>Сменные цепи</v>
      </c>
      <c r="I680" s="36">
        <v>2600</v>
      </c>
      <c r="J680" s="36" t="str">
        <f>IFERROR(INDEX(Product_Structure[Generic Name (long)],MATCH(Товары[[#This Row],[SubGroup]],Product_Structure[Subgroup],0)),"")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Row],[SubGroup]],DIY!$B:$C,2,FALSE),0)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3" t="str">
        <f>IFERROR(INDEX(Product_Structure[SuperCategory],MATCH(Товары[[#This Row],[SubGroup]],Product_Structure[Subgroup],0)),"")</f>
        <v>H</v>
      </c>
      <c r="D681" s="113" t="str">
        <f>IFERROR(INDEX(Product_Structure[SuperCategory Name ENG],MATCH(Товары[[#This Row],[SubGroup]],Product_Structure[Subgroup],0)),"")</f>
        <v>HandHeld (electric, battery) + spare parts</v>
      </c>
      <c r="E681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81" s="113" t="str">
        <f>IFERROR(INDEX(Product_Structure[Product group],MATCH(Товары[[#This Row],[SubGroup]],Product_Structure[Subgroup],0)),"")</f>
        <v>HSP_C</v>
      </c>
      <c r="G681" s="113" t="str">
        <f>IFERROR(INDEX(Product_Structure[Product group name ENG],MATCH(Товары[[#This Row],[SubGroup]],Product_Structure[Subgroup],0)),"")</f>
        <v>Handheld, Spare Parts</v>
      </c>
      <c r="H681" s="113" t="str">
        <f>IFERROR(INDEX(Product_Structure[Generic Name (long)3],MATCH(Товары[[#This Row],[SubGroup]],Product_Structure[Subgroup],0)),"")</f>
        <v>Сменные цепи</v>
      </c>
      <c r="I681" s="36">
        <v>2600</v>
      </c>
      <c r="J681" s="36" t="str">
        <f>IFERROR(INDEX(Product_Structure[Generic Name (long)],MATCH(Товары[[#This Row],[SubGroup]],Product_Structure[Subgroup],0)),"")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Row],[SubGroup]],DIY!$B:$C,2,FALSE),0)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3" t="str">
        <f>IFERROR(INDEX(Product_Structure[SuperCategory],MATCH(Товары[[#This Row],[SubGroup]],Product_Structure[Subgroup],0)),"")</f>
        <v>H</v>
      </c>
      <c r="D682" s="113" t="str">
        <f>IFERROR(INDEX(Product_Structure[SuperCategory Name ENG],MATCH(Товары[[#This Row],[SubGroup]],Product_Structure[Subgroup],0)),"")</f>
        <v>HandHeld (electric, battery) + spare parts</v>
      </c>
      <c r="E682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82" s="113" t="str">
        <f>IFERROR(INDEX(Product_Structure[Product group],MATCH(Товары[[#This Row],[SubGroup]],Product_Structure[Subgroup],0)),"")</f>
        <v>HSP_C</v>
      </c>
      <c r="G682" s="113" t="str">
        <f>IFERROR(INDEX(Product_Structure[Product group name ENG],MATCH(Товары[[#This Row],[SubGroup]],Product_Structure[Subgroup],0)),"")</f>
        <v>Handheld, Spare Parts</v>
      </c>
      <c r="H682" s="113" t="str">
        <f>IFERROR(INDEX(Product_Structure[Generic Name (long)3],MATCH(Товары[[#This Row],[SubGroup]],Product_Structure[Subgroup],0)),"")</f>
        <v>Сменные цепи</v>
      </c>
      <c r="I682" s="36">
        <v>2600</v>
      </c>
      <c r="J682" s="36" t="str">
        <f>IFERROR(INDEX(Product_Structure[Generic Name (long)],MATCH(Товары[[#This Row],[SubGroup]],Product_Structure[Subgroup],0)),"")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Row],[SubGroup]],DIY!$B:$C,2,FALSE),0)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3" t="str">
        <f>IFERROR(INDEX(Product_Structure[SuperCategory],MATCH(Товары[[#This Row],[SubGroup]],Product_Structure[Subgroup],0)),"")</f>
        <v>H</v>
      </c>
      <c r="D683" s="113" t="str">
        <f>IFERROR(INDEX(Product_Structure[SuperCategory Name ENG],MATCH(Товары[[#This Row],[SubGroup]],Product_Structure[Subgroup],0)),"")</f>
        <v>HandHeld (electric, battery) + spare parts</v>
      </c>
      <c r="E683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83" s="113" t="str">
        <f>IFERROR(INDEX(Product_Structure[Product group],MATCH(Товары[[#This Row],[SubGroup]],Product_Structure[Subgroup],0)),"")</f>
        <v>HSP_C</v>
      </c>
      <c r="G683" s="113" t="str">
        <f>IFERROR(INDEX(Product_Structure[Product group name ENG],MATCH(Товары[[#This Row],[SubGroup]],Product_Structure[Subgroup],0)),"")</f>
        <v>Handheld, Spare Parts</v>
      </c>
      <c r="H683" s="113" t="str">
        <f>IFERROR(INDEX(Product_Structure[Generic Name (long)3],MATCH(Товары[[#This Row],[SubGroup]],Product_Structure[Subgroup],0)),"")</f>
        <v>Сменные цепи</v>
      </c>
      <c r="I683" s="36">
        <v>2600</v>
      </c>
      <c r="J683" s="36" t="str">
        <f>IFERROR(INDEX(Product_Structure[Generic Name (long)],MATCH(Товары[[#This Row],[SubGroup]],Product_Structure[Subgroup],0)),"")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Row],[SubGroup]],DIY!$B:$C,2,FALSE),0)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3" t="str">
        <f>IFERROR(INDEX(Product_Structure[SuperCategory],MATCH(Товары[[#This Row],[SubGroup]],Product_Structure[Subgroup],0)),"")</f>
        <v>H</v>
      </c>
      <c r="D684" s="113" t="str">
        <f>IFERROR(INDEX(Product_Structure[SuperCategory Name ENG],MATCH(Товары[[#This Row],[SubGroup]],Product_Structure[Subgroup],0)),"")</f>
        <v>HandHeld (electric, battery) + spare parts</v>
      </c>
      <c r="E684" s="113" t="str">
        <f>IFERROR(INDEX(Product_Structure[SuperCategory Name RUS],MATCH(Товары[[#This Row],[SubGroup]],Product_Structure[Subgroup],0)),"")</f>
        <v>Электрическая и аккумуляторная переносная техника + зап.части</v>
      </c>
      <c r="F684" s="113" t="str">
        <f>IFERROR(INDEX(Product_Structure[Product group],MATCH(Товары[[#This Row],[SubGroup]],Product_Structure[Subgroup],0)),"")</f>
        <v>HSP_C</v>
      </c>
      <c r="G684" s="113" t="str">
        <f>IFERROR(INDEX(Product_Structure[Product group name ENG],MATCH(Товары[[#This Row],[SubGroup]],Product_Structure[Subgroup],0)),"")</f>
        <v>Handheld, Spare Parts</v>
      </c>
      <c r="H684" s="113" t="str">
        <f>IFERROR(INDEX(Product_Structure[Generic Name (long)3],MATCH(Товары[[#This Row],[SubGroup]],Product_Structure[Subgroup],0)),"")</f>
        <v>Сменные цепи</v>
      </c>
      <c r="I684" s="36">
        <v>2600</v>
      </c>
      <c r="J684" s="36" t="str">
        <f>IFERROR(INDEX(Product_Structure[Generic Name (long)],MATCH(Товары[[#This Row],[SubGroup]],Product_Structure[Subgroup],0)),"")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Row],[SubGroup]],DIY!$B:$C,2,FALSE),0)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3" t="str">
        <f>IFERROR(INDEX(Product_Structure[SuperCategory],MATCH(Товары[[#This Row],[SubGroup]],Product_Structure[Subgroup],0)),"")</f>
        <v>H</v>
      </c>
      <c r="D685" s="113" t="str">
        <f>IFERROR(INDEX(Product_Structure[SuperCategory Name ENG],MATCH(Товары[[#This Row],[SubGroup]],Product_Structure[Subgroup],0)),"")</f>
        <v>HandHeld (electric, battery) + spare parts</v>
      </c>
      <c r="E685" s="113" t="str">
        <f>IFERROR(INDEX(Product_Structure[SuperCategory Name RUS],MATCH(Товары[[#This Row],[SubGroup]],Product_Structure[Subgroup],0)),"")</f>
        <v>Электрическая и аккумуляторная техника переносная + зап.части</v>
      </c>
      <c r="F685" s="113" t="str">
        <f>IFERROR(INDEX(Product_Structure[Product group],MATCH(Товары[[#This Row],[SubGroup]],Product_Structure[Subgroup],0)),"")</f>
        <v>AET_P</v>
      </c>
      <c r="G685" s="113" t="str">
        <f>IFERROR(INDEX(Product_Structure[Product group name ENG],MATCH(Товары[[#This Row],[SubGroup]],Product_Structure[Subgroup],0)),"")</f>
        <v>Grass&amp;Shrub shears, Battery</v>
      </c>
      <c r="H685" s="113" t="str">
        <f>IFERROR(INDEX(Product_Structure[Generic Name (long)3],MATCH(Товары[[#This Row],[SubGroup]],Product_Structure[Subgroup],0)),"")</f>
        <v>Ножницы для травы и кустарников аккумуляторные</v>
      </c>
      <c r="I685" s="36">
        <v>9323</v>
      </c>
      <c r="J685" s="36" t="str">
        <f>IFERROR(INDEX(Product_Structure[Generic Name (long)],MATCH(Товары[[#This Row],[SubGroup]],Product_Structure[Subgroup],0)),"")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Row],[SubGroup]],DIY!$B:$C,2,FALSE),0)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3" t="str">
        <f>IFERROR(INDEX(Product_Structure[SuperCategory],MATCH(Товары[[#This Row],[SubGroup]],Product_Structure[Subgroup],0)),"")</f>
        <v>L</v>
      </c>
      <c r="D686" s="113" t="str">
        <f>IFERROR(INDEX(Product_Structure[SuperCategory Name ENG],MATCH(Товары[[#This Row],[SubGroup]],Product_Structure[Subgroup],0)),"")</f>
        <v>Walk Behind (electric, battery) + spare parts</v>
      </c>
      <c r="E686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86" s="113" t="str">
        <f>IFERROR(INDEX(Product_Structure[Product group],MATCH(Товары[[#This Row],[SubGroup]],Product_Structure[Subgroup],0)),"")</f>
        <v>LBL_P</v>
      </c>
      <c r="G686" s="113" t="str">
        <f>IFERROR(INDEX(Product_Structure[Product group name ENG],MATCH(Товары[[#This Row],[SubGroup]],Product_Structure[Subgroup],0)),"")</f>
        <v>Lawn, Battery, Lawn Mowers</v>
      </c>
      <c r="H686" s="113" t="str">
        <f>IFERROR(INDEX(Product_Structure[Generic Name (long)3],MATCH(Товары[[#This Row],[SubGroup]],Product_Structure[Subgroup],0)),"")</f>
        <v>Газонокосилки аккумуляторные</v>
      </c>
      <c r="I686" s="36">
        <v>9314</v>
      </c>
      <c r="J686" s="36" t="str">
        <f>IFERROR(INDEX(Product_Structure[Generic Name (long)],MATCH(Товары[[#This Row],[SubGroup]],Product_Structure[Subgroup],0)),"")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Row],[SubGroup]],DIY!$B:$C,2,FALSE),0)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3" t="str">
        <f>IFERROR(INDEX(Product_Structure[SuperCategory],MATCH(Товары[[#This Row],[SubGroup]],Product_Structure[Subgroup],0)),"")</f>
        <v>L</v>
      </c>
      <c r="D687" s="113" t="str">
        <f>IFERROR(INDEX(Product_Structure[SuperCategory Name ENG],MATCH(Товары[[#This Row],[SubGroup]],Product_Structure[Subgroup],0)),"")</f>
        <v>Walk Behind (electric, battery) + spare parts</v>
      </c>
      <c r="E687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87" s="113" t="str">
        <f>IFERROR(INDEX(Product_Structure[Product group],MATCH(Товары[[#This Row],[SubGroup]],Product_Structure[Subgroup],0)),"")</f>
        <v>LBL_P</v>
      </c>
      <c r="G687" s="113" t="str">
        <f>IFERROR(INDEX(Product_Structure[Product group name ENG],MATCH(Товары[[#This Row],[SubGroup]],Product_Structure[Subgroup],0)),"")</f>
        <v>Lawn, Battery, Lawn Mowers</v>
      </c>
      <c r="H687" s="113" t="str">
        <f>IFERROR(INDEX(Product_Structure[Generic Name (long)3],MATCH(Товары[[#This Row],[SubGroup]],Product_Structure[Subgroup],0)),"")</f>
        <v>Газонокосилки аккумуляторные</v>
      </c>
      <c r="I687" s="36">
        <v>9314</v>
      </c>
      <c r="J687" s="36" t="str">
        <f>IFERROR(INDEX(Product_Structure[Generic Name (long)],MATCH(Товары[[#This Row],[SubGroup]],Product_Structure[Subgroup],0)),"")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Row],[SubGroup]],DIY!$B:$C,2,FALSE),0)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3" t="str">
        <f>IFERROR(INDEX(Product_Structure[SuperCategory],MATCH(Товары[[#This Row],[SubGroup]],Product_Structure[Subgroup],0)),"")</f>
        <v>L</v>
      </c>
      <c r="D688" s="113" t="str">
        <f>IFERROR(INDEX(Product_Structure[SuperCategory Name ENG],MATCH(Товары[[#This Row],[SubGroup]],Product_Structure[Subgroup],0)),"")</f>
        <v>Walk Behind (electric, battery) + spare parts</v>
      </c>
      <c r="E688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88" s="113" t="str">
        <f>IFERROR(INDEX(Product_Structure[Product group],MATCH(Товары[[#This Row],[SubGroup]],Product_Structure[Subgroup],0)),"")</f>
        <v>LBL_P</v>
      </c>
      <c r="G688" s="113" t="str">
        <f>IFERROR(INDEX(Product_Structure[Product group name ENG],MATCH(Товары[[#This Row],[SubGroup]],Product_Structure[Subgroup],0)),"")</f>
        <v>Lawn, Battery, Lawn Mowers</v>
      </c>
      <c r="H688" s="113" t="str">
        <f>IFERROR(INDEX(Product_Structure[Generic Name (long)3],MATCH(Товары[[#This Row],[SubGroup]],Product_Structure[Subgroup],0)),"")</f>
        <v>Газонокосилки аккумуляторные</v>
      </c>
      <c r="I688" s="36">
        <v>9314</v>
      </c>
      <c r="J688" s="36" t="str">
        <f>IFERROR(INDEX(Product_Structure[Generic Name (long)],MATCH(Товары[[#This Row],[SubGroup]],Product_Structure[Subgroup],0)),"")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Row],[SubGroup]],DIY!$B:$C,2,FALSE),0)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3" t="str">
        <f>IFERROR(INDEX(Product_Structure[SuperCategory],MATCH(Товары[[#This Row],[SubGroup]],Product_Structure[Subgroup],0)),"")</f>
        <v>L</v>
      </c>
      <c r="D689" s="113" t="str">
        <f>IFERROR(INDEX(Product_Structure[SuperCategory Name ENG],MATCH(Товары[[#This Row],[SubGroup]],Product_Structure[Subgroup],0)),"")</f>
        <v>Walk Behind (electric, battery) + spare parts</v>
      </c>
      <c r="E689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89" s="113" t="str">
        <f>IFERROR(INDEX(Product_Structure[Product group],MATCH(Товары[[#This Row],[SubGroup]],Product_Structure[Subgroup],0)),"")</f>
        <v>LBL_P</v>
      </c>
      <c r="G689" s="113" t="str">
        <f>IFERROR(INDEX(Product_Structure[Product group name ENG],MATCH(Товары[[#This Row],[SubGroup]],Product_Structure[Subgroup],0)),"")</f>
        <v>Lawn, Battery, Lawn Mowers</v>
      </c>
      <c r="H689" s="113" t="str">
        <f>IFERROR(INDEX(Product_Structure[Generic Name (long)3],MATCH(Товары[[#This Row],[SubGroup]],Product_Structure[Subgroup],0)),"")</f>
        <v>Газонокосилки аккумуляторные</v>
      </c>
      <c r="I689" s="36">
        <v>9314</v>
      </c>
      <c r="J689" s="36" t="str">
        <f>IFERROR(INDEX(Product_Structure[Generic Name (long)],MATCH(Товары[[#This Row],[SubGroup]],Product_Structure[Subgroup],0)),"")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Row],[SubGroup]],DIY!$B:$C,2,FALSE),0)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3" t="str">
        <f>IFERROR(INDEX(Product_Structure[SuperCategory],MATCH(Товары[[#This Row],[SubGroup]],Product_Structure[Subgroup],0)),"")</f>
        <v>L</v>
      </c>
      <c r="D690" s="113" t="str">
        <f>IFERROR(INDEX(Product_Structure[SuperCategory Name ENG],MATCH(Товары[[#This Row],[SubGroup]],Product_Structure[Subgroup],0)),"")</f>
        <v>Walk Behind (electric, battery) + spare parts</v>
      </c>
      <c r="E690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0" s="113" t="str">
        <f>IFERROR(INDEX(Product_Structure[Product group],MATCH(Товары[[#This Row],[SubGroup]],Product_Structure[Subgroup],0)),"")</f>
        <v>LBL_P</v>
      </c>
      <c r="G690" s="113" t="str">
        <f>IFERROR(INDEX(Product_Structure[Product group name ENG],MATCH(Товары[[#This Row],[SubGroup]],Product_Structure[Subgroup],0)),"")</f>
        <v>Lawn, Battery, Lawn Mowers</v>
      </c>
      <c r="H690" s="113" t="str">
        <f>IFERROR(INDEX(Product_Structure[Generic Name (long)3],MATCH(Товары[[#This Row],[SubGroup]],Product_Structure[Subgroup],0)),"")</f>
        <v>Газонокосилки аккумуляторные</v>
      </c>
      <c r="I690" s="36">
        <v>9314</v>
      </c>
      <c r="J690" s="36" t="str">
        <f>IFERROR(INDEX(Product_Structure[Generic Name (long)],MATCH(Товары[[#This Row],[SubGroup]],Product_Structure[Subgroup],0)),"")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Row],[SubGroup]],DIY!$B:$C,2,FALSE),0)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3" t="str">
        <f>IFERROR(INDEX(Product_Structure[SuperCategory],MATCH(Товары[[#This Row],[SubGroup]],Product_Structure[Subgroup],0)),"")</f>
        <v>L</v>
      </c>
      <c r="D691" s="113" t="str">
        <f>IFERROR(INDEX(Product_Structure[SuperCategory Name ENG],MATCH(Товары[[#This Row],[SubGroup]],Product_Structure[Subgroup],0)),"")</f>
        <v>Walk Behind (electric, battery) + spare parts</v>
      </c>
      <c r="E691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1" s="113" t="str">
        <f>IFERROR(INDEX(Product_Structure[Product group],MATCH(Товары[[#This Row],[SubGroup]],Product_Structure[Subgroup],0)),"")</f>
        <v>LBL_P</v>
      </c>
      <c r="G691" s="113" t="str">
        <f>IFERROR(INDEX(Product_Structure[Product group name ENG],MATCH(Товары[[#This Row],[SubGroup]],Product_Structure[Subgroup],0)),"")</f>
        <v>Lawn, Battery, Lawn Mowers</v>
      </c>
      <c r="H691" s="113" t="str">
        <f>IFERROR(INDEX(Product_Structure[Generic Name (long)3],MATCH(Товары[[#This Row],[SubGroup]],Product_Structure[Subgroup],0)),"")</f>
        <v>Газонокосилки аккумуляторные</v>
      </c>
      <c r="I691" s="36">
        <v>9314</v>
      </c>
      <c r="J691" s="36" t="str">
        <f>IFERROR(INDEX(Product_Structure[Generic Name (long)],MATCH(Товары[[#This Row],[SubGroup]],Product_Structure[Subgroup],0)),"")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Row],[SubGroup]],DIY!$B:$C,2,FALSE),0)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3" t="str">
        <f>IFERROR(INDEX(Product_Structure[SuperCategory],MATCH(Товары[[#This Row],[SubGroup]],Product_Structure[Subgroup],0)),"")</f>
        <v>L</v>
      </c>
      <c r="D692" s="113" t="str">
        <f>IFERROR(INDEX(Product_Structure[SuperCategory Name ENG],MATCH(Товары[[#This Row],[SubGroup]],Product_Structure[Subgroup],0)),"")</f>
        <v>Walk Behind (electric, battery) + spare parts</v>
      </c>
      <c r="E692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2" s="113" t="str">
        <f>IFERROR(INDEX(Product_Structure[Product group],MATCH(Товары[[#This Row],[SubGroup]],Product_Structure[Subgroup],0)),"")</f>
        <v>LBL_P</v>
      </c>
      <c r="G692" s="113" t="str">
        <f>IFERROR(INDEX(Product_Structure[Product group name ENG],MATCH(Товары[[#This Row],[SubGroup]],Product_Structure[Subgroup],0)),"")</f>
        <v>Lawn, Battery, Lawn Mowers</v>
      </c>
      <c r="H692" s="113" t="str">
        <f>IFERROR(INDEX(Product_Structure[Generic Name (long)3],MATCH(Товары[[#This Row],[SubGroup]],Product_Structure[Subgroup],0)),"")</f>
        <v>Газонокосилки аккумуляторные</v>
      </c>
      <c r="I692" s="36">
        <v>9314</v>
      </c>
      <c r="J692" s="36" t="str">
        <f>IFERROR(INDEX(Product_Structure[Generic Name (long)],MATCH(Товары[[#This Row],[SubGroup]],Product_Structure[Subgroup],0)),"")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Row],[SubGroup]],DIY!$B:$C,2,FALSE),0)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3" t="str">
        <f>IFERROR(INDEX(Product_Structure[SuperCategory],MATCH(Товары[[#This Row],[SubGroup]],Product_Structure[Subgroup],0)),"")</f>
        <v>L</v>
      </c>
      <c r="D693" s="113" t="str">
        <f>IFERROR(INDEX(Product_Structure[SuperCategory Name ENG],MATCH(Товары[[#This Row],[SubGroup]],Product_Structure[Subgroup],0)),"")</f>
        <v>Walk Behind (electric, battery) + spare parts</v>
      </c>
      <c r="E693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3" s="113" t="str">
        <f>IFERROR(INDEX(Product_Structure[Product group],MATCH(Товары[[#This Row],[SubGroup]],Product_Structure[Subgroup],0)),"")</f>
        <v>LBL_P</v>
      </c>
      <c r="G693" s="113" t="str">
        <f>IFERROR(INDEX(Product_Structure[Product group name ENG],MATCH(Товары[[#This Row],[SubGroup]],Product_Structure[Subgroup],0)),"")</f>
        <v>Lawn, Battery, Lawn Mowers</v>
      </c>
      <c r="H693" s="113" t="str">
        <f>IFERROR(INDEX(Product_Structure[Generic Name (long)3],MATCH(Товары[[#This Row],[SubGroup]],Product_Structure[Subgroup],0)),"")</f>
        <v>Газонокосилки аккумуляторные</v>
      </c>
      <c r="I693" s="36">
        <v>9314</v>
      </c>
      <c r="J693" s="36" t="str">
        <f>IFERROR(INDEX(Product_Structure[Generic Name (long)],MATCH(Товары[[#This Row],[SubGroup]],Product_Structure[Subgroup],0)),"")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Row],[SubGroup]],DIY!$B:$C,2,FALSE),0)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3" t="str">
        <f>IFERROR(INDEX(Product_Structure[SuperCategory],MATCH(Товары[[#This Row],[SubGroup]],Product_Structure[Subgroup],0)),"")</f>
        <v>L</v>
      </c>
      <c r="D694" s="113" t="str">
        <f>IFERROR(INDEX(Product_Structure[SuperCategory Name ENG],MATCH(Товары[[#This Row],[SubGroup]],Product_Structure[Subgroup],0)),"")</f>
        <v>Walk Behind (electric, battery) + spare parts</v>
      </c>
      <c r="E694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4" s="113" t="str">
        <f>IFERROR(INDEX(Product_Structure[Product group],MATCH(Товары[[#This Row],[SubGroup]],Product_Structure[Subgroup],0)),"")</f>
        <v>LBL_P</v>
      </c>
      <c r="G694" s="113" t="str">
        <f>IFERROR(INDEX(Product_Structure[Product group name ENG],MATCH(Товары[[#This Row],[SubGroup]],Product_Structure[Subgroup],0)),"")</f>
        <v>Lawn, Battery, Lawn Mowers</v>
      </c>
      <c r="H694" s="113" t="str">
        <f>IFERROR(INDEX(Product_Structure[Generic Name (long)3],MATCH(Товары[[#This Row],[SubGroup]],Product_Structure[Subgroup],0)),"")</f>
        <v>Газонокосилки аккумуляторные</v>
      </c>
      <c r="I694" s="36">
        <v>9314</v>
      </c>
      <c r="J694" s="36" t="str">
        <f>IFERROR(INDEX(Product_Structure[Generic Name (long)],MATCH(Товары[[#This Row],[SubGroup]],Product_Structure[Subgroup],0)),"")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Row],[SubGroup]],DIY!$B:$C,2,FALSE),0)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3" t="str">
        <f>IFERROR(INDEX(Product_Structure[SuperCategory],MATCH(Товары[[#This Row],[SubGroup]],Product_Structure[Subgroup],0)),"")</f>
        <v>L</v>
      </c>
      <c r="D695" s="113" t="str">
        <f>IFERROR(INDEX(Product_Structure[SuperCategory Name ENG],MATCH(Товары[[#This Row],[SubGroup]],Product_Structure[Subgroup],0)),"")</f>
        <v>Walk Behind (electric, battery) + spare parts</v>
      </c>
      <c r="E695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5" s="113" t="str">
        <f>IFERROR(INDEX(Product_Structure[Product group],MATCH(Товары[[#This Row],[SubGroup]],Product_Structure[Subgroup],0)),"")</f>
        <v>LBL_P</v>
      </c>
      <c r="G695" s="113" t="str">
        <f>IFERROR(INDEX(Product_Structure[Product group name ENG],MATCH(Товары[[#This Row],[SubGroup]],Product_Structure[Subgroup],0)),"")</f>
        <v>Lawn, Battery, Lawn Mowers</v>
      </c>
      <c r="H695" s="113" t="str">
        <f>IFERROR(INDEX(Product_Structure[Generic Name (long)3],MATCH(Товары[[#This Row],[SubGroup]],Product_Structure[Subgroup],0)),"")</f>
        <v>Газонокосилки аккумуляторные</v>
      </c>
      <c r="I695" s="36">
        <v>9314</v>
      </c>
      <c r="J695" s="36" t="str">
        <f>IFERROR(INDEX(Product_Structure[Generic Name (long)],MATCH(Товары[[#This Row],[SubGroup]],Product_Structure[Subgroup],0)),"")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Row],[SubGroup]],DIY!$B:$C,2,FALSE),0)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3" t="str">
        <f>IFERROR(INDEX(Product_Structure[SuperCategory],MATCH(Товары[[#This Row],[SubGroup]],Product_Structure[Subgroup],0)),"")</f>
        <v>L</v>
      </c>
      <c r="D696" s="113" t="str">
        <f>IFERROR(INDEX(Product_Structure[SuperCategory Name ENG],MATCH(Товары[[#This Row],[SubGroup]],Product_Structure[Subgroup],0)),"")</f>
        <v>Walk Behind (electric, battery) + spare parts</v>
      </c>
      <c r="E696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6" s="113" t="str">
        <f>IFERROR(INDEX(Product_Structure[Product group],MATCH(Товары[[#This Row],[SubGroup]],Product_Structure[Subgroup],0)),"")</f>
        <v>LEL_C</v>
      </c>
      <c r="G696" s="113" t="str">
        <f>IFERROR(INDEX(Product_Structure[Product group name ENG],MATCH(Товары[[#This Row],[SubGroup]],Product_Structure[Subgroup],0)),"")</f>
        <v>Lawn, Electric, Lawn mowers</v>
      </c>
      <c r="H696" s="113" t="str">
        <f>IFERROR(INDEX(Product_Structure[Generic Name (long)3],MATCH(Товары[[#This Row],[SubGroup]],Product_Structure[Subgroup],0)),"")</f>
        <v>Газонокосилки электрические</v>
      </c>
      <c r="I696" s="36">
        <v>9313</v>
      </c>
      <c r="J696" s="36" t="str">
        <f>IFERROR(INDEX(Product_Structure[Generic Name (long)],MATCH(Товары[[#This Row],[SubGroup]],Product_Structure[Subgroup],0)),"")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Row],[SubGroup]],DIY!$B:$C,2,FALSE),0)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3" t="str">
        <f>IFERROR(INDEX(Product_Structure[SuperCategory],MATCH(Товары[[#This Row],[SubGroup]],Product_Structure[Subgroup],0)),"")</f>
        <v>L</v>
      </c>
      <c r="D697" s="113" t="str">
        <f>IFERROR(INDEX(Product_Structure[SuperCategory Name ENG],MATCH(Товары[[#This Row],[SubGroup]],Product_Structure[Subgroup],0)),"")</f>
        <v>Walk Behind (electric, battery) + spare parts</v>
      </c>
      <c r="E697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7" s="113" t="str">
        <f>IFERROR(INDEX(Product_Structure[Product group],MATCH(Товары[[#This Row],[SubGroup]],Product_Structure[Subgroup],0)),"")</f>
        <v>LEL_C</v>
      </c>
      <c r="G697" s="113" t="str">
        <f>IFERROR(INDEX(Product_Structure[Product group name ENG],MATCH(Товары[[#This Row],[SubGroup]],Product_Structure[Subgroup],0)),"")</f>
        <v>Lawn, Electric, Lawn mowers</v>
      </c>
      <c r="H697" s="113" t="str">
        <f>IFERROR(INDEX(Product_Structure[Generic Name (long)3],MATCH(Товары[[#This Row],[SubGroup]],Product_Structure[Subgroup],0)),"")</f>
        <v>Газонокосилки электрические</v>
      </c>
      <c r="I697" s="36">
        <v>9313</v>
      </c>
      <c r="J697" s="36" t="str">
        <f>IFERROR(INDEX(Product_Structure[Generic Name (long)],MATCH(Товары[[#This Row],[SubGroup]],Product_Structure[Subgroup],0)),"")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Row],[SubGroup]],DIY!$B:$C,2,FALSE),0)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3" t="str">
        <f>IFERROR(INDEX(Product_Structure[SuperCategory],MATCH(Товары[[#This Row],[SubGroup]],Product_Structure[Subgroup],0)),"")</f>
        <v>L</v>
      </c>
      <c r="D698" s="113" t="str">
        <f>IFERROR(INDEX(Product_Structure[SuperCategory Name ENG],MATCH(Товары[[#This Row],[SubGroup]],Product_Structure[Subgroup],0)),"")</f>
        <v>Walk Behind (electric, battery) + spare parts</v>
      </c>
      <c r="E698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8" s="113" t="str">
        <f>IFERROR(INDEX(Product_Structure[Product group],MATCH(Товары[[#This Row],[SubGroup]],Product_Structure[Subgroup],0)),"")</f>
        <v>LEL_C</v>
      </c>
      <c r="G698" s="113" t="str">
        <f>IFERROR(INDEX(Product_Structure[Product group name ENG],MATCH(Товары[[#This Row],[SubGroup]],Product_Structure[Subgroup],0)),"")</f>
        <v>Lawn, Electric, Lawn mowers</v>
      </c>
      <c r="H698" s="113" t="str">
        <f>IFERROR(INDEX(Product_Structure[Generic Name (long)3],MATCH(Товары[[#This Row],[SubGroup]],Product_Structure[Subgroup],0)),"")</f>
        <v>Газонокосилки электрические</v>
      </c>
      <c r="I698" s="36">
        <v>9313</v>
      </c>
      <c r="J698" s="36" t="str">
        <f>IFERROR(INDEX(Product_Structure[Generic Name (long)],MATCH(Товары[[#This Row],[SubGroup]],Product_Structure[Subgroup],0)),"")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Row],[SubGroup]],DIY!$B:$C,2,FALSE),0)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3" t="str">
        <f>IFERROR(INDEX(Product_Structure[SuperCategory],MATCH(Товары[[#This Row],[SubGroup]],Product_Structure[Subgroup],0)),"")</f>
        <v>L</v>
      </c>
      <c r="D699" s="113" t="str">
        <f>IFERROR(INDEX(Product_Structure[SuperCategory Name ENG],MATCH(Товары[[#This Row],[SubGroup]],Product_Structure[Subgroup],0)),"")</f>
        <v>Walk Behind (electric, battery) + spare parts</v>
      </c>
      <c r="E699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699" s="113" t="str">
        <f>IFERROR(INDEX(Product_Structure[Product group],MATCH(Товары[[#This Row],[SubGroup]],Product_Structure[Subgroup],0)),"")</f>
        <v>LEL_C</v>
      </c>
      <c r="G699" s="113" t="str">
        <f>IFERROR(INDEX(Product_Structure[Product group name ENG],MATCH(Товары[[#This Row],[SubGroup]],Product_Structure[Subgroup],0)),"")</f>
        <v>Lawn, Electric, Lawn mowers</v>
      </c>
      <c r="H699" s="113" t="str">
        <f>IFERROR(INDEX(Product_Structure[Generic Name (long)3],MATCH(Товары[[#This Row],[SubGroup]],Product_Structure[Subgroup],0)),"")</f>
        <v>Газонокосилки электрические</v>
      </c>
      <c r="I699" s="36">
        <v>9313</v>
      </c>
      <c r="J699" s="36" t="str">
        <f>IFERROR(INDEX(Product_Structure[Generic Name (long)],MATCH(Товары[[#This Row],[SubGroup]],Product_Structure[Subgroup],0)),"")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Row],[SubGroup]],DIY!$B:$C,2,FALSE),0)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3" t="str">
        <f>IFERROR(INDEX(Product_Structure[SuperCategory],MATCH(Товары[[#This Row],[SubGroup]],Product_Structure[Subgroup],0)),"")</f>
        <v>L</v>
      </c>
      <c r="D700" s="113" t="str">
        <f>IFERROR(INDEX(Product_Structure[SuperCategory Name ENG],MATCH(Товары[[#This Row],[SubGroup]],Product_Structure[Subgroup],0)),"")</f>
        <v>Walk Behind (electric, battery) + spare parts</v>
      </c>
      <c r="E700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0" s="113" t="str">
        <f>IFERROR(INDEX(Product_Structure[Product group],MATCH(Товары[[#This Row],[SubGroup]],Product_Structure[Subgroup],0)),"")</f>
        <v>LEL_C</v>
      </c>
      <c r="G700" s="113" t="str">
        <f>IFERROR(INDEX(Product_Structure[Product group name ENG],MATCH(Товары[[#This Row],[SubGroup]],Product_Structure[Subgroup],0)),"")</f>
        <v>Lawn, Electric, Lawn mowers</v>
      </c>
      <c r="H700" s="113" t="str">
        <f>IFERROR(INDEX(Product_Structure[Generic Name (long)3],MATCH(Товары[[#This Row],[SubGroup]],Product_Structure[Subgroup],0)),"")</f>
        <v>Газонокосилки электрические</v>
      </c>
      <c r="I700" s="36">
        <v>9313</v>
      </c>
      <c r="J700" s="36" t="str">
        <f>IFERROR(INDEX(Product_Structure[Generic Name (long)],MATCH(Товары[[#This Row],[SubGroup]],Product_Structure[Subgroup],0)),"")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Row],[SubGroup]],DIY!$B:$C,2,FALSE),0)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3" t="str">
        <f>IFERROR(INDEX(Product_Structure[SuperCategory],MATCH(Товары[[#This Row],[SubGroup]],Product_Structure[Subgroup],0)),"")</f>
        <v>L</v>
      </c>
      <c r="D701" s="113" t="str">
        <f>IFERROR(INDEX(Product_Structure[SuperCategory Name ENG],MATCH(Товары[[#This Row],[SubGroup]],Product_Structure[Subgroup],0)),"")</f>
        <v>Walk Behind (electric, battery) + spare parts</v>
      </c>
      <c r="E701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1" s="113" t="str">
        <f>IFERROR(INDEX(Product_Structure[Product group],MATCH(Товары[[#This Row],[SubGroup]],Product_Structure[Subgroup],0)),"")</f>
        <v>LEL_C</v>
      </c>
      <c r="G701" s="113" t="str">
        <f>IFERROR(INDEX(Product_Structure[Product group name ENG],MATCH(Товары[[#This Row],[SubGroup]],Product_Structure[Subgroup],0)),"")</f>
        <v>Lawn, Electric, Lawn mowers</v>
      </c>
      <c r="H701" s="113" t="str">
        <f>IFERROR(INDEX(Product_Structure[Generic Name (long)3],MATCH(Товары[[#This Row],[SubGroup]],Product_Structure[Subgroup],0)),"")</f>
        <v>Газонокосилки электрические</v>
      </c>
      <c r="I701" s="36">
        <v>9313</v>
      </c>
      <c r="J701" s="36" t="str">
        <f>IFERROR(INDEX(Product_Structure[Generic Name (long)],MATCH(Товары[[#This Row],[SubGroup]],Product_Structure[Subgroup],0)),"")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Row],[SubGroup]],DIY!$B:$C,2,FALSE),0)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3" t="str">
        <f>IFERROR(INDEX(Product_Structure[SuperCategory],MATCH(Товары[[#This Row],[SubGroup]],Product_Structure[Subgroup],0)),"")</f>
        <v>L</v>
      </c>
      <c r="D702" s="113" t="str">
        <f>IFERROR(INDEX(Product_Structure[SuperCategory Name ENG],MATCH(Товары[[#This Row],[SubGroup]],Product_Structure[Subgroup],0)),"")</f>
        <v>Walk Behind (electric, battery) + spare parts</v>
      </c>
      <c r="E702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2" s="113" t="str">
        <f>IFERROR(INDEX(Product_Structure[Product group],MATCH(Товары[[#This Row],[SubGroup]],Product_Structure[Subgroup],0)),"")</f>
        <v>LEL_C</v>
      </c>
      <c r="G702" s="113" t="str">
        <f>IFERROR(INDEX(Product_Structure[Product group name ENG],MATCH(Товары[[#This Row],[SubGroup]],Product_Structure[Subgroup],0)),"")</f>
        <v>Lawn, Electric, Lawn mowers</v>
      </c>
      <c r="H702" s="113" t="str">
        <f>IFERROR(INDEX(Product_Structure[Generic Name (long)3],MATCH(Товары[[#This Row],[SubGroup]],Product_Structure[Subgroup],0)),"")</f>
        <v>Газонокосилки электрические</v>
      </c>
      <c r="I702" s="36">
        <v>9313</v>
      </c>
      <c r="J702" s="36" t="str">
        <f>IFERROR(INDEX(Product_Structure[Generic Name (long)],MATCH(Товары[[#This Row],[SubGroup]],Product_Structure[Subgroup],0)),"")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Row],[SubGroup]],DIY!$B:$C,2,FALSE),0)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3" t="str">
        <f>IFERROR(INDEX(Product_Structure[SuperCategory],MATCH(Товары[[#This Row],[SubGroup]],Product_Structure[Subgroup],0)),"")</f>
        <v>L</v>
      </c>
      <c r="D703" s="113" t="str">
        <f>IFERROR(INDEX(Product_Structure[SuperCategory Name ENG],MATCH(Товары[[#This Row],[SubGroup]],Product_Structure[Subgroup],0)),"")</f>
        <v>Walk Behind (electric, battery) + spare parts</v>
      </c>
      <c r="E703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3" s="113" t="str">
        <f>IFERROR(INDEX(Product_Structure[Product group],MATCH(Товары[[#This Row],[SubGroup]],Product_Structure[Subgroup],0)),"")</f>
        <v>LEL_C</v>
      </c>
      <c r="G703" s="113" t="str">
        <f>IFERROR(INDEX(Product_Structure[Product group name ENG],MATCH(Товары[[#This Row],[SubGroup]],Product_Structure[Subgroup],0)),"")</f>
        <v>Lawn, Electric, Lawn mowers</v>
      </c>
      <c r="H703" s="113" t="str">
        <f>IFERROR(INDEX(Product_Structure[Generic Name (long)3],MATCH(Товары[[#This Row],[SubGroup]],Product_Structure[Subgroup],0)),"")</f>
        <v>Газонокосилки электрические</v>
      </c>
      <c r="I703" s="36">
        <v>9313</v>
      </c>
      <c r="J703" s="36" t="str">
        <f>IFERROR(INDEX(Product_Structure[Generic Name (long)],MATCH(Товары[[#This Row],[SubGroup]],Product_Structure[Subgroup],0)),"")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Row],[SubGroup]],DIY!$B:$C,2,FALSE),0)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3" t="str">
        <f>IFERROR(INDEX(Product_Structure[SuperCategory],MATCH(Товары[[#This Row],[SubGroup]],Product_Structure[Subgroup],0)),"")</f>
        <v>L</v>
      </c>
      <c r="D704" s="113" t="str">
        <f>IFERROR(INDEX(Product_Structure[SuperCategory Name ENG],MATCH(Товары[[#This Row],[SubGroup]],Product_Structure[Subgroup],0)),"")</f>
        <v>Walk Behind (electric, battery) + spare parts</v>
      </c>
      <c r="E704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4" s="113" t="str">
        <f>IFERROR(INDEX(Product_Structure[Product group],MATCH(Товары[[#This Row],[SubGroup]],Product_Structure[Subgroup],0)),"")</f>
        <v>LEL_C</v>
      </c>
      <c r="G704" s="113" t="str">
        <f>IFERROR(INDEX(Product_Structure[Product group name ENG],MATCH(Товары[[#This Row],[SubGroup]],Product_Structure[Subgroup],0)),"")</f>
        <v>Lawn, Electric, Lawn mowers</v>
      </c>
      <c r="H704" s="113" t="str">
        <f>IFERROR(INDEX(Product_Structure[Generic Name (long)3],MATCH(Товары[[#This Row],[SubGroup]],Product_Structure[Subgroup],0)),"")</f>
        <v>Газонокосилки электрические</v>
      </c>
      <c r="I704" s="36">
        <v>9313</v>
      </c>
      <c r="J704" s="36" t="str">
        <f>IFERROR(INDEX(Product_Structure[Generic Name (long)],MATCH(Товары[[#This Row],[SubGroup]],Product_Structure[Subgroup],0)),"")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Row],[SubGroup]],DIY!$B:$C,2,FALSE),0)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3" t="str">
        <f>IFERROR(INDEX(Product_Structure[SuperCategory],MATCH(Товары[[#This Row],[SubGroup]],Product_Structure[Subgroup],0)),"")</f>
        <v>L</v>
      </c>
      <c r="D705" s="113" t="str">
        <f>IFERROR(INDEX(Product_Structure[SuperCategory Name ENG],MATCH(Товары[[#This Row],[SubGroup]],Product_Structure[Subgroup],0)),"")</f>
        <v>Walk Behind (electric, battery) + spare parts</v>
      </c>
      <c r="E705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5" s="113" t="str">
        <f>IFERROR(INDEX(Product_Structure[Product group],MATCH(Товары[[#This Row],[SubGroup]],Product_Structure[Subgroup],0)),"")</f>
        <v>LEL_C</v>
      </c>
      <c r="G705" s="113" t="str">
        <f>IFERROR(INDEX(Product_Structure[Product group name ENG],MATCH(Товары[[#This Row],[SubGroup]],Product_Structure[Subgroup],0)),"")</f>
        <v>Lawn, Electric, Lawn mowers</v>
      </c>
      <c r="H705" s="113" t="str">
        <f>IFERROR(INDEX(Product_Structure[Generic Name (long)3],MATCH(Товары[[#This Row],[SubGroup]],Product_Structure[Subgroup],0)),"")</f>
        <v>Газонокосилки электрические</v>
      </c>
      <c r="I705" s="36">
        <v>9313</v>
      </c>
      <c r="J705" s="36" t="str">
        <f>IFERROR(INDEX(Product_Structure[Generic Name (long)],MATCH(Товары[[#This Row],[SubGroup]],Product_Structure[Subgroup],0)),"")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Row],[SubGroup]],DIY!$B:$C,2,FALSE),0)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3" t="str">
        <f>IFERROR(INDEX(Product_Structure[SuperCategory],MATCH(Товары[[#This Row],[SubGroup]],Product_Structure[Subgroup],0)),"")</f>
        <v>L</v>
      </c>
      <c r="D706" s="113" t="str">
        <f>IFERROR(INDEX(Product_Structure[SuperCategory Name ENG],MATCH(Товары[[#This Row],[SubGroup]],Product_Structure[Subgroup],0)),"")</f>
        <v>Walk Behind (electric, battery) + spare parts</v>
      </c>
      <c r="E706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6" s="113" t="str">
        <f>IFERROR(INDEX(Product_Structure[Product group],MATCH(Товары[[#This Row],[SubGroup]],Product_Structure[Subgroup],0)),"")</f>
        <v>LEL_C</v>
      </c>
      <c r="G706" s="113" t="str">
        <f>IFERROR(INDEX(Product_Structure[Product group name ENG],MATCH(Товары[[#This Row],[SubGroup]],Product_Structure[Subgroup],0)),"")</f>
        <v>Lawn, Electric, Lawn mowers</v>
      </c>
      <c r="H706" s="113" t="str">
        <f>IFERROR(INDEX(Product_Structure[Generic Name (long)3],MATCH(Товары[[#This Row],[SubGroup]],Product_Structure[Subgroup],0)),"")</f>
        <v>Газонокосилки электрические</v>
      </c>
      <c r="I706" s="36">
        <v>9313</v>
      </c>
      <c r="J706" s="36" t="str">
        <f>IFERROR(INDEX(Product_Structure[Generic Name (long)],MATCH(Товары[[#This Row],[SubGroup]],Product_Structure[Subgroup],0)),"")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Row],[SubGroup]],DIY!$B:$C,2,FALSE),0)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3" t="str">
        <f>IFERROR(INDEX(Product_Structure[SuperCategory],MATCH(Товары[[#This Row],[SubGroup]],Product_Structure[Subgroup],0)),"")</f>
        <v>L</v>
      </c>
      <c r="D707" s="113" t="str">
        <f>IFERROR(INDEX(Product_Structure[SuperCategory Name ENG],MATCH(Товары[[#This Row],[SubGroup]],Product_Structure[Subgroup],0)),"")</f>
        <v>Walk Behind (electric, battery) + spare parts</v>
      </c>
      <c r="E707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7" s="113" t="str">
        <f>IFERROR(INDEX(Product_Structure[Product group],MATCH(Товары[[#This Row],[SubGroup]],Product_Structure[Subgroup],0)),"")</f>
        <v>LEL_C</v>
      </c>
      <c r="G707" s="113" t="str">
        <f>IFERROR(INDEX(Product_Structure[Product group name ENG],MATCH(Товары[[#This Row],[SubGroup]],Product_Structure[Subgroup],0)),"")</f>
        <v>Lawn, Electric, Lawn mowers</v>
      </c>
      <c r="H707" s="113" t="str">
        <f>IFERROR(INDEX(Product_Structure[Generic Name (long)3],MATCH(Товары[[#This Row],[SubGroup]],Product_Structure[Subgroup],0)),"")</f>
        <v>Газонокосилки электрические</v>
      </c>
      <c r="I707" s="36">
        <v>9313</v>
      </c>
      <c r="J707" s="36" t="str">
        <f>IFERROR(INDEX(Product_Structure[Generic Name (long)],MATCH(Товары[[#This Row],[SubGroup]],Product_Structure[Subgroup],0)),"")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Row],[SubGroup]],DIY!$B:$C,2,FALSE),0)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3" t="str">
        <f>IFERROR(INDEX(Product_Structure[SuperCategory],MATCH(Товары[[#This Row],[SubGroup]],Product_Structure[Subgroup],0)),"")</f>
        <v>L</v>
      </c>
      <c r="D708" s="113" t="str">
        <f>IFERROR(INDEX(Product_Structure[SuperCategory Name ENG],MATCH(Товары[[#This Row],[SubGroup]],Product_Structure[Subgroup],0)),"")</f>
        <v>Walk Behind (electric, battery) + spare parts</v>
      </c>
      <c r="E708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8" s="113" t="str">
        <f>IFERROR(INDEX(Product_Structure[Product group],MATCH(Товары[[#This Row],[SubGroup]],Product_Structure[Subgroup],0)),"")</f>
        <v>LEL_C</v>
      </c>
      <c r="G708" s="113" t="str">
        <f>IFERROR(INDEX(Product_Structure[Product group name ENG],MATCH(Товары[[#This Row],[SubGroup]],Product_Structure[Subgroup],0)),"")</f>
        <v>Lawn, Electric, Lawn mowers</v>
      </c>
      <c r="H708" s="113" t="str">
        <f>IFERROR(INDEX(Product_Structure[Generic Name (long)3],MATCH(Товары[[#This Row],[SubGroup]],Product_Structure[Subgroup],0)),"")</f>
        <v>Газонокосилки электрические</v>
      </c>
      <c r="I708" s="36">
        <v>9313</v>
      </c>
      <c r="J708" s="36" t="str">
        <f>IFERROR(INDEX(Product_Structure[Generic Name (long)],MATCH(Товары[[#This Row],[SubGroup]],Product_Structure[Subgroup],0)),"")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Row],[SubGroup]],DIY!$B:$C,2,FALSE),0)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3" t="str">
        <f>IFERROR(INDEX(Product_Structure[SuperCategory],MATCH(Товары[[#This Row],[SubGroup]],Product_Structure[Subgroup],0)),"")</f>
        <v>L</v>
      </c>
      <c r="D709" s="113" t="str">
        <f>IFERROR(INDEX(Product_Structure[SuperCategory Name ENG],MATCH(Товары[[#This Row],[SubGroup]],Product_Structure[Subgroup],0)),"")</f>
        <v>Walk Behind (electric, battery) + spare parts</v>
      </c>
      <c r="E709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09" s="113" t="str">
        <f>IFERROR(INDEX(Product_Structure[Product group],MATCH(Товары[[#This Row],[SubGroup]],Product_Structure[Subgroup],0)),"")</f>
        <v>LEL_C</v>
      </c>
      <c r="G709" s="113" t="str">
        <f>IFERROR(INDEX(Product_Structure[Product group name ENG],MATCH(Товары[[#This Row],[SubGroup]],Product_Structure[Subgroup],0)),"")</f>
        <v>Lawn, Electric, Lawn mowers</v>
      </c>
      <c r="H709" s="113" t="str">
        <f>IFERROR(INDEX(Product_Structure[Generic Name (long)3],MATCH(Товары[[#This Row],[SubGroup]],Product_Structure[Subgroup],0)),"")</f>
        <v>Газонокосилки электрические</v>
      </c>
      <c r="I709" s="36">
        <v>9313</v>
      </c>
      <c r="J709" s="36" t="str">
        <f>IFERROR(INDEX(Product_Structure[Generic Name (long)],MATCH(Товары[[#This Row],[SubGroup]],Product_Structure[Subgroup],0)),"")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Row],[SubGroup]],DIY!$B:$C,2,FALSE),0)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3" t="str">
        <f>IFERROR(INDEX(Product_Structure[SuperCategory],MATCH(Товары[[#This Row],[SubGroup]],Product_Structure[Subgroup],0)),"")</f>
        <v>L</v>
      </c>
      <c r="D710" s="113" t="str">
        <f>IFERROR(INDEX(Product_Structure[SuperCategory Name ENG],MATCH(Товары[[#This Row],[SubGroup]],Product_Structure[Subgroup],0)),"")</f>
        <v>Walk Behind (electric, battery) + spare parts</v>
      </c>
      <c r="E710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0" s="113" t="str">
        <f>IFERROR(INDEX(Product_Structure[Product group],MATCH(Товары[[#This Row],[SubGroup]],Product_Structure[Subgroup],0)),"")</f>
        <v>LEL_C</v>
      </c>
      <c r="G710" s="113" t="str">
        <f>IFERROR(INDEX(Product_Structure[Product group name ENG],MATCH(Товары[[#This Row],[SubGroup]],Product_Structure[Subgroup],0)),"")</f>
        <v>Lawn, Electric, Lawn mowers</v>
      </c>
      <c r="H710" s="113" t="str">
        <f>IFERROR(INDEX(Product_Structure[Generic Name (long)3],MATCH(Товары[[#This Row],[SubGroup]],Product_Structure[Subgroup],0)),"")</f>
        <v>Газонокосилки электрические</v>
      </c>
      <c r="I710" s="36">
        <v>9313</v>
      </c>
      <c r="J710" s="36" t="str">
        <f>IFERROR(INDEX(Product_Structure[Generic Name (long)],MATCH(Товары[[#This Row],[SubGroup]],Product_Structure[Subgroup],0)),"")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Row],[SubGroup]],DIY!$B:$C,2,FALSE),0)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3" t="str">
        <f>IFERROR(INDEX(Product_Structure[SuperCategory],MATCH(Товары[[#This Row],[SubGroup]],Product_Structure[Subgroup],0)),"")</f>
        <v>L</v>
      </c>
      <c r="D711" s="113" t="str">
        <f>IFERROR(INDEX(Product_Structure[SuperCategory Name ENG],MATCH(Товары[[#This Row],[SubGroup]],Product_Structure[Subgroup],0)),"")</f>
        <v>Walk Behind (electric, battery) + spare parts</v>
      </c>
      <c r="E711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1" s="113" t="str">
        <f>IFERROR(INDEX(Product_Structure[Product group],MATCH(Товары[[#This Row],[SubGroup]],Product_Structure[Subgroup],0)),"")</f>
        <v>LEL_C</v>
      </c>
      <c r="G711" s="113" t="str">
        <f>IFERROR(INDEX(Product_Structure[Product group name ENG],MATCH(Товары[[#This Row],[SubGroup]],Product_Structure[Subgroup],0)),"")</f>
        <v>Lawn, Electric, Lawn mowers</v>
      </c>
      <c r="H711" s="113" t="str">
        <f>IFERROR(INDEX(Product_Structure[Generic Name (long)3],MATCH(Товары[[#This Row],[SubGroup]],Product_Structure[Subgroup],0)),"")</f>
        <v>Газонокосилки электрические</v>
      </c>
      <c r="I711" s="36">
        <v>9313</v>
      </c>
      <c r="J711" s="36" t="str">
        <f>IFERROR(INDEX(Product_Structure[Generic Name (long)],MATCH(Товары[[#This Row],[SubGroup]],Product_Structure[Subgroup],0)),"")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Row],[SubGroup]],DIY!$B:$C,2,FALSE),0)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3" t="str">
        <f>IFERROR(INDEX(Product_Structure[SuperCategory],MATCH(Товары[[#This Row],[SubGroup]],Product_Structure[Subgroup],0)),"")</f>
        <v>L</v>
      </c>
      <c r="D712" s="113" t="str">
        <f>IFERROR(INDEX(Product_Structure[SuperCategory Name ENG],MATCH(Товары[[#This Row],[SubGroup]],Product_Structure[Subgroup],0)),"")</f>
        <v>Walk Behind (electric, battery) + spare parts</v>
      </c>
      <c r="E712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2" s="113" t="str">
        <f>IFERROR(INDEX(Product_Structure[Product group],MATCH(Товары[[#This Row],[SubGroup]],Product_Structure[Subgroup],0)),"")</f>
        <v>LEL_C</v>
      </c>
      <c r="G712" s="113" t="str">
        <f>IFERROR(INDEX(Product_Structure[Product group name ENG],MATCH(Товары[[#This Row],[SubGroup]],Product_Structure[Subgroup],0)),"")</f>
        <v>Lawn, Electric, Lawn mowers</v>
      </c>
      <c r="H712" s="113" t="str">
        <f>IFERROR(INDEX(Product_Structure[Generic Name (long)3],MATCH(Товары[[#This Row],[SubGroup]],Product_Structure[Subgroup],0)),"")</f>
        <v>Газонокосилки электрические</v>
      </c>
      <c r="I712" s="36">
        <v>9313</v>
      </c>
      <c r="J712" s="36" t="str">
        <f>IFERROR(INDEX(Product_Structure[Generic Name (long)],MATCH(Товары[[#This Row],[SubGroup]],Product_Structure[Subgroup],0)),"")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Row],[SubGroup]],DIY!$B:$C,2,FALSE),0)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3" t="str">
        <f>IFERROR(INDEX(Product_Structure[SuperCategory],MATCH(Товары[[#This Row],[SubGroup]],Product_Structure[Subgroup],0)),"")</f>
        <v>L</v>
      </c>
      <c r="D713" s="113" t="str">
        <f>IFERROR(INDEX(Product_Structure[SuperCategory Name ENG],MATCH(Товары[[#This Row],[SubGroup]],Product_Structure[Subgroup],0)),"")</f>
        <v>Walk Behind (electric, battery) + spare parts</v>
      </c>
      <c r="E713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3" s="113" t="str">
        <f>IFERROR(INDEX(Product_Structure[Product group],MATCH(Товары[[#This Row],[SubGroup]],Product_Structure[Subgroup],0)),"")</f>
        <v>LEP_C</v>
      </c>
      <c r="G713" s="113" t="str">
        <f>IFERROR(INDEX(Product_Structure[Product group name ENG],MATCH(Товары[[#This Row],[SubGroup]],Product_Structure[Subgroup],0)),"")</f>
        <v>Lawn, Electric, Other Products</v>
      </c>
      <c r="H713" s="113" t="str">
        <f>IFERROR(INDEX(Product_Structure[Generic Name (long)3],MATCH(Товары[[#This Row],[SubGroup]],Product_Structure[Subgroup],0)),"")</f>
        <v>Скарификаторы электрические, аккумуляторные</v>
      </c>
      <c r="I713" s="36">
        <v>9315</v>
      </c>
      <c r="J713" s="36" t="str">
        <f>IFERROR(INDEX(Product_Structure[Generic Name (long)],MATCH(Товары[[#This Row],[SubGroup]],Product_Structure[Subgroup],0)),"")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Row],[SubGroup]],DIY!$B:$C,2,FALSE),0)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3" t="str">
        <f>IFERROR(INDEX(Product_Structure[SuperCategory],MATCH(Товары[[#This Row],[SubGroup]],Product_Structure[Subgroup],0)),"")</f>
        <v>L</v>
      </c>
      <c r="D714" s="113" t="str">
        <f>IFERROR(INDEX(Product_Structure[SuperCategory Name ENG],MATCH(Товары[[#This Row],[SubGroup]],Product_Structure[Subgroup],0)),"")</f>
        <v>Walk Behind (electric, battery) + spare parts</v>
      </c>
      <c r="E714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4" s="113" t="str">
        <f>IFERROR(INDEX(Product_Structure[Product group],MATCH(Товары[[#This Row],[SubGroup]],Product_Structure[Subgroup],0)),"")</f>
        <v>LEP_C</v>
      </c>
      <c r="G714" s="113" t="str">
        <f>IFERROR(INDEX(Product_Structure[Product group name ENG],MATCH(Товары[[#This Row],[SubGroup]],Product_Structure[Subgroup],0)),"")</f>
        <v>Lawn, Electric, Other Products</v>
      </c>
      <c r="H714" s="113" t="str">
        <f>IFERROR(INDEX(Product_Structure[Generic Name (long)3],MATCH(Товары[[#This Row],[SubGroup]],Product_Structure[Subgroup],0)),"")</f>
        <v>Скарификаторы электрические, аккумуляторные</v>
      </c>
      <c r="I714" s="36">
        <v>9315</v>
      </c>
      <c r="J714" s="36" t="str">
        <f>IFERROR(INDEX(Product_Structure[Generic Name (long)],MATCH(Товары[[#This Row],[SubGroup]],Product_Structure[Subgroup],0)),"")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Row],[SubGroup]],DIY!$B:$C,2,FALSE),0)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3" t="str">
        <f>IFERROR(INDEX(Product_Structure[SuperCategory],MATCH(Товары[[#This Row],[SubGroup]],Product_Structure[Subgroup],0)),"")</f>
        <v>L</v>
      </c>
      <c r="D715" s="113" t="str">
        <f>IFERROR(INDEX(Product_Structure[SuperCategory Name ENG],MATCH(Товары[[#This Row],[SubGroup]],Product_Structure[Subgroup],0)),"")</f>
        <v>Walk Behind (electric, battery) + spare parts</v>
      </c>
      <c r="E715" s="113" t="str">
        <f>IFERROR(INDEX(Product_Structure[SuperCategory Name RUS],MATCH(Товары[[#This Row],[SubGroup]],Product_Structure[Subgroup],0)),"")</f>
        <v>Электрическая и аккумуляторная самоходная техника + зап.части</v>
      </c>
      <c r="F715" s="113" t="str">
        <f>IFERROR(INDEX(Product_Structure[Product group],MATCH(Товары[[#This Row],[SubGroup]],Product_Structure[Subgroup],0)),"")</f>
        <v>LEP_C</v>
      </c>
      <c r="G715" s="113" t="str">
        <f>IFERROR(INDEX(Product_Structure[Product group name ENG],MATCH(Товары[[#This Row],[SubGroup]],Product_Structure[Subgroup],0)),"")</f>
        <v>Lawn, Electric, Other Products</v>
      </c>
      <c r="H715" s="113" t="str">
        <f>IFERROR(INDEX(Product_Structure[Generic Name (long)3],MATCH(Товары[[#This Row],[SubGroup]],Product_Structure[Subgroup],0)),"")</f>
        <v>Скарификаторы электрические, аккумуляторные</v>
      </c>
      <c r="I715" s="36">
        <v>9315</v>
      </c>
      <c r="J715" s="36" t="str">
        <f>IFERROR(INDEX(Product_Structure[Generic Name (long)],MATCH(Товары[[#This Row],[SubGroup]],Product_Structure[Subgroup],0)),"")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Row],[SubGroup]],DIY!$B:$C,2,FALSE),0)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3" t="str">
        <f>IFERROR(INDEX(Product_Structure[SuperCategory],MATCH(Товары[[#This Row],[SubGroup]],Product_Structure[Subgroup],0)),"")</f>
        <v>A</v>
      </c>
      <c r="D716" s="113" t="str">
        <f>IFERROR(INDEX(Product_Structure[SuperCategory Name ENG],MATCH(Товары[[#This Row],[SubGroup]],Product_Structure[Subgroup],0)),"")</f>
        <v>Hand&amp;Cutting tools, Accessories</v>
      </c>
      <c r="E716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16" s="113" t="str">
        <f>IFERROR(INDEX(Product_Structure[Product group],MATCH(Товары[[#This Row],[SubGroup]],Product_Structure[Subgroup],0)),"")</f>
        <v>LML_C</v>
      </c>
      <c r="G716" s="113" t="str">
        <f>IFERROR(INDEX(Product_Structure[Product group name ENG],MATCH(Товары[[#This Row],[SubGroup]],Product_Structure[Subgroup],0)),"")</f>
        <v>Lawn (Walk behind), Manual, Lawn mowers</v>
      </c>
      <c r="H716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16" s="36">
        <v>9311</v>
      </c>
      <c r="J716" s="36" t="str">
        <f>IFERROR(INDEX(Product_Structure[Generic Name (long)],MATCH(Товары[[#This Row],[SubGroup]],Product_Structure[Subgroup],0)),"")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Row],[SubGroup]],DIY!$B:$C,2,FALSE),0)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3" t="str">
        <f>IFERROR(INDEX(Product_Structure[SuperCategory],MATCH(Товары[[#This Row],[SubGroup]],Product_Structure[Subgroup],0)),"")</f>
        <v>A</v>
      </c>
      <c r="D717" s="113" t="str">
        <f>IFERROR(INDEX(Product_Structure[SuperCategory Name ENG],MATCH(Товары[[#This Row],[SubGroup]],Product_Structure[Subgroup],0)),"")</f>
        <v>Hand&amp;Cutting tools, Accessories</v>
      </c>
      <c r="E717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17" s="113" t="str">
        <f>IFERROR(INDEX(Product_Structure[Product group],MATCH(Товары[[#This Row],[SubGroup]],Product_Structure[Subgroup],0)),"")</f>
        <v>LML_C</v>
      </c>
      <c r="G717" s="113" t="str">
        <f>IFERROR(INDEX(Product_Structure[Product group name ENG],MATCH(Товары[[#This Row],[SubGroup]],Product_Structure[Subgroup],0)),"")</f>
        <v>Lawn (Walk behind), Manual, Lawn mowers</v>
      </c>
      <c r="H717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17" s="36">
        <v>9311</v>
      </c>
      <c r="J717" s="36" t="str">
        <f>IFERROR(INDEX(Product_Structure[Generic Name (long)],MATCH(Товары[[#This Row],[SubGroup]],Product_Structure[Subgroup],0)),"")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Row],[SubGroup]],DIY!$B:$C,2,FALSE),0)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3" t="str">
        <f>IFERROR(INDEX(Product_Structure[SuperCategory],MATCH(Товары[[#This Row],[SubGroup]],Product_Structure[Subgroup],0)),"")</f>
        <v>A</v>
      </c>
      <c r="D718" s="113" t="str">
        <f>IFERROR(INDEX(Product_Structure[SuperCategory Name ENG],MATCH(Товары[[#This Row],[SubGroup]],Product_Structure[Subgroup],0)),"")</f>
        <v>Hand&amp;Cutting tools, Accessories</v>
      </c>
      <c r="E718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18" s="113" t="str">
        <f>IFERROR(INDEX(Product_Structure[Product group],MATCH(Товары[[#This Row],[SubGroup]],Product_Structure[Subgroup],0)),"")</f>
        <v>LML_C</v>
      </c>
      <c r="G718" s="113" t="str">
        <f>IFERROR(INDEX(Product_Structure[Product group name ENG],MATCH(Товары[[#This Row],[SubGroup]],Product_Structure[Subgroup],0)),"")</f>
        <v>Lawn (Walk behind), Manual, Lawn mowers</v>
      </c>
      <c r="H718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18" s="36">
        <v>9311</v>
      </c>
      <c r="J718" s="36" t="str">
        <f>IFERROR(INDEX(Product_Structure[Generic Name (long)],MATCH(Товары[[#This Row],[SubGroup]],Product_Structure[Subgroup],0)),"")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Row],[SubGroup]],DIY!$B:$C,2,FALSE),0)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3" t="str">
        <f>IFERROR(INDEX(Product_Structure[SuperCategory],MATCH(Товары[[#This Row],[SubGroup]],Product_Structure[Subgroup],0)),"")</f>
        <v>A</v>
      </c>
      <c r="D719" s="113" t="str">
        <f>IFERROR(INDEX(Product_Structure[SuperCategory Name ENG],MATCH(Товары[[#This Row],[SubGroup]],Product_Structure[Subgroup],0)),"")</f>
        <v>Hand&amp;Cutting tools, Accessories</v>
      </c>
      <c r="E719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19" s="113" t="str">
        <f>IFERROR(INDEX(Product_Structure[Product group],MATCH(Товары[[#This Row],[SubGroup]],Product_Structure[Subgroup],0)),"")</f>
        <v>LML_C</v>
      </c>
      <c r="G719" s="113" t="str">
        <f>IFERROR(INDEX(Product_Structure[Product group name ENG],MATCH(Товары[[#This Row],[SubGroup]],Product_Structure[Subgroup],0)),"")</f>
        <v>Lawn (Walk behind), Manual, Lawn mowers</v>
      </c>
      <c r="H719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19" s="36">
        <v>9311</v>
      </c>
      <c r="J719" s="36" t="str">
        <f>IFERROR(INDEX(Product_Structure[Generic Name (long)],MATCH(Товары[[#This Row],[SubGroup]],Product_Structure[Subgroup],0)),"")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Row],[SubGroup]],DIY!$B:$C,2,FALSE),0)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3" t="str">
        <f>IFERROR(INDEX(Product_Structure[SuperCategory],MATCH(Товары[[#This Row],[SubGroup]],Product_Structure[Subgroup],0)),"")</f>
        <v>A</v>
      </c>
      <c r="D720" s="113" t="str">
        <f>IFERROR(INDEX(Product_Structure[SuperCategory Name ENG],MATCH(Товары[[#This Row],[SubGroup]],Product_Structure[Subgroup],0)),"")</f>
        <v>Hand&amp;Cutting tools, Accessories</v>
      </c>
      <c r="E720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20" s="113" t="str">
        <f>IFERROR(INDEX(Product_Structure[Product group],MATCH(Товары[[#This Row],[SubGroup]],Product_Structure[Subgroup],0)),"")</f>
        <v>LML_C</v>
      </c>
      <c r="G720" s="113" t="str">
        <f>IFERROR(INDEX(Product_Structure[Product group name ENG],MATCH(Товары[[#This Row],[SubGroup]],Product_Structure[Subgroup],0)),"")</f>
        <v>Lawn (Walk behind), Manual, Lawn mowers</v>
      </c>
      <c r="H720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20" s="36">
        <v>9311</v>
      </c>
      <c r="J720" s="36" t="str">
        <f>IFERROR(INDEX(Product_Structure[Generic Name (long)],MATCH(Товары[[#This Row],[SubGroup]],Product_Structure[Subgroup],0)),"")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Row],[SubGroup]],DIY!$B:$C,2,FALSE),0)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3" t="str">
        <f>IFERROR(INDEX(Product_Structure[SuperCategory],MATCH(Товары[[#This Row],[SubGroup]],Product_Structure[Subgroup],0)),"")</f>
        <v>A</v>
      </c>
      <c r="D721" s="113" t="str">
        <f>IFERROR(INDEX(Product_Structure[SuperCategory Name ENG],MATCH(Товары[[#This Row],[SubGroup]],Product_Structure[Subgroup],0)),"")</f>
        <v>Hand&amp;Cutting tools, Accessories</v>
      </c>
      <c r="E721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21" s="113" t="str">
        <f>IFERROR(INDEX(Product_Structure[Product group],MATCH(Товары[[#This Row],[SubGroup]],Product_Structure[Subgroup],0)),"")</f>
        <v>LML_C</v>
      </c>
      <c r="G721" s="113" t="str">
        <f>IFERROR(INDEX(Product_Structure[Product group name ENG],MATCH(Товары[[#This Row],[SubGroup]],Product_Structure[Subgroup],0)),"")</f>
        <v>Lawn (Walk behind), Manual, Lawn mowers</v>
      </c>
      <c r="H721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21" s="36">
        <v>9311</v>
      </c>
      <c r="J721" s="36" t="str">
        <f>IFERROR(INDEX(Product_Structure[Generic Name (long)],MATCH(Товары[[#This Row],[SubGroup]],Product_Structure[Subgroup],0)),"")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Row],[SubGroup]],DIY!$B:$C,2,FALSE),0)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3" t="str">
        <f>IFERROR(INDEX(Product_Structure[SuperCategory],MATCH(Товары[[#This Row],[SubGroup]],Product_Structure[Subgroup],0)),"")</f>
        <v>A</v>
      </c>
      <c r="D722" s="113" t="str">
        <f>IFERROR(INDEX(Product_Structure[SuperCategory Name ENG],MATCH(Товары[[#This Row],[SubGroup]],Product_Structure[Subgroup],0)),"")</f>
        <v>Hand&amp;Cutting tools, Accessories</v>
      </c>
      <c r="E722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22" s="113" t="str">
        <f>IFERROR(INDEX(Product_Structure[Product group],MATCH(Товары[[#This Row],[SubGroup]],Product_Structure[Subgroup],0)),"")</f>
        <v>LML_C</v>
      </c>
      <c r="G722" s="113" t="str">
        <f>IFERROR(INDEX(Product_Structure[Product group name ENG],MATCH(Товары[[#This Row],[SubGroup]],Product_Structure[Subgroup],0)),"")</f>
        <v>Lawn (Walk behind), Manual, Lawn mowers</v>
      </c>
      <c r="H722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22" s="36">
        <v>9311</v>
      </c>
      <c r="J722" s="36" t="str">
        <f>IFERROR(INDEX(Product_Structure[Generic Name (long)],MATCH(Товары[[#This Row],[SubGroup]],Product_Structure[Subgroup],0)),"")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Row],[SubGroup]],DIY!$B:$C,2,FALSE),0)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3" t="str">
        <f>IFERROR(INDEX(Product_Structure[SuperCategory],MATCH(Товары[[#This Row],[SubGroup]],Product_Structure[Subgroup],0)),"")</f>
        <v/>
      </c>
      <c r="D723" s="113" t="str">
        <f>IFERROR(INDEX(Product_Structure[SuperCategory Name ENG],MATCH(Товары[[#This Row],[SubGroup]],Product_Structure[Subgroup],0)),"")</f>
        <v/>
      </c>
      <c r="E723" s="113" t="str">
        <f>IFERROR(INDEX(Product_Structure[SuperCategory Name RUS],MATCH(Товары[[#This Row],[SubGroup]],Product_Structure[Subgroup],0)),"")</f>
        <v/>
      </c>
      <c r="F723" s="113" t="str">
        <f>IFERROR(INDEX(Product_Structure[Product group],MATCH(Товары[[#This Row],[SubGroup]],Product_Structure[Subgroup],0)),"")</f>
        <v/>
      </c>
      <c r="G723" s="113" t="str">
        <f>IFERROR(INDEX(Product_Structure[Product group name ENG],MATCH(Товары[[#This Row],[SubGroup]],Product_Structure[Subgroup],0)),"")</f>
        <v/>
      </c>
      <c r="H723" s="113" t="str">
        <f>IFERROR(INDEX(Product_Structure[Generic Name (long)3],MATCH(Товары[[#This Row],[SubGroup]],Product_Structure[Subgroup],0)),"")</f>
        <v/>
      </c>
      <c r="I723" s="36">
        <v>8059</v>
      </c>
      <c r="J723" s="36" t="str">
        <f>IFERROR(INDEX(Product_Structure[Generic Name (long)],MATCH(Товары[[#This Row],[SubGroup]],Product_Structure[Subgroup],0)),"")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Row],[SubGroup]],DIY!$B:$C,2,FALSE),0)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3" t="str">
        <f>IFERROR(INDEX(Product_Structure[SuperCategory],MATCH(Товары[[#This Row],[SubGroup]],Product_Structure[Subgroup],0)),"")</f>
        <v/>
      </c>
      <c r="D724" s="113" t="str">
        <f>IFERROR(INDEX(Product_Structure[SuperCategory Name ENG],MATCH(Товары[[#This Row],[SubGroup]],Product_Structure[Subgroup],0)),"")</f>
        <v/>
      </c>
      <c r="E724" s="113" t="str">
        <f>IFERROR(INDEX(Product_Structure[SuperCategory Name RUS],MATCH(Товары[[#This Row],[SubGroup]],Product_Structure[Subgroup],0)),"")</f>
        <v/>
      </c>
      <c r="F724" s="113" t="str">
        <f>IFERROR(INDEX(Product_Structure[Product group],MATCH(Товары[[#This Row],[SubGroup]],Product_Structure[Subgroup],0)),"")</f>
        <v/>
      </c>
      <c r="G724" s="113" t="str">
        <f>IFERROR(INDEX(Product_Structure[Product group name ENG],MATCH(Товары[[#This Row],[SubGroup]],Product_Structure[Subgroup],0)),"")</f>
        <v/>
      </c>
      <c r="H724" s="113" t="str">
        <f>IFERROR(INDEX(Product_Structure[Generic Name (long)3],MATCH(Товары[[#This Row],[SubGroup]],Product_Structure[Subgroup],0)),"")</f>
        <v/>
      </c>
      <c r="I724" s="36">
        <v>8059</v>
      </c>
      <c r="J724" s="36" t="str">
        <f>IFERROR(INDEX(Product_Structure[Generic Name (long)],MATCH(Товары[[#This Row],[SubGroup]],Product_Structure[Subgroup],0)),"")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Row],[SubGroup]],DIY!$B:$C,2,FALSE),0)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3" t="str">
        <f>IFERROR(INDEX(Product_Structure[SuperCategory],MATCH(Товары[[#This Row],[SubGroup]],Product_Structure[Subgroup],0)),"")</f>
        <v/>
      </c>
      <c r="D725" s="113" t="str">
        <f>IFERROR(INDEX(Product_Structure[SuperCategory Name ENG],MATCH(Товары[[#This Row],[SubGroup]],Product_Structure[Subgroup],0)),"")</f>
        <v/>
      </c>
      <c r="E725" s="113" t="str">
        <f>IFERROR(INDEX(Product_Structure[SuperCategory Name RUS],MATCH(Товары[[#This Row],[SubGroup]],Product_Structure[Subgroup],0)),"")</f>
        <v/>
      </c>
      <c r="F725" s="113" t="str">
        <f>IFERROR(INDEX(Product_Structure[Product group],MATCH(Товары[[#This Row],[SubGroup]],Product_Structure[Subgroup],0)),"")</f>
        <v/>
      </c>
      <c r="G725" s="113" t="str">
        <f>IFERROR(INDEX(Product_Structure[Product group name ENG],MATCH(Товары[[#This Row],[SubGroup]],Product_Structure[Subgroup],0)),"")</f>
        <v/>
      </c>
      <c r="H725" s="113" t="str">
        <f>IFERROR(INDEX(Product_Structure[Generic Name (long)3],MATCH(Товары[[#This Row],[SubGroup]],Product_Structure[Subgroup],0)),"")</f>
        <v/>
      </c>
      <c r="I725" s="36">
        <v>8059</v>
      </c>
      <c r="J725" s="36" t="str">
        <f>IFERROR(INDEX(Product_Structure[Generic Name (long)],MATCH(Товары[[#This Row],[SubGroup]],Product_Structure[Subgroup],0)),"")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Row],[SubGroup]],DIY!$B:$C,2,FALSE),0)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3" t="str">
        <f>IFERROR(INDEX(Product_Structure[SuperCategory],MATCH(Товары[[#This Row],[SubGroup]],Product_Structure[Subgroup],0)),"")</f>
        <v/>
      </c>
      <c r="D726" s="113" t="str">
        <f>IFERROR(INDEX(Product_Structure[SuperCategory Name ENG],MATCH(Товары[[#This Row],[SubGroup]],Product_Structure[Subgroup],0)),"")</f>
        <v/>
      </c>
      <c r="E726" s="113" t="str">
        <f>IFERROR(INDEX(Product_Structure[SuperCategory Name RUS],MATCH(Товары[[#This Row],[SubGroup]],Product_Structure[Subgroup],0)),"")</f>
        <v/>
      </c>
      <c r="F726" s="113" t="str">
        <f>IFERROR(INDEX(Product_Structure[Product group],MATCH(Товары[[#This Row],[SubGroup]],Product_Structure[Subgroup],0)),"")</f>
        <v/>
      </c>
      <c r="G726" s="113" t="str">
        <f>IFERROR(INDEX(Product_Structure[Product group name ENG],MATCH(Товары[[#This Row],[SubGroup]],Product_Structure[Subgroup],0)),"")</f>
        <v/>
      </c>
      <c r="H726" s="113" t="str">
        <f>IFERROR(INDEX(Product_Structure[Generic Name (long)3],MATCH(Товары[[#This Row],[SubGroup]],Product_Structure[Subgroup],0)),"")</f>
        <v/>
      </c>
      <c r="I726" s="36">
        <v>8059</v>
      </c>
      <c r="J726" s="36" t="str">
        <f>IFERROR(INDEX(Product_Structure[Generic Name (long)],MATCH(Товары[[#This Row],[SubGroup]],Product_Structure[Subgroup],0)),"")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Row],[SubGroup]],DIY!$B:$C,2,FALSE),0)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3" t="str">
        <f>IFERROR(INDEX(Product_Structure[SuperCategory],MATCH(Товары[[#This Row],[SubGroup]],Product_Structure[Subgroup],0)),"")</f>
        <v/>
      </c>
      <c r="D727" s="113" t="str">
        <f>IFERROR(INDEX(Product_Structure[SuperCategory Name ENG],MATCH(Товары[[#This Row],[SubGroup]],Product_Structure[Subgroup],0)),"")</f>
        <v/>
      </c>
      <c r="E727" s="113" t="str">
        <f>IFERROR(INDEX(Product_Structure[SuperCategory Name RUS],MATCH(Товары[[#This Row],[SubGroup]],Product_Structure[Subgroup],0)),"")</f>
        <v/>
      </c>
      <c r="F727" s="113" t="str">
        <f>IFERROR(INDEX(Product_Structure[Product group],MATCH(Товары[[#This Row],[SubGroup]],Product_Structure[Subgroup],0)),"")</f>
        <v/>
      </c>
      <c r="G727" s="113" t="str">
        <f>IFERROR(INDEX(Product_Structure[Product group name ENG],MATCH(Товары[[#This Row],[SubGroup]],Product_Structure[Subgroup],0)),"")</f>
        <v/>
      </c>
      <c r="H727" s="113" t="str">
        <f>IFERROR(INDEX(Product_Structure[Generic Name (long)3],MATCH(Товары[[#This Row],[SubGroup]],Product_Structure[Subgroup],0)),"")</f>
        <v/>
      </c>
      <c r="I727" s="36">
        <v>8059</v>
      </c>
      <c r="J727" s="36" t="str">
        <f>IFERROR(INDEX(Product_Structure[Generic Name (long)],MATCH(Товары[[#This Row],[SubGroup]],Product_Structure[Subgroup],0)),"")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Row],[SubGroup]],DIY!$B:$C,2,FALSE),0)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3" t="str">
        <f>IFERROR(INDEX(Product_Structure[SuperCategory],MATCH(Товары[[#This Row],[SubGroup]],Product_Structure[Subgroup],0)),"")</f>
        <v/>
      </c>
      <c r="D728" s="113" t="str">
        <f>IFERROR(INDEX(Product_Structure[SuperCategory Name ENG],MATCH(Товары[[#This Row],[SubGroup]],Product_Structure[Subgroup],0)),"")</f>
        <v/>
      </c>
      <c r="E728" s="113" t="str">
        <f>IFERROR(INDEX(Product_Structure[SuperCategory Name RUS],MATCH(Товары[[#This Row],[SubGroup]],Product_Structure[Subgroup],0)),"")</f>
        <v/>
      </c>
      <c r="F728" s="113" t="str">
        <f>IFERROR(INDEX(Product_Structure[Product group],MATCH(Товары[[#This Row],[SubGroup]],Product_Structure[Subgroup],0)),"")</f>
        <v/>
      </c>
      <c r="G728" s="113" t="str">
        <f>IFERROR(INDEX(Product_Structure[Product group name ENG],MATCH(Товары[[#This Row],[SubGroup]],Product_Structure[Subgroup],0)),"")</f>
        <v/>
      </c>
      <c r="H728" s="113" t="str">
        <f>IFERROR(INDEX(Product_Structure[Generic Name (long)3],MATCH(Товары[[#This Row],[SubGroup]],Product_Structure[Subgroup],0)),"")</f>
        <v/>
      </c>
      <c r="I728" s="36">
        <v>8059</v>
      </c>
      <c r="J728" s="36" t="str">
        <f>IFERROR(INDEX(Product_Structure[Generic Name (long)],MATCH(Товары[[#This Row],[SubGroup]],Product_Structure[Subgroup],0)),"")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Row],[SubGroup]],DIY!$B:$C,2,FALSE),0)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3" t="str">
        <f>IFERROR(INDEX(Product_Structure[SuperCategory],MATCH(Товары[[#This Row],[SubGroup]],Product_Structure[Subgroup],0)),"")</f>
        <v/>
      </c>
      <c r="D729" s="113" t="str">
        <f>IFERROR(INDEX(Product_Structure[SuperCategory Name ENG],MATCH(Товары[[#This Row],[SubGroup]],Product_Structure[Subgroup],0)),"")</f>
        <v/>
      </c>
      <c r="E729" s="113" t="str">
        <f>IFERROR(INDEX(Product_Structure[SuperCategory Name RUS],MATCH(Товары[[#This Row],[SubGroup]],Product_Structure[Subgroup],0)),"")</f>
        <v/>
      </c>
      <c r="F729" s="113" t="str">
        <f>IFERROR(INDEX(Product_Structure[Product group],MATCH(Товары[[#This Row],[SubGroup]],Product_Structure[Subgroup],0)),"")</f>
        <v/>
      </c>
      <c r="G729" s="113" t="str">
        <f>IFERROR(INDEX(Product_Structure[Product group name ENG],MATCH(Товары[[#This Row],[SubGroup]],Product_Structure[Subgroup],0)),"")</f>
        <v/>
      </c>
      <c r="H729" s="113" t="str">
        <f>IFERROR(INDEX(Product_Structure[Generic Name (long)3],MATCH(Товары[[#This Row],[SubGroup]],Product_Structure[Subgroup],0)),"")</f>
        <v/>
      </c>
      <c r="I729" s="36">
        <v>8059</v>
      </c>
      <c r="J729" s="36" t="str">
        <f>IFERROR(INDEX(Product_Structure[Generic Name (long)],MATCH(Товары[[#This Row],[SubGroup]],Product_Structure[Subgroup],0)),"")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Row],[SubGroup]],DIY!$B:$C,2,FALSE),0)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3" t="str">
        <f>IFERROR(INDEX(Product_Structure[SuperCategory],MATCH(Товары[[#This Row],[SubGroup]],Product_Structure[Subgroup],0)),"")</f>
        <v/>
      </c>
      <c r="D730" s="113" t="str">
        <f>IFERROR(INDEX(Product_Structure[SuperCategory Name ENG],MATCH(Товары[[#This Row],[SubGroup]],Product_Structure[Subgroup],0)),"")</f>
        <v/>
      </c>
      <c r="E730" s="113" t="str">
        <f>IFERROR(INDEX(Product_Structure[SuperCategory Name RUS],MATCH(Товары[[#This Row],[SubGroup]],Product_Structure[Subgroup],0)),"")</f>
        <v/>
      </c>
      <c r="F730" s="113" t="str">
        <f>IFERROR(INDEX(Product_Structure[Product group],MATCH(Товары[[#This Row],[SubGroup]],Product_Structure[Subgroup],0)),"")</f>
        <v/>
      </c>
      <c r="G730" s="113" t="str">
        <f>IFERROR(INDEX(Product_Structure[Product group name ENG],MATCH(Товары[[#This Row],[SubGroup]],Product_Structure[Subgroup],0)),"")</f>
        <v/>
      </c>
      <c r="H730" s="113" t="str">
        <f>IFERROR(INDEX(Product_Structure[Generic Name (long)3],MATCH(Товары[[#This Row],[SubGroup]],Product_Structure[Subgroup],0)),"")</f>
        <v/>
      </c>
      <c r="I730" s="36">
        <v>8059</v>
      </c>
      <c r="J730" s="36" t="str">
        <f>IFERROR(INDEX(Product_Structure[Generic Name (long)],MATCH(Товары[[#This Row],[SubGroup]],Product_Structure[Subgroup],0)),"")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Row],[SubGroup]],DIY!$B:$C,2,FALSE),0)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3" t="str">
        <f>IFERROR(INDEX(Product_Structure[SuperCategory],MATCH(Товары[[#This Row],[SubGroup]],Product_Structure[Subgroup],0)),"")</f>
        <v/>
      </c>
      <c r="D731" s="113" t="str">
        <f>IFERROR(INDEX(Product_Structure[SuperCategory Name ENG],MATCH(Товары[[#This Row],[SubGroup]],Product_Structure[Subgroup],0)),"")</f>
        <v/>
      </c>
      <c r="E731" s="113" t="str">
        <f>IFERROR(INDEX(Product_Structure[SuperCategory Name RUS],MATCH(Товары[[#This Row],[SubGroup]],Product_Structure[Subgroup],0)),"")</f>
        <v/>
      </c>
      <c r="F731" s="113" t="str">
        <f>IFERROR(INDEX(Product_Structure[Product group],MATCH(Товары[[#This Row],[SubGroup]],Product_Structure[Subgroup],0)),"")</f>
        <v/>
      </c>
      <c r="G731" s="113" t="str">
        <f>IFERROR(INDEX(Product_Structure[Product group name ENG],MATCH(Товары[[#This Row],[SubGroup]],Product_Structure[Subgroup],0)),"")</f>
        <v/>
      </c>
      <c r="H731" s="113" t="str">
        <f>IFERROR(INDEX(Product_Structure[Generic Name (long)3],MATCH(Товары[[#This Row],[SubGroup]],Product_Structure[Subgroup],0)),"")</f>
        <v/>
      </c>
      <c r="I731" s="36">
        <v>8059</v>
      </c>
      <c r="J731" s="36" t="str">
        <f>IFERROR(INDEX(Product_Structure[Generic Name (long)],MATCH(Товары[[#This Row],[SubGroup]],Product_Structure[Subgroup],0)),"")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Row],[SubGroup]],DIY!$B:$C,2,FALSE),0)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3" t="str">
        <f>IFERROR(INDEX(Product_Structure[SuperCategory],MATCH(Товары[[#This Row],[SubGroup]],Product_Structure[Subgroup],0)),"")</f>
        <v/>
      </c>
      <c r="D732" s="113" t="str">
        <f>IFERROR(INDEX(Product_Structure[SuperCategory Name ENG],MATCH(Товары[[#This Row],[SubGroup]],Product_Structure[Subgroup],0)),"")</f>
        <v/>
      </c>
      <c r="E732" s="113" t="str">
        <f>IFERROR(INDEX(Product_Structure[SuperCategory Name RUS],MATCH(Товары[[#This Row],[SubGroup]],Product_Structure[Subgroup],0)),"")</f>
        <v/>
      </c>
      <c r="F732" s="113" t="str">
        <f>IFERROR(INDEX(Product_Structure[Product group],MATCH(Товары[[#This Row],[SubGroup]],Product_Structure[Subgroup],0)),"")</f>
        <v/>
      </c>
      <c r="G732" s="113" t="str">
        <f>IFERROR(INDEX(Product_Structure[Product group name ENG],MATCH(Товары[[#This Row],[SubGroup]],Product_Structure[Subgroup],0)),"")</f>
        <v/>
      </c>
      <c r="H732" s="113" t="str">
        <f>IFERROR(INDEX(Product_Structure[Generic Name (long)3],MATCH(Товары[[#This Row],[SubGroup]],Product_Structure[Subgroup],0)),"")</f>
        <v/>
      </c>
      <c r="I732" s="36">
        <v>8059</v>
      </c>
      <c r="J732" s="36" t="str">
        <f>IFERROR(INDEX(Product_Structure[Generic Name (long)],MATCH(Товары[[#This Row],[SubGroup]],Product_Structure[Subgroup],0)),"")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Row],[SubGroup]],DIY!$B:$C,2,FALSE),0)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3" t="str">
        <f>IFERROR(INDEX(Product_Structure[SuperCategory],MATCH(Товары[[#This Row],[SubGroup]],Product_Structure[Subgroup],0)),"")</f>
        <v>A</v>
      </c>
      <c r="D733" s="113" t="str">
        <f>IFERROR(INDEX(Product_Structure[SuperCategory Name ENG],MATCH(Товары[[#This Row],[SubGroup]],Product_Structure[Subgroup],0)),"")</f>
        <v>Hand&amp;Cutting tools, Accessories</v>
      </c>
      <c r="E733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33" s="113" t="str">
        <f>IFERROR(INDEX(Product_Structure[Product group],MATCH(Товары[[#This Row],[SubGroup]],Product_Structure[Subgroup],0)),"")</f>
        <v>LML_C</v>
      </c>
      <c r="G733" s="113" t="str">
        <f>IFERROR(INDEX(Product_Structure[Product group name ENG],MATCH(Товары[[#This Row],[SubGroup]],Product_Structure[Subgroup],0)),"")</f>
        <v>Lawn (Walk behind), Manual, Lawn mowers</v>
      </c>
      <c r="H733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33" s="36">
        <v>9311</v>
      </c>
      <c r="J733" s="36" t="str">
        <f>IFERROR(INDEX(Product_Structure[Generic Name (long)],MATCH(Товары[[#This Row],[SubGroup]],Product_Structure[Subgroup],0)),"")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Row],[SubGroup]],DIY!$B:$C,2,FALSE),0)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3" t="str">
        <f>IFERROR(INDEX(Product_Structure[SuperCategory],MATCH(Товары[[#This Row],[SubGroup]],Product_Structure[Subgroup],0)),"")</f>
        <v>A</v>
      </c>
      <c r="D734" s="113" t="str">
        <f>IFERROR(INDEX(Product_Structure[SuperCategory Name ENG],MATCH(Товары[[#This Row],[SubGroup]],Product_Structure[Subgroup],0)),"")</f>
        <v>Hand&amp;Cutting tools, Accessories</v>
      </c>
      <c r="E734" s="113" t="str">
        <f>IFERROR(INDEX(Product_Structure[SuperCategory Name RUS],MATCH(Товары[[#This Row],[SubGroup]],Product_Structure[Subgroup],0)),"")</f>
        <v>Ручные и режущие инструменты, Аксессуары</v>
      </c>
      <c r="F734" s="113" t="str">
        <f>IFERROR(INDEX(Product_Structure[Product group],MATCH(Товары[[#This Row],[SubGroup]],Product_Structure[Subgroup],0)),"")</f>
        <v>LML_C</v>
      </c>
      <c r="G734" s="113" t="str">
        <f>IFERROR(INDEX(Product_Structure[Product group name ENG],MATCH(Товары[[#This Row],[SubGroup]],Product_Structure[Subgroup],0)),"")</f>
        <v>Lawn (Walk behind), Manual, Lawn mowers</v>
      </c>
      <c r="H734" s="113" t="str">
        <f>IFERROR(INDEX(Product_Structure[Generic Name (long)3],MATCH(Товары[[#This Row],[SubGroup]],Product_Structure[Subgroup],0)),"")</f>
        <v>Барабанные газонокосилки механические</v>
      </c>
      <c r="I734" s="36">
        <v>9311</v>
      </c>
      <c r="J734" s="36" t="str">
        <f>IFERROR(INDEX(Product_Structure[Generic Name (long)],MATCH(Товары[[#This Row],[SubGroup]],Product_Structure[Subgroup],0)),"")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Row],[SubGroup]],DIY!$B:$C,2,FALSE),0)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3" t="str">
        <f>IFERROR(INDEX(Product_Structure[SuperCategory],MATCH(Товары[[#This Row],[SubGroup]],Product_Structure[Subgroup],0)),"")</f>
        <v>R</v>
      </c>
      <c r="D735" s="113" t="str">
        <f>IFERROR(INDEX(Product_Structure[SuperCategory Name ENG],MATCH(Товары[[#This Row],[SubGroup]],Product_Structure[Subgroup],0)),"")</f>
        <v>Robotic&amp;Accsessories + spare parts for robotic</v>
      </c>
      <c r="E735" s="113" t="str">
        <f>IFERROR(INDEX(Product_Structure[SuperCategory Name RUS],MATCH(Товары[[#This Row],[SubGroup]],Product_Structure[Subgroup],0)),"")</f>
        <v>Газонокосилки-роботы + зап.части</v>
      </c>
      <c r="F735" s="113" t="str">
        <f>IFERROR(INDEX(Product_Structure[Product group],MATCH(Товары[[#This Row],[SubGroup]],Product_Structure[Subgroup],0)),"")</f>
        <v>LRL_C</v>
      </c>
      <c r="G735" s="113" t="str">
        <f>IFERROR(INDEX(Product_Structure[Product group name ENG],MATCH(Товары[[#This Row],[SubGroup]],Product_Structure[Subgroup],0)),"")</f>
        <v>Lawn, Robotic, Lawn mowers</v>
      </c>
      <c r="H735" s="113" t="str">
        <f>IFERROR(INDEX(Product_Structure[Generic Name (long)3],MATCH(Товары[[#This Row],[SubGroup]],Product_Structure[Subgroup],0)),"")</f>
        <v>Газонокосилки-роботы</v>
      </c>
      <c r="I735" s="36">
        <v>1230</v>
      </c>
      <c r="J735" s="36" t="str">
        <f>IFERROR(INDEX(Product_Structure[Generic Name (long)],MATCH(Товары[[#This Row],[SubGroup]],Product_Structure[Subgroup],0)),"")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Row],[SubGroup]],DIY!$B:$C,2,FALSE),0)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3" t="str">
        <f>IFERROR(INDEX(Product_Structure[SuperCategory],MATCH(Товары[[#This Row],[SubGroup]],Product_Structure[Subgroup],0)),"")</f>
        <v>R</v>
      </c>
      <c r="D736" s="113" t="str">
        <f>IFERROR(INDEX(Product_Structure[SuperCategory Name ENG],MATCH(Товары[[#This Row],[SubGroup]],Product_Structure[Subgroup],0)),"")</f>
        <v>Robotic&amp;Accsessories + spare parts for robotic</v>
      </c>
      <c r="E736" s="113" t="str">
        <f>IFERROR(INDEX(Product_Structure[SuperCategory Name RUS],MATCH(Товары[[#This Row],[SubGroup]],Product_Structure[Subgroup],0)),"")</f>
        <v>Газонокосилки-роботы + зап.части</v>
      </c>
      <c r="F736" s="113" t="str">
        <f>IFERROR(INDEX(Product_Structure[Product group],MATCH(Товары[[#This Row],[SubGroup]],Product_Structure[Subgroup],0)),"")</f>
        <v>LRL_C</v>
      </c>
      <c r="G736" s="113" t="str">
        <f>IFERROR(INDEX(Product_Structure[Product group name ENG],MATCH(Товары[[#This Row],[SubGroup]],Product_Structure[Subgroup],0)),"")</f>
        <v>Lawn, Robotic, Lawn mowers</v>
      </c>
      <c r="H736" s="113" t="str">
        <f>IFERROR(INDEX(Product_Structure[Generic Name (long)3],MATCH(Товары[[#This Row],[SubGroup]],Product_Structure[Subgroup],0)),"")</f>
        <v>Газонокосилки-роботы</v>
      </c>
      <c r="I736" s="36">
        <v>1230</v>
      </c>
      <c r="J736" s="36" t="str">
        <f>IFERROR(INDEX(Product_Structure[Generic Name (long)],MATCH(Товары[[#This Row],[SubGroup]],Product_Structure[Subgroup],0)),"")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Row],[SubGroup]],DIY!$B:$C,2,FALSE),0)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3" t="str">
        <f>IFERROR(INDEX(Product_Structure[SuperCategory],MATCH(Товары[[#This Row],[SubGroup]],Product_Structure[Subgroup],0)),"")</f>
        <v>R</v>
      </c>
      <c r="D737" s="113" t="str">
        <f>IFERROR(INDEX(Product_Structure[SuperCategory Name ENG],MATCH(Товары[[#This Row],[SubGroup]],Product_Structure[Subgroup],0)),"")</f>
        <v>Robotic&amp;Accsessories + spare parts for robotic</v>
      </c>
      <c r="E737" s="113" t="str">
        <f>IFERROR(INDEX(Product_Structure[SuperCategory Name RUS],MATCH(Товары[[#This Row],[SubGroup]],Product_Structure[Subgroup],0)),"")</f>
        <v>Газонокосилки-роботы + зап.части</v>
      </c>
      <c r="F737" s="113" t="str">
        <f>IFERROR(INDEX(Product_Structure[Product group],MATCH(Товары[[#This Row],[SubGroup]],Product_Structure[Subgroup],0)),"")</f>
        <v>LRL_C</v>
      </c>
      <c r="G737" s="113" t="str">
        <f>IFERROR(INDEX(Product_Structure[Product group name ENG],MATCH(Товары[[#This Row],[SubGroup]],Product_Structure[Subgroup],0)),"")</f>
        <v>Lawn, Robotic, Lawn mowers</v>
      </c>
      <c r="H737" s="113" t="str">
        <f>IFERROR(INDEX(Product_Structure[Generic Name (long)3],MATCH(Товары[[#This Row],[SubGroup]],Product_Structure[Subgroup],0)),"")</f>
        <v>Газонокосилки-роботы</v>
      </c>
      <c r="I737" s="36">
        <v>1230</v>
      </c>
      <c r="J737" s="36" t="str">
        <f>IFERROR(INDEX(Product_Structure[Generic Name (long)],MATCH(Товары[[#This Row],[SubGroup]],Product_Structure[Subgroup],0)),"")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Row],[SubGroup]],DIY!$B:$C,2,FALSE),0)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3" t="str">
        <f>IFERROR(INDEX(Product_Structure[SuperCategory],MATCH(Товары[[#This Row],[SubGroup]],Product_Structure[Subgroup],0)),"")</f>
        <v>R</v>
      </c>
      <c r="D738" s="113" t="str">
        <f>IFERROR(INDEX(Product_Structure[SuperCategory Name ENG],MATCH(Товары[[#This Row],[SubGroup]],Product_Structure[Subgroup],0)),"")</f>
        <v>Robotic&amp;Accsessories + spare parts for robotic</v>
      </c>
      <c r="E738" s="113" t="str">
        <f>IFERROR(INDEX(Product_Structure[SuperCategory Name RUS],MATCH(Товары[[#This Row],[SubGroup]],Product_Structure[Subgroup],0)),"")</f>
        <v>Газонокосилки-роботы + зап.части</v>
      </c>
      <c r="F738" s="113" t="str">
        <f>IFERROR(INDEX(Product_Structure[Product group],MATCH(Товары[[#This Row],[SubGroup]],Product_Structure[Subgroup],0)),"")</f>
        <v>LRL_C</v>
      </c>
      <c r="G738" s="113" t="str">
        <f>IFERROR(INDEX(Product_Structure[Product group name ENG],MATCH(Товары[[#This Row],[SubGroup]],Product_Structure[Subgroup],0)),"")</f>
        <v>Lawn, Robotic, Lawn mowers</v>
      </c>
      <c r="H738" s="113" t="str">
        <f>IFERROR(INDEX(Product_Structure[Generic Name (long)3],MATCH(Товары[[#This Row],[SubGroup]],Product_Structure[Subgroup],0)),"")</f>
        <v>Газонокосилки-роботы</v>
      </c>
      <c r="I738" s="36">
        <v>1230</v>
      </c>
      <c r="J738" s="36" t="str">
        <f>IFERROR(INDEX(Product_Structure[Generic Name (long)],MATCH(Товары[[#This Row],[SubGroup]],Product_Structure[Subgroup],0)),"")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Row],[SubGroup]],DIY!$B:$C,2,FALSE),0)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3" t="str">
        <f>IFERROR(INDEX(Product_Structure[SuperCategory],MATCH(Товары[[#This Row],[SubGroup]],Product_Structure[Subgroup],0)),"")</f>
        <v>R</v>
      </c>
      <c r="D739" s="113" t="str">
        <f>IFERROR(INDEX(Product_Structure[SuperCategory Name ENG],MATCH(Товары[[#This Row],[SubGroup]],Product_Structure[Subgroup],0)),"")</f>
        <v>Robotic&amp;Accsessories + spare parts for robotic</v>
      </c>
      <c r="E739" s="113" t="str">
        <f>IFERROR(INDEX(Product_Structure[SuperCategory Name RUS],MATCH(Товары[[#This Row],[SubGroup]],Product_Structure[Subgroup],0)),"")</f>
        <v>Газонокосилки-роботы + зап.части</v>
      </c>
      <c r="F739" s="113" t="str">
        <f>IFERROR(INDEX(Product_Structure[Product group],MATCH(Товары[[#This Row],[SubGroup]],Product_Structure[Subgroup],0)),"")</f>
        <v>LRL_C</v>
      </c>
      <c r="G739" s="113" t="str">
        <f>IFERROR(INDEX(Product_Structure[Product group name ENG],MATCH(Товары[[#This Row],[SubGroup]],Product_Structure[Subgroup],0)),"")</f>
        <v>Lawn, Robotic, Lawn mowers</v>
      </c>
      <c r="H739" s="113" t="str">
        <f>IFERROR(INDEX(Product_Structure[Generic Name (long)3],MATCH(Товары[[#This Row],[SubGroup]],Product_Structure[Subgroup],0)),"")</f>
        <v>Газонокосилки-роботы</v>
      </c>
      <c r="I739" s="36">
        <v>1230</v>
      </c>
      <c r="J739" s="36" t="str">
        <f>IFERROR(INDEX(Product_Structure[Generic Name (long)],MATCH(Товары[[#This Row],[SubGroup]],Product_Structure[Subgroup],0)),"")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Row],[SubGroup]],DIY!$B:$C,2,FALSE),0)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3" t="str">
        <f>IFERROR(INDEX(Product_Structure[SuperCategory],MATCH(Товары[[#This Row],[SubGroup]],Product_Structure[Subgroup],0)),"")</f>
        <v>R</v>
      </c>
      <c r="D740" s="113" t="str">
        <f>IFERROR(INDEX(Product_Structure[SuperCategory Name ENG],MATCH(Товары[[#This Row],[SubGroup]],Product_Structure[Subgroup],0)),"")</f>
        <v>Robotic&amp;Accsessories + spare parts for robotic</v>
      </c>
      <c r="E740" s="113" t="str">
        <f>IFERROR(INDEX(Product_Structure[SuperCategory Name RUS],MATCH(Товары[[#This Row],[SubGroup]],Product_Structure[Subgroup],0)),"")</f>
        <v>Газонокосилки-роботы + зап.части</v>
      </c>
      <c r="F740" s="113" t="str">
        <f>IFERROR(INDEX(Product_Structure[Product group],MATCH(Товары[[#This Row],[SubGroup]],Product_Structure[Subgroup],0)),"")</f>
        <v>LRL_C</v>
      </c>
      <c r="G740" s="113" t="str">
        <f>IFERROR(INDEX(Product_Structure[Product group name ENG],MATCH(Товары[[#This Row],[SubGroup]],Product_Structure[Subgroup],0)),"")</f>
        <v>Lawn, Robotic, Lawn mowers</v>
      </c>
      <c r="H740" s="113" t="str">
        <f>IFERROR(INDEX(Product_Structure[Generic Name (long)3],MATCH(Товары[[#This Row],[SubGroup]],Product_Structure[Subgroup],0)),"")</f>
        <v>Газонокосилки-роботы</v>
      </c>
      <c r="I740" s="36">
        <v>1230</v>
      </c>
      <c r="J740" s="36" t="str">
        <f>IFERROR(INDEX(Product_Structure[Generic Name (long)],MATCH(Товары[[#This Row],[SubGroup]],Product_Structure[Subgroup],0)),"")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Row],[SubGroup]],DIY!$B:$C,2,FALSE),0)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3" t="str">
        <f>IFERROR(INDEX(Product_Structure[SuperCategory],MATCH(Товары[[#This Row],[SubGroup]],Product_Structure[Subgroup],0)),"")</f>
        <v>R</v>
      </c>
      <c r="D741" s="113" t="str">
        <f>IFERROR(INDEX(Product_Structure[SuperCategory Name ENG],MATCH(Товары[[#This Row],[SubGroup]],Product_Structure[Subgroup],0)),"")</f>
        <v>Robotic&amp;Accsessories + spare parts for robotic</v>
      </c>
      <c r="E741" s="113" t="str">
        <f>IFERROR(INDEX(Product_Structure[SuperCategory Name RUS],MATCH(Товары[[#This Row],[SubGroup]],Product_Structure[Subgroup],0)),"")</f>
        <v>Газонокосилки-роботы + зап.части</v>
      </c>
      <c r="F741" s="113" t="str">
        <f>IFERROR(INDEX(Product_Structure[Product group],MATCH(Товары[[#This Row],[SubGroup]],Product_Structure[Subgroup],0)),"")</f>
        <v>LRL_C</v>
      </c>
      <c r="G741" s="113" t="str">
        <f>IFERROR(INDEX(Product_Structure[Product group name ENG],MATCH(Товары[[#This Row],[SubGroup]],Product_Structure[Subgroup],0)),"")</f>
        <v>Lawn, Robotic, Lawn mowers</v>
      </c>
      <c r="H741" s="113" t="str">
        <f>IFERROR(INDEX(Product_Structure[Generic Name (long)3],MATCH(Товары[[#This Row],[SubGroup]],Product_Structure[Subgroup],0)),"")</f>
        <v>Газонокосилки-роботы</v>
      </c>
      <c r="I741" s="36">
        <v>1230</v>
      </c>
      <c r="J741" s="36" t="str">
        <f>IFERROR(INDEX(Product_Structure[Generic Name (long)],MATCH(Товары[[#This Row],[SubGroup]],Product_Structure[Subgroup],0)),"")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Row],[SubGroup]],DIY!$B:$C,2,FALSE),0)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3" t="str">
        <f>IFERROR(INDEX(Product_Structure[SuperCategory],MATCH(Товары[[#This Row],[SubGroup]],Product_Structure[Subgroup],0)),"")</f>
        <v>R</v>
      </c>
      <c r="D742" s="113" t="str">
        <f>IFERROR(INDEX(Product_Structure[SuperCategory Name ENG],MATCH(Товары[[#This Row],[SubGroup]],Product_Structure[Subgroup],0)),"")</f>
        <v>Robotic&amp;Accsessories + spare parts for robotic</v>
      </c>
      <c r="E742" s="113" t="str">
        <f>IFERROR(INDEX(Product_Structure[SuperCategory Name RUS],MATCH(Товары[[#This Row],[SubGroup]],Product_Structure[Subgroup],0)),"")</f>
        <v>Газонокосилки-роботы + зап.части</v>
      </c>
      <c r="F742" s="113" t="str">
        <f>IFERROR(INDEX(Product_Structure[Product group],MATCH(Товары[[#This Row],[SubGroup]],Product_Structure[Subgroup],0)),"")</f>
        <v>LRL_C</v>
      </c>
      <c r="G742" s="113" t="str">
        <f>IFERROR(INDEX(Product_Structure[Product group name ENG],MATCH(Товары[[#This Row],[SubGroup]],Product_Structure[Subgroup],0)),"")</f>
        <v>Lawn, Robotic, Lawn mowers</v>
      </c>
      <c r="H742" s="113" t="str">
        <f>IFERROR(INDEX(Product_Structure[Generic Name (long)3],MATCH(Товары[[#This Row],[SubGroup]],Product_Structure[Subgroup],0)),"")</f>
        <v>Газонокосилки-роботы</v>
      </c>
      <c r="I742" s="36">
        <v>1230</v>
      </c>
      <c r="J742" s="36" t="str">
        <f>IFERROR(INDEX(Product_Structure[Generic Name (long)],MATCH(Товары[[#This Row],[SubGroup]],Product_Structure[Subgroup],0)),"")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Row],[SubGroup]],DIY!$B:$C,2,FALSE),0)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3" t="str">
        <f>IFERROR(INDEX(Product_Structure[SuperCategory],MATCH(Товары[[#This Row],[SubGroup]],Product_Structure[Subgroup],0)),"")</f>
        <v>R</v>
      </c>
      <c r="D743" s="113" t="str">
        <f>IFERROR(INDEX(Product_Structure[SuperCategory Name ENG],MATCH(Товары[[#This Row],[SubGroup]],Product_Structure[Subgroup],0)),"")</f>
        <v>Robotic&amp;Accsessories + spare parts for robotic</v>
      </c>
      <c r="E743" s="113" t="str">
        <f>IFERROR(INDEX(Product_Structure[SuperCategory Name RUS],MATCH(Товары[[#This Row],[SubGroup]],Product_Structure[Subgroup],0)),"")</f>
        <v>Газонокосилки-роботы + зап.части</v>
      </c>
      <c r="F743" s="113" t="str">
        <f>IFERROR(INDEX(Product_Structure[Product group],MATCH(Товары[[#This Row],[SubGroup]],Product_Structure[Subgroup],0)),"")</f>
        <v>LRL_C</v>
      </c>
      <c r="G743" s="113" t="str">
        <f>IFERROR(INDEX(Product_Structure[Product group name ENG],MATCH(Товары[[#This Row],[SubGroup]],Product_Structure[Subgroup],0)),"")</f>
        <v>Lawn, Robotic, Lawn mowers</v>
      </c>
      <c r="H743" s="113" t="str">
        <f>IFERROR(INDEX(Product_Structure[Generic Name (long)3],MATCH(Товары[[#This Row],[SubGroup]],Product_Structure[Subgroup],0)),"")</f>
        <v>Газонокосилки-роботы</v>
      </c>
      <c r="I743" s="36">
        <v>1230</v>
      </c>
      <c r="J743" s="36" t="str">
        <f>IFERROR(INDEX(Product_Structure[Generic Name (long)],MATCH(Товары[[#This Row],[SubGroup]],Product_Structure[Subgroup],0)),"")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Row],[SubGroup]],DIY!$B:$C,2,FALSE),0)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3" t="str">
        <f>IFERROR(INDEX(Product_Structure[SuperCategory],MATCH(Товары[[#This Row],[SubGroup]],Product_Structure[Subgroup],0)),"")</f>
        <v>R</v>
      </c>
      <c r="D744" s="113" t="str">
        <f>IFERROR(INDEX(Product_Structure[SuperCategory Name ENG],MATCH(Товары[[#This Row],[SubGroup]],Product_Structure[Subgroup],0)),"")</f>
        <v>Robotic&amp;Accsessories + spare parts for robotic</v>
      </c>
      <c r="E744" s="113" t="str">
        <f>IFERROR(INDEX(Product_Structure[SuperCategory Name RUS],MATCH(Товары[[#This Row],[SubGroup]],Product_Structure[Subgroup],0)),"")</f>
        <v>Газонокосилки-роботы + зап.части</v>
      </c>
      <c r="F744" s="113" t="str">
        <f>IFERROR(INDEX(Product_Structure[Product group],MATCH(Товары[[#This Row],[SubGroup]],Product_Structure[Subgroup],0)),"")</f>
        <v>LRL_C</v>
      </c>
      <c r="G744" s="113" t="str">
        <f>IFERROR(INDEX(Product_Structure[Product group name ENG],MATCH(Товары[[#This Row],[SubGroup]],Product_Structure[Subgroup],0)),"")</f>
        <v>Lawn, Robotic, Lawn mowers</v>
      </c>
      <c r="H744" s="113" t="str">
        <f>IFERROR(INDEX(Product_Structure[Generic Name (long)3],MATCH(Товары[[#This Row],[SubGroup]],Product_Structure[Subgroup],0)),"")</f>
        <v>Газонокосилки-роботы</v>
      </c>
      <c r="I744" s="36">
        <v>1230</v>
      </c>
      <c r="J744" s="36" t="str">
        <f>IFERROR(INDEX(Product_Structure[Generic Name (long)],MATCH(Товары[[#This Row],[SubGroup]],Product_Structure[Subgroup],0)),"")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Row],[SubGroup]],DIY!$B:$C,2,FALSE),0)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3" t="str">
        <f>IFERROR(INDEX(Product_Structure[SuperCategory],MATCH(Товары[[#This Row],[SubGroup]],Product_Structure[Subgroup],0)),"")</f>
        <v>R</v>
      </c>
      <c r="D745" s="113" t="str">
        <f>IFERROR(INDEX(Product_Structure[SuperCategory Name ENG],MATCH(Товары[[#This Row],[SubGroup]],Product_Structure[Subgroup],0)),"")</f>
        <v>Robotic&amp;Accsessories + spare parts for robotic</v>
      </c>
      <c r="E745" s="113" t="str">
        <f>IFERROR(INDEX(Product_Structure[SuperCategory Name RUS],MATCH(Товары[[#This Row],[SubGroup]],Product_Structure[Subgroup],0)),"")</f>
        <v>Газонокосилки-роботы + зап.части</v>
      </c>
      <c r="F745" s="113" t="str">
        <f>IFERROR(INDEX(Product_Structure[Product group],MATCH(Товары[[#This Row],[SubGroup]],Product_Structure[Subgroup],0)),"")</f>
        <v>LRL_C</v>
      </c>
      <c r="G745" s="113" t="str">
        <f>IFERROR(INDEX(Product_Structure[Product group name ENG],MATCH(Товары[[#This Row],[SubGroup]],Product_Structure[Subgroup],0)),"")</f>
        <v>Lawn, Robotic, Lawn mowers</v>
      </c>
      <c r="H745" s="113" t="str">
        <f>IFERROR(INDEX(Product_Structure[Generic Name (long)3],MATCH(Товары[[#This Row],[SubGroup]],Product_Structure[Subgroup],0)),"")</f>
        <v>Газонокосилки-роботы</v>
      </c>
      <c r="I745" s="36">
        <v>1230</v>
      </c>
      <c r="J745" s="36" t="str">
        <f>IFERROR(INDEX(Product_Structure[Generic Name (long)],MATCH(Товары[[#This Row],[SubGroup]],Product_Structure[Subgroup],0)),"")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Row],[SubGroup]],DIY!$B:$C,2,FALSE),0)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3" t="str">
        <f>IFERROR(INDEX(Product_Structure[SuperCategory],MATCH(Товары[[#This Row],[SubGroup]],Product_Structure[Subgroup],0)),"")</f>
        <v>R</v>
      </c>
      <c r="D746" s="113" t="str">
        <f>IFERROR(INDEX(Product_Structure[SuperCategory Name ENG],MATCH(Товары[[#This Row],[SubGroup]],Product_Structure[Subgroup],0)),"")</f>
        <v>Robotic&amp;Accsessories + spare parts for robotic</v>
      </c>
      <c r="E746" s="113" t="str">
        <f>IFERROR(INDEX(Product_Structure[SuperCategory Name RUS],MATCH(Товары[[#This Row],[SubGroup]],Product_Structure[Subgroup],0)),"")</f>
        <v>Газонокосилки-роботы + зап.части</v>
      </c>
      <c r="F746" s="113" t="str">
        <f>IFERROR(INDEX(Product_Structure[Product group],MATCH(Товары[[#This Row],[SubGroup]],Product_Structure[Subgroup],0)),"")</f>
        <v>LRL_C</v>
      </c>
      <c r="G746" s="113" t="str">
        <f>IFERROR(INDEX(Product_Structure[Product group name ENG],MATCH(Товары[[#This Row],[SubGroup]],Product_Structure[Subgroup],0)),"")</f>
        <v>Lawn, Robotic, Lawn mowers</v>
      </c>
      <c r="H746" s="113" t="str">
        <f>IFERROR(INDEX(Product_Structure[Generic Name (long)3],MATCH(Товары[[#This Row],[SubGroup]],Product_Structure[Subgroup],0)),"")</f>
        <v>Газонокосилки-роботы</v>
      </c>
      <c r="I746" s="36">
        <v>1230</v>
      </c>
      <c r="J746" s="36" t="str">
        <f>IFERROR(INDEX(Product_Structure[Generic Name (long)],MATCH(Товары[[#This Row],[SubGroup]],Product_Structure[Subgroup],0)),"")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Row],[SubGroup]],DIY!$B:$C,2,FALSE),0)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3" t="str">
        <f>IFERROR(INDEX(Product_Structure[SuperCategory],MATCH(Товары[[#This Row],[SubGroup]],Product_Structure[Subgroup],0)),"")</f>
        <v>R</v>
      </c>
      <c r="D747" s="113" t="str">
        <f>IFERROR(INDEX(Product_Structure[SuperCategory Name ENG],MATCH(Товары[[#This Row],[SubGroup]],Product_Structure[Subgroup],0)),"")</f>
        <v>Robotic&amp;Accsessories + spare parts for robotic</v>
      </c>
      <c r="E747" s="113" t="str">
        <f>IFERROR(INDEX(Product_Structure[SuperCategory Name RUS],MATCH(Товары[[#This Row],[SubGroup]],Product_Structure[Subgroup],0)),"")</f>
        <v>Газонокосилки-роботы + зап.части</v>
      </c>
      <c r="F747" s="113" t="str">
        <f>IFERROR(INDEX(Product_Structure[Product group],MATCH(Товары[[#This Row],[SubGroup]],Product_Structure[Subgroup],0)),"")</f>
        <v>LRL_C</v>
      </c>
      <c r="G747" s="113" t="str">
        <f>IFERROR(INDEX(Product_Structure[Product group name ENG],MATCH(Товары[[#This Row],[SubGroup]],Product_Structure[Subgroup],0)),"")</f>
        <v>Lawn, Robotic, Lawn mowers</v>
      </c>
      <c r="H747" s="113" t="str">
        <f>IFERROR(INDEX(Product_Structure[Generic Name (long)3],MATCH(Товары[[#This Row],[SubGroup]],Product_Structure[Subgroup],0)),"")</f>
        <v>Газонокосилки-роботы</v>
      </c>
      <c r="I747" s="36">
        <v>1230</v>
      </c>
      <c r="J747" s="36" t="str">
        <f>IFERROR(INDEX(Product_Structure[Generic Name (long)],MATCH(Товары[[#This Row],[SubGroup]],Product_Structure[Subgroup],0)),"")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Row],[SubGroup]],DIY!$B:$C,2,FALSE),0)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3" t="str">
        <f>IFERROR(INDEX(Product_Structure[SuperCategory],MATCH(Товары[[#This Row],[SubGroup]],Product_Structure[Subgroup],0)),"")</f>
        <v>R</v>
      </c>
      <c r="D748" s="113" t="str">
        <f>IFERROR(INDEX(Product_Structure[SuperCategory Name ENG],MATCH(Товары[[#This Row],[SubGroup]],Product_Structure[Subgroup],0)),"")</f>
        <v>Robotic&amp;Accsessories + spare parts for robotic</v>
      </c>
      <c r="E748" s="113" t="str">
        <f>IFERROR(INDEX(Product_Structure[SuperCategory Name RUS],MATCH(Товары[[#This Row],[SubGroup]],Product_Structure[Subgroup],0)),"")</f>
        <v>Газонокосилки-роботы + зап.части</v>
      </c>
      <c r="F748" s="113" t="str">
        <f>IFERROR(INDEX(Product_Structure[Product group],MATCH(Товары[[#This Row],[SubGroup]],Product_Structure[Subgroup],0)),"")</f>
        <v>LRL_C</v>
      </c>
      <c r="G748" s="113" t="str">
        <f>IFERROR(INDEX(Product_Structure[Product group name ENG],MATCH(Товары[[#This Row],[SubGroup]],Product_Structure[Subgroup],0)),"")</f>
        <v>Lawn, Robotic, Lawn mowers</v>
      </c>
      <c r="H748" s="113" t="str">
        <f>IFERROR(INDEX(Product_Structure[Generic Name (long)3],MATCH(Товары[[#This Row],[SubGroup]],Product_Structure[Subgroup],0)),"")</f>
        <v>Газонокосилки-роботы</v>
      </c>
      <c r="I748" s="36">
        <v>1230</v>
      </c>
      <c r="J748" s="36" t="str">
        <f>IFERROR(INDEX(Product_Structure[Generic Name (long)],MATCH(Товары[[#This Row],[SubGroup]],Product_Structure[Subgroup],0)),"")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Row],[SubGroup]],DIY!$B:$C,2,FALSE),0)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3" t="str">
        <f>IFERROR(INDEX(Product_Structure[SuperCategory],MATCH(Товары[[#This Row],[SubGroup]],Product_Structure[Subgroup],0)),"")</f>
        <v>R</v>
      </c>
      <c r="D749" s="113" t="str">
        <f>IFERROR(INDEX(Product_Structure[SuperCategory Name ENG],MATCH(Товары[[#This Row],[SubGroup]],Product_Structure[Subgroup],0)),"")</f>
        <v>Robotic&amp;Accsessories + spare parts for robotic</v>
      </c>
      <c r="E749" s="113" t="str">
        <f>IFERROR(INDEX(Product_Structure[SuperCategory Name RUS],MATCH(Товары[[#This Row],[SubGroup]],Product_Structure[Subgroup],0)),"")</f>
        <v>Газонокосилки-роботы + зап.части</v>
      </c>
      <c r="F749" s="113" t="str">
        <f>IFERROR(INDEX(Product_Structure[Product group],MATCH(Товары[[#This Row],[SubGroup]],Product_Structure[Subgroup],0)),"")</f>
        <v>LRL_C</v>
      </c>
      <c r="G749" s="113" t="str">
        <f>IFERROR(INDEX(Product_Structure[Product group name ENG],MATCH(Товары[[#This Row],[SubGroup]],Product_Structure[Subgroup],0)),"")</f>
        <v>Lawn, Robotic, Lawn mowers</v>
      </c>
      <c r="H749" s="113" t="str">
        <f>IFERROR(INDEX(Product_Structure[Generic Name (long)3],MATCH(Товары[[#This Row],[SubGroup]],Product_Structure[Subgroup],0)),"")</f>
        <v>Газонокосилки-роботы</v>
      </c>
      <c r="I749" s="36">
        <v>1230</v>
      </c>
      <c r="J749" s="36" t="str">
        <f>IFERROR(INDEX(Product_Structure[Generic Name (long)],MATCH(Товары[[#This Row],[SubGroup]],Product_Structure[Subgroup],0)),"")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Row],[SubGroup]],DIY!$B:$C,2,FALSE),0)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3" t="str">
        <f>IFERROR(INDEX(Product_Structure[SuperCategory],MATCH(Товары[[#This Row],[SubGroup]],Product_Structure[Subgroup],0)),"")</f>
        <v>R</v>
      </c>
      <c r="D750" s="113" t="str">
        <f>IFERROR(INDEX(Product_Structure[SuperCategory Name ENG],MATCH(Товары[[#This Row],[SubGroup]],Product_Structure[Subgroup],0)),"")</f>
        <v>Robotic&amp;Accsessories + spare parts for robotic</v>
      </c>
      <c r="E750" s="113" t="str">
        <f>IFERROR(INDEX(Product_Structure[SuperCategory Name RUS],MATCH(Товары[[#This Row],[SubGroup]],Product_Structure[Subgroup],0)),"")</f>
        <v>Газонокосилки-роботы + зап.части</v>
      </c>
      <c r="F750" s="113" t="str">
        <f>IFERROR(INDEX(Product_Structure[Product group],MATCH(Товары[[#This Row],[SubGroup]],Product_Structure[Subgroup],0)),"")</f>
        <v>LRL_C</v>
      </c>
      <c r="G750" s="113" t="str">
        <f>IFERROR(INDEX(Product_Structure[Product group name ENG],MATCH(Товары[[#This Row],[SubGroup]],Product_Structure[Subgroup],0)),"")</f>
        <v>Lawn, Robotic, Lawn mowers</v>
      </c>
      <c r="H750" s="113" t="str">
        <f>IFERROR(INDEX(Product_Structure[Generic Name (long)3],MATCH(Товары[[#This Row],[SubGroup]],Product_Structure[Subgroup],0)),"")</f>
        <v>Газонокосилки-роботы</v>
      </c>
      <c r="I750" s="36">
        <v>1230</v>
      </c>
      <c r="J750" s="36" t="str">
        <f>IFERROR(INDEX(Product_Structure[Generic Name (long)],MATCH(Товары[[#This Row],[SubGroup]],Product_Structure[Subgroup],0)),"")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Row],[SubGroup]],DIY!$B:$C,2,FALSE),0)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3" t="str">
        <f>IFERROR(INDEX(Product_Structure[SuperCategory],MATCH(Товары[[#This Row],[SubGroup]],Product_Structure[Subgroup],0)),"")</f>
        <v>R</v>
      </c>
      <c r="D751" s="113" t="str">
        <f>IFERROR(INDEX(Product_Structure[SuperCategory Name ENG],MATCH(Товары[[#This Row],[SubGroup]],Product_Structure[Subgroup],0)),"")</f>
        <v>Robotic&amp;Accsessories + spare parts for robotic</v>
      </c>
      <c r="E751" s="113" t="str">
        <f>IFERROR(INDEX(Product_Structure[SuperCategory Name RUS],MATCH(Товары[[#This Row],[SubGroup]],Product_Structure[Subgroup],0)),"")</f>
        <v>Газонокосилки-роботы + зап.части</v>
      </c>
      <c r="F751" s="113" t="str">
        <f>IFERROR(INDEX(Product_Structure[Product group],MATCH(Товары[[#This Row],[SubGroup]],Product_Structure[Subgroup],0)),"")</f>
        <v>LRL_C</v>
      </c>
      <c r="G751" s="113" t="str">
        <f>IFERROR(INDEX(Product_Structure[Product group name ENG],MATCH(Товары[[#This Row],[SubGroup]],Product_Structure[Subgroup],0)),"")</f>
        <v>Lawn, Robotic, Lawn mowers</v>
      </c>
      <c r="H751" s="113" t="str">
        <f>IFERROR(INDEX(Product_Structure[Generic Name (long)3],MATCH(Товары[[#This Row],[SubGroup]],Product_Structure[Subgroup],0)),"")</f>
        <v>Газонокосилки-роботы</v>
      </c>
      <c r="I751" s="36">
        <v>1230</v>
      </c>
      <c r="J751" s="36" t="str">
        <f>IFERROR(INDEX(Product_Structure[Generic Name (long)],MATCH(Товары[[#This Row],[SubGroup]],Product_Structure[Subgroup],0)),"")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Row],[SubGroup]],DIY!$B:$C,2,FALSE),0)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3" t="str">
        <f>IFERROR(INDEX(Product_Structure[SuperCategory],MATCH(Товары[[#This Row],[SubGroup]],Product_Structure[Subgroup],0)),"")</f>
        <v>R</v>
      </c>
      <c r="D752" s="113" t="str">
        <f>IFERROR(INDEX(Product_Structure[SuperCategory Name ENG],MATCH(Товары[[#This Row],[SubGroup]],Product_Structure[Subgroup],0)),"")</f>
        <v>Robotic&amp;Accsessories + spare parts for robotic</v>
      </c>
      <c r="E752" s="113" t="str">
        <f>IFERROR(INDEX(Product_Structure[SuperCategory Name RUS],MATCH(Товары[[#This Row],[SubGroup]],Product_Structure[Subgroup],0)),"")</f>
        <v>Газонокосилки-роботы + зап.части</v>
      </c>
      <c r="F752" s="113" t="str">
        <f>IFERROR(INDEX(Product_Structure[Product group],MATCH(Товары[[#This Row],[SubGroup]],Product_Structure[Subgroup],0)),"")</f>
        <v>LRL_C</v>
      </c>
      <c r="G752" s="113" t="str">
        <f>IFERROR(INDEX(Product_Structure[Product group name ENG],MATCH(Товары[[#This Row],[SubGroup]],Product_Structure[Subgroup],0)),"")</f>
        <v>Lawn, Robotic, Lawn mowers</v>
      </c>
      <c r="H752" s="113" t="str">
        <f>IFERROR(INDEX(Product_Structure[Generic Name (long)3],MATCH(Товары[[#This Row],[SubGroup]],Product_Structure[Subgroup],0)),"")</f>
        <v>Газонокосилки-роботы</v>
      </c>
      <c r="I752" s="36">
        <v>1230</v>
      </c>
      <c r="J752" s="36" t="str">
        <f>IFERROR(INDEX(Product_Structure[Generic Name (long)],MATCH(Товары[[#This Row],[SubGroup]],Product_Structure[Subgroup],0)),"")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Row],[SubGroup]],DIY!$B:$C,2,FALSE),0)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3" t="str">
        <f>IFERROR(INDEX(Product_Structure[SuperCategory],MATCH(Товары[[#This Row],[SubGroup]],Product_Structure[Subgroup],0)),"")</f>
        <v>R</v>
      </c>
      <c r="D753" s="113" t="str">
        <f>IFERROR(INDEX(Product_Structure[SuperCategory Name ENG],MATCH(Товары[[#This Row],[SubGroup]],Product_Structure[Subgroup],0)),"")</f>
        <v>Robotic&amp;Accsessories + spare parts for robotic</v>
      </c>
      <c r="E753" s="113" t="str">
        <f>IFERROR(INDEX(Product_Structure[SuperCategory Name RUS],MATCH(Товары[[#This Row],[SubGroup]],Product_Structure[Subgroup],0)),"")</f>
        <v>Газонокосилки-роботы + зап.части</v>
      </c>
      <c r="F753" s="113" t="str">
        <f>IFERROR(INDEX(Product_Structure[Product group],MATCH(Товары[[#This Row],[SubGroup]],Product_Structure[Subgroup],0)),"")</f>
        <v>LRL_C</v>
      </c>
      <c r="G753" s="113" t="str">
        <f>IFERROR(INDEX(Product_Structure[Product group name ENG],MATCH(Товары[[#This Row],[SubGroup]],Product_Structure[Subgroup],0)),"")</f>
        <v>Lawn, Robotic, Lawn mowers</v>
      </c>
      <c r="H753" s="113" t="str">
        <f>IFERROR(INDEX(Product_Structure[Generic Name (long)3],MATCH(Товары[[#This Row],[SubGroup]],Product_Structure[Subgroup],0)),"")</f>
        <v>Газонокосилки-роботы</v>
      </c>
      <c r="I753" s="36">
        <v>1230</v>
      </c>
      <c r="J753" s="36" t="str">
        <f>IFERROR(INDEX(Product_Structure[Generic Name (long)],MATCH(Товары[[#This Row],[SubGroup]],Product_Structure[Subgroup],0)),"")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Row],[SubGroup]],DIY!$B:$C,2,FALSE),0)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3" t="str">
        <f>IFERROR(INDEX(Product_Structure[SuperCategory],MATCH(Товары[[#This Row],[SubGroup]],Product_Structure[Subgroup],0)),"")</f>
        <v>R</v>
      </c>
      <c r="D754" s="113" t="str">
        <f>IFERROR(INDEX(Product_Structure[SuperCategory Name ENG],MATCH(Товары[[#This Row],[SubGroup]],Product_Structure[Subgroup],0)),"")</f>
        <v>Robotic&amp;Accsessories + spare parts for robotic</v>
      </c>
      <c r="E754" s="113" t="str">
        <f>IFERROR(INDEX(Product_Structure[SuperCategory Name RUS],MATCH(Товары[[#This Row],[SubGroup]],Product_Structure[Subgroup],0)),"")</f>
        <v>Газонокосилки-роботы + зап.части</v>
      </c>
      <c r="F754" s="113" t="str">
        <f>IFERROR(INDEX(Product_Structure[Product group],MATCH(Товары[[#This Row],[SubGroup]],Product_Structure[Subgroup],0)),"")</f>
        <v>LRL_C</v>
      </c>
      <c r="G754" s="113" t="str">
        <f>IFERROR(INDEX(Product_Structure[Product group name ENG],MATCH(Товары[[#This Row],[SubGroup]],Product_Structure[Subgroup],0)),"")</f>
        <v>Lawn, Robotic, Lawn mowers</v>
      </c>
      <c r="H754" s="113" t="str">
        <f>IFERROR(INDEX(Product_Structure[Generic Name (long)3],MATCH(Товары[[#This Row],[SubGroup]],Product_Structure[Subgroup],0)),"")</f>
        <v>Газонокосилки-роботы</v>
      </c>
      <c r="I754" s="36">
        <v>1230</v>
      </c>
      <c r="J754" s="36" t="str">
        <f>IFERROR(INDEX(Product_Structure[Generic Name (long)],MATCH(Товары[[#This Row],[SubGroup]],Product_Structure[Subgroup],0)),"")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Row],[SubGroup]],DIY!$B:$C,2,FALSE),0)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3" t="str">
        <f>IFERROR(INDEX(Product_Structure[SuperCategory],MATCH(Товары[[#This Row],[SubGroup]],Product_Structure[Subgroup],0)),"")</f>
        <v>R</v>
      </c>
      <c r="D755" s="113" t="str">
        <f>IFERROR(INDEX(Product_Structure[SuperCategory Name ENG],MATCH(Товары[[#This Row],[SubGroup]],Product_Structure[Subgroup],0)),"")</f>
        <v>Robotic&amp;Accsessories + spare parts for robotic</v>
      </c>
      <c r="E755" s="113" t="str">
        <f>IFERROR(INDEX(Product_Structure[SuperCategory Name RUS],MATCH(Товары[[#This Row],[SubGroup]],Product_Structure[Subgroup],0)),"")</f>
        <v>Газонокосилки-роботы + зап.части</v>
      </c>
      <c r="F755" s="113" t="str">
        <f>IFERROR(INDEX(Product_Structure[Product group],MATCH(Товары[[#This Row],[SubGroup]],Product_Structure[Subgroup],0)),"")</f>
        <v>LRL_C</v>
      </c>
      <c r="G755" s="113" t="str">
        <f>IFERROR(INDEX(Product_Structure[Product group name ENG],MATCH(Товары[[#This Row],[SubGroup]],Product_Structure[Subgroup],0)),"")</f>
        <v>Lawn, Robotic, Lawn mowers</v>
      </c>
      <c r="H755" s="113" t="str">
        <f>IFERROR(INDEX(Product_Structure[Generic Name (long)3],MATCH(Товары[[#This Row],[SubGroup]],Product_Structure[Subgroup],0)),"")</f>
        <v>Газонокосилки-роботы</v>
      </c>
      <c r="I755" s="36">
        <v>1230</v>
      </c>
      <c r="J755" s="36" t="str">
        <f>IFERROR(INDEX(Product_Structure[Generic Name (long)],MATCH(Товары[[#This Row],[SubGroup]],Product_Structure[Subgroup],0)),"")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Row],[SubGroup]],DIY!$B:$C,2,FALSE),0)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3" t="str">
        <f>IFERROR(INDEX(Product_Structure[SuperCategory],MATCH(Товары[[#This Row],[SubGroup]],Product_Structure[Subgroup],0)),"")</f>
        <v>R</v>
      </c>
      <c r="D756" s="113" t="str">
        <f>IFERROR(INDEX(Product_Structure[SuperCategory Name ENG],MATCH(Товары[[#This Row],[SubGroup]],Product_Structure[Subgroup],0)),"")</f>
        <v>Robotic&amp;Accsessories + spare parts for robotic</v>
      </c>
      <c r="E756" s="113" t="str">
        <f>IFERROR(INDEX(Product_Structure[SuperCategory Name RUS],MATCH(Товары[[#This Row],[SubGroup]],Product_Structure[Subgroup],0)),"")</f>
        <v>Газонокосилки-роботы + зап.части</v>
      </c>
      <c r="F756" s="113" t="str">
        <f>IFERROR(INDEX(Product_Structure[Product group],MATCH(Товары[[#This Row],[SubGroup]],Product_Structure[Subgroup],0)),"")</f>
        <v>LRL_C</v>
      </c>
      <c r="G756" s="113" t="str">
        <f>IFERROR(INDEX(Product_Structure[Product group name ENG],MATCH(Товары[[#This Row],[SubGroup]],Product_Structure[Subgroup],0)),"")</f>
        <v>Lawn, Robotic, Lawn mowers</v>
      </c>
      <c r="H756" s="113" t="str">
        <f>IFERROR(INDEX(Product_Structure[Generic Name (long)3],MATCH(Товары[[#This Row],[SubGroup]],Product_Structure[Subgroup],0)),"")</f>
        <v>Газонокосилки-роботы</v>
      </c>
      <c r="I756" s="36">
        <v>1230</v>
      </c>
      <c r="J756" s="36" t="str">
        <f>IFERROR(INDEX(Product_Structure[Generic Name (long)],MATCH(Товары[[#This Row],[SubGroup]],Product_Structure[Subgroup],0)),"")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Row],[SubGroup]],DIY!$B:$C,2,FALSE),0)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3" t="str">
        <f>IFERROR(INDEX(Product_Structure[SuperCategory],MATCH(Товары[[#This Row],[SubGroup]],Product_Structure[Subgroup],0)),"")</f>
        <v>R</v>
      </c>
      <c r="D757" s="113" t="str">
        <f>IFERROR(INDEX(Product_Structure[SuperCategory Name ENG],MATCH(Товары[[#This Row],[SubGroup]],Product_Structure[Subgroup],0)),"")</f>
        <v>Robotic&amp;Accsessories + spare parts for robotic</v>
      </c>
      <c r="E757" s="113" t="str">
        <f>IFERROR(INDEX(Product_Structure[SuperCategory Name RUS],MATCH(Товары[[#This Row],[SubGroup]],Product_Structure[Subgroup],0)),"")</f>
        <v>Газонокосилки-роботы + зап.части</v>
      </c>
      <c r="F757" s="113" t="str">
        <f>IFERROR(INDEX(Product_Structure[Product group],MATCH(Товары[[#This Row],[SubGroup]],Product_Structure[Subgroup],0)),"")</f>
        <v>LRL_C</v>
      </c>
      <c r="G757" s="113" t="str">
        <f>IFERROR(INDEX(Product_Structure[Product group name ENG],MATCH(Товары[[#This Row],[SubGroup]],Product_Structure[Subgroup],0)),"")</f>
        <v>Lawn, Robotic, Lawn mowers</v>
      </c>
      <c r="H757" s="113" t="str">
        <f>IFERROR(INDEX(Product_Structure[Generic Name (long)3],MATCH(Товары[[#This Row],[SubGroup]],Product_Structure[Subgroup],0)),"")</f>
        <v>Газонокосилки-роботы</v>
      </c>
      <c r="I757" s="36">
        <v>1230</v>
      </c>
      <c r="J757" s="36" t="str">
        <f>IFERROR(INDEX(Product_Structure[Generic Name (long)],MATCH(Товары[[#This Row],[SubGroup]],Product_Structure[Subgroup],0)),"")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Row],[SubGroup]],DIY!$B:$C,2,FALSE),0)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3" t="str">
        <f>IFERROR(INDEX(Product_Structure[SuperCategory],MATCH(Товары[[#This Row],[SubGroup]],Product_Structure[Subgroup],0)),"")</f>
        <v>R</v>
      </c>
      <c r="D758" s="113" t="str">
        <f>IFERROR(INDEX(Product_Structure[SuperCategory Name ENG],MATCH(Товары[[#This Row],[SubGroup]],Product_Structure[Subgroup],0)),"")</f>
        <v>Robotic&amp;Accsessories + spare parts for robotic</v>
      </c>
      <c r="E758" s="113" t="str">
        <f>IFERROR(INDEX(Product_Structure[SuperCategory Name RUS],MATCH(Товары[[#This Row],[SubGroup]],Product_Structure[Subgroup],0)),"")</f>
        <v>Газонокосилки-роботы + зап.части</v>
      </c>
      <c r="F758" s="113" t="str">
        <f>IFERROR(INDEX(Product_Structure[Product group],MATCH(Товары[[#This Row],[SubGroup]],Product_Structure[Subgroup],0)),"")</f>
        <v>LRL_C</v>
      </c>
      <c r="G758" s="113" t="str">
        <f>IFERROR(INDEX(Product_Structure[Product group name ENG],MATCH(Товары[[#This Row],[SubGroup]],Product_Structure[Subgroup],0)),"")</f>
        <v>Lawn, Robotic, Lawn mowers</v>
      </c>
      <c r="H758" s="113" t="str">
        <f>IFERROR(INDEX(Product_Structure[Generic Name (long)3],MATCH(Товары[[#This Row],[SubGroup]],Product_Structure[Subgroup],0)),"")</f>
        <v>Газонокосилки-роботы</v>
      </c>
      <c r="I758" s="36">
        <v>1230</v>
      </c>
      <c r="J758" s="36" t="str">
        <f>IFERROR(INDEX(Product_Structure[Generic Name (long)],MATCH(Товары[[#This Row],[SubGroup]],Product_Structure[Subgroup],0)),"")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Row],[SubGroup]],DIY!$B:$C,2,FALSE),0)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3" t="str">
        <f>IFERROR(INDEX(Product_Structure[SuperCategory],MATCH(Товары[[#This Row],[SubGroup]],Product_Structure[Subgroup],0)),"")</f>
        <v>R</v>
      </c>
      <c r="D759" s="113" t="str">
        <f>IFERROR(INDEX(Product_Structure[SuperCategory Name ENG],MATCH(Товары[[#This Row],[SubGroup]],Product_Structure[Subgroup],0)),"")</f>
        <v>Robotic&amp;Accsessories + spare parts for robotic</v>
      </c>
      <c r="E759" s="113" t="str">
        <f>IFERROR(INDEX(Product_Structure[SuperCategory Name RUS],MATCH(Товары[[#This Row],[SubGroup]],Product_Structure[Subgroup],0)),"")</f>
        <v>Газонокосилки-роботы + зап.части</v>
      </c>
      <c r="F759" s="113" t="str">
        <f>IFERROR(INDEX(Product_Structure[Product group],MATCH(Товары[[#This Row],[SubGroup]],Product_Structure[Subgroup],0)),"")</f>
        <v>LRL_C</v>
      </c>
      <c r="G759" s="113" t="str">
        <f>IFERROR(INDEX(Product_Structure[Product group name ENG],MATCH(Товары[[#This Row],[SubGroup]],Product_Structure[Subgroup],0)),"")</f>
        <v>Lawn, Robotic, Lawn mowers</v>
      </c>
      <c r="H759" s="113" t="str">
        <f>IFERROR(INDEX(Product_Structure[Generic Name (long)3],MATCH(Товары[[#This Row],[SubGroup]],Product_Structure[Subgroup],0)),"")</f>
        <v>Газонокосилки-роботы</v>
      </c>
      <c r="I759" s="36">
        <v>1230</v>
      </c>
      <c r="J759" s="36" t="str">
        <f>IFERROR(INDEX(Product_Structure[Generic Name (long)],MATCH(Товары[[#This Row],[SubGroup]],Product_Structure[Subgroup],0)),"")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Row],[SubGroup]],DIY!$B:$C,2,FALSE),0)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3" t="str">
        <f>IFERROR(INDEX(Product_Structure[SuperCategory],MATCH(Товары[[#This Row],[SubGroup]],Product_Structure[Subgroup],0)),"")</f>
        <v>R</v>
      </c>
      <c r="D760" s="113" t="str">
        <f>IFERROR(INDEX(Product_Structure[SuperCategory Name ENG],MATCH(Товары[[#This Row],[SubGroup]],Product_Structure[Subgroup],0)),"")</f>
        <v>Robotic&amp;Accsessories + spare parts for robotic</v>
      </c>
      <c r="E760" s="113" t="str">
        <f>IFERROR(INDEX(Product_Structure[SuperCategory Name RUS],MATCH(Товары[[#This Row],[SubGroup]],Product_Structure[Subgroup],0)),"")</f>
        <v>Газонокосилки-роботы + зап.части</v>
      </c>
      <c r="F760" s="113" t="str">
        <f>IFERROR(INDEX(Product_Structure[Product group],MATCH(Товары[[#This Row],[SubGroup]],Product_Structure[Subgroup],0)),"")</f>
        <v>LRL_C</v>
      </c>
      <c r="G760" s="113" t="str">
        <f>IFERROR(INDEX(Product_Structure[Product group name ENG],MATCH(Товары[[#This Row],[SubGroup]],Product_Structure[Subgroup],0)),"")</f>
        <v>Lawn, Robotic, Lawn mowers</v>
      </c>
      <c r="H760" s="113" t="str">
        <f>IFERROR(INDEX(Product_Structure[Generic Name (long)3],MATCH(Товары[[#This Row],[SubGroup]],Product_Structure[Subgroup],0)),"")</f>
        <v>Газонокосилки-роботы</v>
      </c>
      <c r="I760" s="36">
        <v>1230</v>
      </c>
      <c r="J760" s="36" t="str">
        <f>IFERROR(INDEX(Product_Structure[Generic Name (long)],MATCH(Товары[[#This Row],[SubGroup]],Product_Structure[Subgroup],0)),"")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Row],[SubGroup]],DIY!$B:$C,2,FALSE),0)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3" t="str">
        <f>IFERROR(INDEX(Product_Structure[SuperCategory],MATCH(Товары[[#This Row],[SubGroup]],Product_Structure[Subgroup],0)),"")</f>
        <v>R</v>
      </c>
      <c r="D761" s="113" t="str">
        <f>IFERROR(INDEX(Product_Structure[SuperCategory Name ENG],MATCH(Товары[[#This Row],[SubGroup]],Product_Structure[Subgroup],0)),"")</f>
        <v>Robotic&amp;Accsessories + spare parts for robotic</v>
      </c>
      <c r="E761" s="113" t="str">
        <f>IFERROR(INDEX(Product_Structure[SuperCategory Name RUS],MATCH(Товары[[#This Row],[SubGroup]],Product_Structure[Subgroup],0)),"")</f>
        <v>Газонокосилки-роботы + зап.части</v>
      </c>
      <c r="F761" s="113" t="str">
        <f>IFERROR(INDEX(Product_Structure[Product group],MATCH(Товары[[#This Row],[SubGroup]],Product_Structure[Subgroup],0)),"")</f>
        <v>LRL_C</v>
      </c>
      <c r="G761" s="113" t="str">
        <f>IFERROR(INDEX(Product_Structure[Product group name ENG],MATCH(Товары[[#This Row],[SubGroup]],Product_Structure[Subgroup],0)),"")</f>
        <v>Lawn, Robotic, Lawn mowers</v>
      </c>
      <c r="H761" s="113" t="str">
        <f>IFERROR(INDEX(Product_Structure[Generic Name (long)3],MATCH(Товары[[#This Row],[SubGroup]],Product_Structure[Subgroup],0)),"")</f>
        <v>Газонокосилки-роботы</v>
      </c>
      <c r="I761" s="36">
        <v>1230</v>
      </c>
      <c r="J761" s="36" t="str">
        <f>IFERROR(INDEX(Product_Structure[Generic Name (long)],MATCH(Товары[[#This Row],[SubGroup]],Product_Structure[Subgroup],0)),"")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Row],[SubGroup]],DIY!$B:$C,2,FALSE),0)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3" t="str">
        <f>IFERROR(INDEX(Product_Structure[SuperCategory],MATCH(Товары[[#This Row],[SubGroup]],Product_Structure[Subgroup],0)),"")</f>
        <v>R</v>
      </c>
      <c r="D762" s="113" t="str">
        <f>IFERROR(INDEX(Product_Structure[SuperCategory Name ENG],MATCH(Товары[[#This Row],[SubGroup]],Product_Structure[Subgroup],0)),"")</f>
        <v>Robotic&amp;Accsessories + spare parts for robotic</v>
      </c>
      <c r="E762" s="113" t="str">
        <f>IFERROR(INDEX(Product_Structure[SuperCategory Name RUS],MATCH(Товары[[#This Row],[SubGroup]],Product_Structure[Subgroup],0)),"")</f>
        <v>Газонокосилки-роботы + зап.части</v>
      </c>
      <c r="F762" s="113" t="str">
        <f>IFERROR(INDEX(Product_Structure[Product group],MATCH(Товары[[#This Row],[SubGroup]],Product_Structure[Subgroup],0)),"")</f>
        <v>LRL_C</v>
      </c>
      <c r="G762" s="113" t="str">
        <f>IFERROR(INDEX(Product_Structure[Product group name ENG],MATCH(Товары[[#This Row],[SubGroup]],Product_Structure[Subgroup],0)),"")</f>
        <v>Lawn, Robotic, Lawn mowers</v>
      </c>
      <c r="H762" s="113" t="str">
        <f>IFERROR(INDEX(Product_Structure[Generic Name (long)3],MATCH(Товары[[#This Row],[SubGroup]],Product_Structure[Subgroup],0)),"")</f>
        <v>Газонокосилки-роботы</v>
      </c>
      <c r="I762" s="36">
        <v>1230</v>
      </c>
      <c r="J762" s="36" t="str">
        <f>IFERROR(INDEX(Product_Structure[Generic Name (long)],MATCH(Товары[[#This Row],[SubGroup]],Product_Structure[Subgroup],0)),"")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Row],[SubGroup]],DIY!$B:$C,2,FALSE),0)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3" t="str">
        <f>IFERROR(INDEX(Product_Structure[SuperCategory],MATCH(Товары[[#This Row],[SubGroup]],Product_Structure[Subgroup],0)),"")</f>
        <v>R</v>
      </c>
      <c r="D763" s="113" t="str">
        <f>IFERROR(INDEX(Product_Structure[SuperCategory Name ENG],MATCH(Товары[[#This Row],[SubGroup]],Product_Structure[Subgroup],0)),"")</f>
        <v>Robotic&amp;Accsessories + spare parts for robotic</v>
      </c>
      <c r="E763" s="113" t="str">
        <f>IFERROR(INDEX(Product_Structure[SuperCategory Name RUS],MATCH(Товары[[#This Row],[SubGroup]],Product_Structure[Subgroup],0)),"")</f>
        <v>Газонокосилки-роботы + зап.части</v>
      </c>
      <c r="F763" s="113" t="str">
        <f>IFERROR(INDEX(Product_Structure[Product group],MATCH(Товары[[#This Row],[SubGroup]],Product_Structure[Subgroup],0)),"")</f>
        <v>LRL_C</v>
      </c>
      <c r="G763" s="113" t="str">
        <f>IFERROR(INDEX(Product_Structure[Product group name ENG],MATCH(Товары[[#This Row],[SubGroup]],Product_Structure[Subgroup],0)),"")</f>
        <v>Lawn, Robotic, Lawn mowers</v>
      </c>
      <c r="H763" s="113" t="str">
        <f>IFERROR(INDEX(Product_Structure[Generic Name (long)3],MATCH(Товары[[#This Row],[SubGroup]],Product_Structure[Subgroup],0)),"")</f>
        <v>Газонокосилки-роботы</v>
      </c>
      <c r="I763" s="36">
        <v>1230</v>
      </c>
      <c r="J763" s="36" t="str">
        <f>IFERROR(INDEX(Product_Structure[Generic Name (long)],MATCH(Товары[[#This Row],[SubGroup]],Product_Structure[Subgroup],0)),"")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Row],[SubGroup]],DIY!$B:$C,2,FALSE),0)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3" t="str">
        <f>IFERROR(INDEX(Product_Structure[SuperCategory],MATCH(Товары[[#This Row],[SubGroup]],Product_Structure[Subgroup],0)),"")</f>
        <v>R</v>
      </c>
      <c r="D764" s="113" t="str">
        <f>IFERROR(INDEX(Product_Structure[SuperCategory Name ENG],MATCH(Товары[[#This Row],[SubGroup]],Product_Structure[Subgroup],0)),"")</f>
        <v>Robotic&amp;Accsessories + spare parts for robotic</v>
      </c>
      <c r="E764" s="113" t="str">
        <f>IFERROR(INDEX(Product_Structure[SuperCategory Name RUS],MATCH(Товары[[#This Row],[SubGroup]],Product_Structure[Subgroup],0)),"")</f>
        <v>Газонокосилки-роботы + зап.части</v>
      </c>
      <c r="F764" s="113" t="str">
        <f>IFERROR(INDEX(Product_Structure[Product group],MATCH(Товары[[#This Row],[SubGroup]],Product_Structure[Subgroup],0)),"")</f>
        <v>LRL_C</v>
      </c>
      <c r="G764" s="113" t="str">
        <f>IFERROR(INDEX(Product_Structure[Product group name ENG],MATCH(Товары[[#This Row],[SubGroup]],Product_Structure[Subgroup],0)),"")</f>
        <v>Lawn, Robotic, Lawn mowers</v>
      </c>
      <c r="H764" s="113" t="str">
        <f>IFERROR(INDEX(Product_Structure[Generic Name (long)3],MATCH(Товары[[#This Row],[SubGroup]],Product_Structure[Subgroup],0)),"")</f>
        <v>Газонокосилки-роботы</v>
      </c>
      <c r="I764" s="36">
        <v>1230</v>
      </c>
      <c r="J764" s="36" t="str">
        <f>IFERROR(INDEX(Product_Structure[Generic Name (long)],MATCH(Товары[[#This Row],[SubGroup]],Product_Structure[Subgroup],0)),"")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Row],[SubGroup]],DIY!$B:$C,2,FALSE),0)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3" t="str">
        <f>IFERROR(INDEX(Product_Structure[SuperCategory],MATCH(Товары[[#This Row],[SubGroup]],Product_Structure[Subgroup],0)),"")</f>
        <v>R</v>
      </c>
      <c r="D765" s="113" t="str">
        <f>IFERROR(INDEX(Product_Structure[SuperCategory Name ENG],MATCH(Товары[[#This Row],[SubGroup]],Product_Structure[Subgroup],0)),"")</f>
        <v>Robotic&amp;Accsessories + spare parts for robotic</v>
      </c>
      <c r="E765" s="113" t="str">
        <f>IFERROR(INDEX(Product_Structure[SuperCategory Name RUS],MATCH(Товары[[#This Row],[SubGroup]],Product_Structure[Subgroup],0)),"")</f>
        <v>Газонокосилки-роботы + зап.части</v>
      </c>
      <c r="F765" s="113" t="str">
        <f>IFERROR(INDEX(Product_Structure[Product group],MATCH(Товары[[#This Row],[SubGroup]],Product_Structure[Subgroup],0)),"")</f>
        <v>LRL_C</v>
      </c>
      <c r="G765" s="113" t="str">
        <f>IFERROR(INDEX(Product_Structure[Product group name ENG],MATCH(Товары[[#This Row],[SubGroup]],Product_Structure[Subgroup],0)),"")</f>
        <v>Lawn, Robotic, Lawn mowers</v>
      </c>
      <c r="H765" s="113" t="str">
        <f>IFERROR(INDEX(Product_Structure[Generic Name (long)3],MATCH(Товары[[#This Row],[SubGroup]],Product_Structure[Subgroup],0)),"")</f>
        <v>Газонокосилки-роботы</v>
      </c>
      <c r="I765" s="36">
        <v>1230</v>
      </c>
      <c r="J765" s="36" t="str">
        <f>IFERROR(INDEX(Product_Structure[Generic Name (long)],MATCH(Товары[[#This Row],[SubGroup]],Product_Structure[Subgroup],0)),"")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Row],[SubGroup]],DIY!$B:$C,2,FALSE),0)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3" t="str">
        <f>IFERROR(INDEX(Product_Structure[SuperCategory],MATCH(Товары[[#This Row],[SubGroup]],Product_Structure[Subgroup],0)),"")</f>
        <v>R</v>
      </c>
      <c r="D766" s="113" t="str">
        <f>IFERROR(INDEX(Product_Structure[SuperCategory Name ENG],MATCH(Товары[[#This Row],[SubGroup]],Product_Structure[Subgroup],0)),"")</f>
        <v>Robotic&amp;Accsessories + spare parts for robotic</v>
      </c>
      <c r="E766" s="113" t="str">
        <f>IFERROR(INDEX(Product_Structure[SuperCategory Name RUS],MATCH(Товары[[#This Row],[SubGroup]],Product_Structure[Subgroup],0)),"")</f>
        <v>Газонокосилки-роботы + зап.части</v>
      </c>
      <c r="F766" s="113" t="str">
        <f>IFERROR(INDEX(Product_Structure[Product group],MATCH(Товары[[#This Row],[SubGroup]],Product_Structure[Subgroup],0)),"")</f>
        <v>LRL_C</v>
      </c>
      <c r="G766" s="113" t="str">
        <f>IFERROR(INDEX(Product_Structure[Product group name ENG],MATCH(Товары[[#This Row],[SubGroup]],Product_Structure[Subgroup],0)),"")</f>
        <v>Lawn, Robotic, Lawn mowers</v>
      </c>
      <c r="H766" s="113" t="str">
        <f>IFERROR(INDEX(Product_Structure[Generic Name (long)3],MATCH(Товары[[#This Row],[SubGroup]],Product_Structure[Subgroup],0)),"")</f>
        <v>Газонокосилки-роботы</v>
      </c>
      <c r="I766" s="36">
        <v>1230</v>
      </c>
      <c r="J766" s="36" t="str">
        <f>IFERROR(INDEX(Product_Structure[Generic Name (long)],MATCH(Товары[[#This Row],[SubGroup]],Product_Structure[Subgroup],0)),"")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Row],[SubGroup]],DIY!$B:$C,2,FALSE),0)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3" t="str">
        <f>IFERROR(INDEX(Product_Structure[SuperCategory],MATCH(Товары[[#This Row],[SubGroup]],Product_Structure[Subgroup],0)),"")</f>
        <v>R</v>
      </c>
      <c r="D767" s="113" t="str">
        <f>IFERROR(INDEX(Product_Structure[SuperCategory Name ENG],MATCH(Товары[[#This Row],[SubGroup]],Product_Structure[Subgroup],0)),"")</f>
        <v>Robotic&amp;Accsessories + spare parts for robotic</v>
      </c>
      <c r="E767" s="113" t="str">
        <f>IFERROR(INDEX(Product_Structure[SuperCategory Name RUS],MATCH(Товары[[#This Row],[SubGroup]],Product_Structure[Subgroup],0)),"")</f>
        <v>Газонокосилки-роботы + зап.части</v>
      </c>
      <c r="F767" s="113" t="str">
        <f>IFERROR(INDEX(Product_Structure[Product group],MATCH(Товары[[#This Row],[SubGroup]],Product_Structure[Subgroup],0)),"")</f>
        <v>LRL_C</v>
      </c>
      <c r="G767" s="113" t="str">
        <f>IFERROR(INDEX(Product_Structure[Product group name ENG],MATCH(Товары[[#This Row],[SubGroup]],Product_Structure[Subgroup],0)),"")</f>
        <v>Lawn, Robotic, Lawn mowers</v>
      </c>
      <c r="H767" s="113" t="str">
        <f>IFERROR(INDEX(Product_Structure[Generic Name (long)3],MATCH(Товары[[#This Row],[SubGroup]],Product_Structure[Subgroup],0)),"")</f>
        <v>Газонокосилки-роботы</v>
      </c>
      <c r="I767" s="36">
        <v>1230</v>
      </c>
      <c r="J767" s="36" t="str">
        <f>IFERROR(INDEX(Product_Structure[Generic Name (long)],MATCH(Товары[[#This Row],[SubGroup]],Product_Structure[Subgroup],0)),"")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Row],[SubGroup]],DIY!$B:$C,2,FALSE),0)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3" t="str">
        <f>IFERROR(INDEX(Product_Structure[SuperCategory],MATCH(Товары[[#This Row],[SubGroup]],Product_Structure[Subgroup],0)),"")</f>
        <v>R</v>
      </c>
      <c r="D768" s="113" t="str">
        <f>IFERROR(INDEX(Product_Structure[SuperCategory Name ENG],MATCH(Товары[[#This Row],[SubGroup]],Product_Structure[Subgroup],0)),"")</f>
        <v>Robotic&amp;Accsessories + spare parts for robotic</v>
      </c>
      <c r="E768" s="113" t="str">
        <f>IFERROR(INDEX(Product_Structure[SuperCategory Name RUS],MATCH(Товары[[#This Row],[SubGroup]],Product_Structure[Subgroup],0)),"")</f>
        <v>Газонокосилки-роботы + зап.части</v>
      </c>
      <c r="F768" s="113" t="str">
        <f>IFERROR(INDEX(Product_Structure[Product group],MATCH(Товары[[#This Row],[SubGroup]],Product_Structure[Subgroup],0)),"")</f>
        <v>LRL_C</v>
      </c>
      <c r="G768" s="113" t="str">
        <f>IFERROR(INDEX(Product_Structure[Product group name ENG],MATCH(Товары[[#This Row],[SubGroup]],Product_Structure[Subgroup],0)),"")</f>
        <v>Lawn, Robotic, Lawn mowers</v>
      </c>
      <c r="H768" s="113" t="str">
        <f>IFERROR(INDEX(Product_Structure[Generic Name (long)3],MATCH(Товары[[#This Row],[SubGroup]],Product_Structure[Subgroup],0)),"")</f>
        <v>Газонокосилки-роботы</v>
      </c>
      <c r="I768" s="36">
        <v>1230</v>
      </c>
      <c r="J768" s="36" t="str">
        <f>IFERROR(INDEX(Product_Structure[Generic Name (long)],MATCH(Товары[[#This Row],[SubGroup]],Product_Structure[Subgroup],0)),"")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Row],[SubGroup]],DIY!$B:$C,2,FALSE),0)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3" t="str">
        <f>IFERROR(INDEX(Product_Structure[SuperCategory],MATCH(Товары[[#This Row],[SubGroup]],Product_Structure[Subgroup],0)),"")</f>
        <v>R</v>
      </c>
      <c r="D769" s="113" t="str">
        <f>IFERROR(INDEX(Product_Structure[SuperCategory Name ENG],MATCH(Товары[[#This Row],[SubGroup]],Product_Structure[Subgroup],0)),"")</f>
        <v>Robotic&amp;Accsessories + spare parts for robotic</v>
      </c>
      <c r="E769" s="113" t="str">
        <f>IFERROR(INDEX(Product_Structure[SuperCategory Name RUS],MATCH(Товары[[#This Row],[SubGroup]],Product_Structure[Subgroup],0)),"")</f>
        <v>Газонокосилки-роботы + зап.части</v>
      </c>
      <c r="F769" s="113" t="str">
        <f>IFERROR(INDEX(Product_Structure[Product group],MATCH(Товары[[#This Row],[SubGroup]],Product_Structure[Subgroup],0)),"")</f>
        <v>LRL_C</v>
      </c>
      <c r="G769" s="113" t="str">
        <f>IFERROR(INDEX(Product_Structure[Product group name ENG],MATCH(Товары[[#This Row],[SubGroup]],Product_Structure[Subgroup],0)),"")</f>
        <v>Lawn, Robotic, Lawn mowers</v>
      </c>
      <c r="H769" s="113" t="str">
        <f>IFERROR(INDEX(Product_Structure[Generic Name (long)3],MATCH(Товары[[#This Row],[SubGroup]],Product_Structure[Subgroup],0)),"")</f>
        <v>Газонокосилки-роботы</v>
      </c>
      <c r="I769" s="36">
        <v>1230</v>
      </c>
      <c r="J769" s="36" t="str">
        <f>IFERROR(INDEX(Product_Structure[Generic Name (long)],MATCH(Товары[[#This Row],[SubGroup]],Product_Structure[Subgroup],0)),"")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Row],[SubGroup]],DIY!$B:$C,2,FALSE),0)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3" t="str">
        <f>IFERROR(INDEX(Product_Structure[SuperCategory],MATCH(Товары[[#This Row],[SubGroup]],Product_Structure[Subgroup],0)),"")</f>
        <v>R</v>
      </c>
      <c r="D770" s="113" t="str">
        <f>IFERROR(INDEX(Product_Structure[SuperCategory Name ENG],MATCH(Товары[[#This Row],[SubGroup]],Product_Structure[Subgroup],0)),"")</f>
        <v>Robotic&amp;Accsessories + spare parts for robotic</v>
      </c>
      <c r="E770" s="113" t="str">
        <f>IFERROR(INDEX(Product_Structure[SuperCategory Name RUS],MATCH(Товары[[#This Row],[SubGroup]],Product_Structure[Subgroup],0)),"")</f>
        <v>Газонокосилки-роботы + зап.части</v>
      </c>
      <c r="F770" s="113" t="str">
        <f>IFERROR(INDEX(Product_Structure[Product group],MATCH(Товары[[#This Row],[SubGroup]],Product_Structure[Subgroup],0)),"")</f>
        <v>LRL_C</v>
      </c>
      <c r="G770" s="113" t="str">
        <f>IFERROR(INDEX(Product_Structure[Product group name ENG],MATCH(Товары[[#This Row],[SubGroup]],Product_Structure[Subgroup],0)),"")</f>
        <v>Lawn, Robotic, Lawn mowers</v>
      </c>
      <c r="H770" s="113" t="str">
        <f>IFERROR(INDEX(Product_Structure[Generic Name (long)3],MATCH(Товары[[#This Row],[SubGroup]],Product_Structure[Subgroup],0)),"")</f>
        <v>Газонокосилки-роботы</v>
      </c>
      <c r="I770" s="36">
        <v>1230</v>
      </c>
      <c r="J770" s="36" t="str">
        <f>IFERROR(INDEX(Product_Structure[Generic Name (long)],MATCH(Товары[[#This Row],[SubGroup]],Product_Structure[Subgroup],0)),"")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Row],[SubGroup]],DIY!$B:$C,2,FALSE),0)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3" t="str">
        <f>IFERROR(INDEX(Product_Structure[SuperCategory],MATCH(Товары[[#This Row],[SubGroup]],Product_Structure[Subgroup],0)),"")</f>
        <v>R</v>
      </c>
      <c r="D771" s="113" t="str">
        <f>IFERROR(INDEX(Product_Structure[SuperCategory Name ENG],MATCH(Товары[[#This Row],[SubGroup]],Product_Structure[Subgroup],0)),"")</f>
        <v>Robotic&amp;Accsessories + spare parts for robotic</v>
      </c>
      <c r="E771" s="113" t="str">
        <f>IFERROR(INDEX(Product_Structure[SuperCategory Name RUS],MATCH(Товары[[#This Row],[SubGroup]],Product_Structure[Subgroup],0)),"")</f>
        <v>Газонокосилки-роботы + зап.части</v>
      </c>
      <c r="F771" s="113" t="str">
        <f>IFERROR(INDEX(Product_Structure[Product group],MATCH(Товары[[#This Row],[SubGroup]],Product_Structure[Subgroup],0)),"")</f>
        <v>LRL_C</v>
      </c>
      <c r="G771" s="113" t="str">
        <f>IFERROR(INDEX(Product_Structure[Product group name ENG],MATCH(Товары[[#This Row],[SubGroup]],Product_Structure[Subgroup],0)),"")</f>
        <v>Lawn, Robotic, Lawn mowers</v>
      </c>
      <c r="H771" s="113" t="str">
        <f>IFERROR(INDEX(Product_Structure[Generic Name (long)3],MATCH(Товары[[#This Row],[SubGroup]],Product_Structure[Subgroup],0)),"")</f>
        <v>Газонокосилки-роботы</v>
      </c>
      <c r="I771" s="36">
        <v>1230</v>
      </c>
      <c r="J771" s="36" t="str">
        <f>IFERROR(INDEX(Product_Structure[Generic Name (long)],MATCH(Товары[[#This Row],[SubGroup]],Product_Structure[Subgroup],0)),"")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Row],[SubGroup]],DIY!$B:$C,2,FALSE),0)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3" t="str">
        <f>IFERROR(INDEX(Product_Structure[SuperCategory],MATCH(Товары[[#This Row],[SubGroup]],Product_Structure[Subgroup],0)),"")</f>
        <v>R</v>
      </c>
      <c r="D772" s="113" t="str">
        <f>IFERROR(INDEX(Product_Structure[SuperCategory Name ENG],MATCH(Товары[[#This Row],[SubGroup]],Product_Structure[Subgroup],0)),"")</f>
        <v>Robotic&amp;Accsessories + spare parts for robotic</v>
      </c>
      <c r="E772" s="113" t="str">
        <f>IFERROR(INDEX(Product_Structure[SuperCategory Name RUS],MATCH(Товары[[#This Row],[SubGroup]],Product_Structure[Subgroup],0)),"")</f>
        <v>Газонокосилки-роботы + зап.части</v>
      </c>
      <c r="F772" s="113" t="str">
        <f>IFERROR(INDEX(Product_Structure[Product group],MATCH(Товары[[#This Row],[SubGroup]],Product_Structure[Subgroup],0)),"")</f>
        <v>LRL_C</v>
      </c>
      <c r="G772" s="113" t="str">
        <f>IFERROR(INDEX(Product_Structure[Product group name ENG],MATCH(Товары[[#This Row],[SubGroup]],Product_Structure[Subgroup],0)),"")</f>
        <v>Lawn, Robotic, Lawn mowers</v>
      </c>
      <c r="H772" s="113" t="str">
        <f>IFERROR(INDEX(Product_Structure[Generic Name (long)3],MATCH(Товары[[#This Row],[SubGroup]],Product_Structure[Subgroup],0)),"")</f>
        <v>Газонокосилки-роботы</v>
      </c>
      <c r="I772" s="36">
        <v>1230</v>
      </c>
      <c r="J772" s="36" t="str">
        <f>IFERROR(INDEX(Product_Structure[Generic Name (long)],MATCH(Товары[[#This Row],[SubGroup]],Product_Structure[Subgroup],0)),"")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Row],[SubGroup]],DIY!$B:$C,2,FALSE),0)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3" t="str">
        <f>IFERROR(INDEX(Product_Structure[SuperCategory],MATCH(Товары[[#This Row],[SubGroup]],Product_Structure[Subgroup],0)),"")</f>
        <v>R</v>
      </c>
      <c r="D773" s="113" t="str">
        <f>IFERROR(INDEX(Product_Structure[SuperCategory Name ENG],MATCH(Товары[[#This Row],[SubGroup]],Product_Structure[Subgroup],0)),"")</f>
        <v>Robotic&amp;Accsessories + spare parts for robotic</v>
      </c>
      <c r="E773" s="113" t="str">
        <f>IFERROR(INDEX(Product_Structure[SuperCategory Name RUS],MATCH(Товары[[#This Row],[SubGroup]],Product_Structure[Subgroup],0)),"")</f>
        <v>Газонокосилки-роботы + зап.части</v>
      </c>
      <c r="F773" s="113" t="str">
        <f>IFERROR(INDEX(Product_Structure[Product group],MATCH(Товары[[#This Row],[SubGroup]],Product_Structure[Subgroup],0)),"")</f>
        <v>LRL_C</v>
      </c>
      <c r="G773" s="113" t="str">
        <f>IFERROR(INDEX(Product_Structure[Product group name ENG],MATCH(Товары[[#This Row],[SubGroup]],Product_Structure[Subgroup],0)),"")</f>
        <v>Lawn, Robotic, Lawn mowers</v>
      </c>
      <c r="H773" s="113" t="str">
        <f>IFERROR(INDEX(Product_Structure[Generic Name (long)3],MATCH(Товары[[#This Row],[SubGroup]],Product_Structure[Subgroup],0)),"")</f>
        <v>Газонокосилки-роботы</v>
      </c>
      <c r="I773" s="36">
        <v>1230</v>
      </c>
      <c r="J773" s="36" t="str">
        <f>IFERROR(INDEX(Product_Structure[Generic Name (long)],MATCH(Товары[[#This Row],[SubGroup]],Product_Structure[Subgroup],0)),"")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Row],[SubGroup]],DIY!$B:$C,2,FALSE),0)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3" t="str">
        <f>IFERROR(INDEX(Product_Structure[SuperCategory],MATCH(Товары[[#This Row],[SubGroup]],Product_Structure[Subgroup],0)),"")</f>
        <v>R</v>
      </c>
      <c r="D774" s="113" t="str">
        <f>IFERROR(INDEX(Product_Structure[SuperCategory Name ENG],MATCH(Товары[[#This Row],[SubGroup]],Product_Structure[Subgroup],0)),"")</f>
        <v>Robotic&amp;Accsessories + spare parts for robotic</v>
      </c>
      <c r="E774" s="113" t="str">
        <f>IFERROR(INDEX(Product_Structure[SuperCategory Name RUS],MATCH(Товары[[#This Row],[SubGroup]],Product_Structure[Subgroup],0)),"")</f>
        <v>Газонокосилки-роботы + зап.части</v>
      </c>
      <c r="F774" s="113" t="str">
        <f>IFERROR(INDEX(Product_Structure[Product group],MATCH(Товары[[#This Row],[SubGroup]],Product_Structure[Subgroup],0)),"")</f>
        <v>LRL_C</v>
      </c>
      <c r="G774" s="113" t="str">
        <f>IFERROR(INDEX(Product_Structure[Product group name ENG],MATCH(Товары[[#This Row],[SubGroup]],Product_Structure[Subgroup],0)),"")</f>
        <v>Lawn, Robotic, Lawn mowers</v>
      </c>
      <c r="H774" s="113" t="str">
        <f>IFERROR(INDEX(Product_Structure[Generic Name (long)3],MATCH(Товары[[#This Row],[SubGroup]],Product_Structure[Subgroup],0)),"")</f>
        <v>Газонокосилки-роботы</v>
      </c>
      <c r="I774" s="36">
        <v>1230</v>
      </c>
      <c r="J774" s="36" t="str">
        <f>IFERROR(INDEX(Product_Structure[Generic Name (long)],MATCH(Товары[[#This Row],[SubGroup]],Product_Structure[Subgroup],0)),"")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Row],[SubGroup]],DIY!$B:$C,2,FALSE),0)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3" t="str">
        <f>IFERROR(INDEX(Product_Structure[SuperCategory],MATCH(Товары[[#This Row],[SubGroup]],Product_Structure[Subgroup],0)),"")</f>
        <v>R</v>
      </c>
      <c r="D775" s="113" t="str">
        <f>IFERROR(INDEX(Product_Structure[SuperCategory Name ENG],MATCH(Товары[[#This Row],[SubGroup]],Product_Structure[Subgroup],0)),"")</f>
        <v>Robotic&amp;Accsessories + spare parts for robotic</v>
      </c>
      <c r="E775" s="113" t="str">
        <f>IFERROR(INDEX(Product_Structure[SuperCategory Name RUS],MATCH(Товары[[#This Row],[SubGroup]],Product_Structure[Subgroup],0)),"")</f>
        <v>Газонокосилки-роботы + зап.части</v>
      </c>
      <c r="F775" s="113" t="str">
        <f>IFERROR(INDEX(Product_Structure[Product group],MATCH(Товары[[#This Row],[SubGroup]],Product_Structure[Subgroup],0)),"")</f>
        <v>LRL_P</v>
      </c>
      <c r="G775" s="113" t="str">
        <f>IFERROR(INDEX(Product_Structure[Product group name ENG],MATCH(Товары[[#This Row],[SubGroup]],Product_Structure[Subgroup],0)),"")</f>
        <v>Robotic, Spare Parts</v>
      </c>
      <c r="H775" s="113" t="str">
        <f>IFERROR(INDEX(Product_Structure[Generic Name (long)3],MATCH(Товары[[#This Row],[SubGroup]],Product_Structure[Subgroup],0)),"")</f>
        <v>Аксессуары для газонокосилок-роботов</v>
      </c>
      <c r="I775" s="36">
        <v>1238</v>
      </c>
      <c r="J775" s="36" t="str">
        <f>IFERROR(INDEX(Product_Structure[Generic Name (long)],MATCH(Товары[[#This Row],[SubGroup]],Product_Structure[Subgroup],0)),"")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Row],[SubGroup]],DIY!$B:$C,2,FALSE),0)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3" t="str">
        <f>IFERROR(INDEX(Product_Structure[SuperCategory],MATCH(Товары[[#This Row],[SubGroup]],Product_Structure[Subgroup],0)),"")</f>
        <v>R</v>
      </c>
      <c r="D776" s="113" t="str">
        <f>IFERROR(INDEX(Product_Structure[SuperCategory Name ENG],MATCH(Товары[[#This Row],[SubGroup]],Product_Structure[Subgroup],0)),"")</f>
        <v>Robotic&amp;Accsessories + spare parts for robotic</v>
      </c>
      <c r="E776" s="113" t="str">
        <f>IFERROR(INDEX(Product_Structure[SuperCategory Name RUS],MATCH(Товары[[#This Row],[SubGroup]],Product_Structure[Subgroup],0)),"")</f>
        <v>Газонокосилки-роботы + зап.части</v>
      </c>
      <c r="F776" s="113" t="str">
        <f>IFERROR(INDEX(Product_Structure[Product group],MATCH(Товары[[#This Row],[SubGroup]],Product_Structure[Subgroup],0)),"")</f>
        <v>LRL_P</v>
      </c>
      <c r="G776" s="113" t="str">
        <f>IFERROR(INDEX(Product_Structure[Product group name ENG],MATCH(Товары[[#This Row],[SubGroup]],Product_Structure[Subgroup],0)),"")</f>
        <v>Robotic, Spare Parts</v>
      </c>
      <c r="H776" s="113" t="str">
        <f>IFERROR(INDEX(Product_Structure[Generic Name (long)3],MATCH(Товары[[#This Row],[SubGroup]],Product_Structure[Subgroup],0)),"")</f>
        <v>Аксессуары для газонокосилок-роботов</v>
      </c>
      <c r="I776" s="36">
        <v>1238</v>
      </c>
      <c r="J776" s="36" t="str">
        <f>IFERROR(INDEX(Product_Structure[Generic Name (long)],MATCH(Товары[[#This Row],[SubGroup]],Product_Structure[Subgroup],0)),"")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Row],[SubGroup]],DIY!$B:$C,2,FALSE),0)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3" t="str">
        <f>IFERROR(INDEX(Product_Structure[SuperCategory],MATCH(Товары[[#This Row],[SubGroup]],Product_Structure[Subgroup],0)),"")</f>
        <v>R</v>
      </c>
      <c r="D777" s="113" t="str">
        <f>IFERROR(INDEX(Product_Structure[SuperCategory Name ENG],MATCH(Товары[[#This Row],[SubGroup]],Product_Structure[Subgroup],0)),"")</f>
        <v>Robotic&amp;Accsessories + spare parts for robotic</v>
      </c>
      <c r="E777" s="113" t="str">
        <f>IFERROR(INDEX(Product_Structure[SuperCategory Name RUS],MATCH(Товары[[#This Row],[SubGroup]],Product_Structure[Subgroup],0)),"")</f>
        <v>Газонокосилки-роботы + зап.части</v>
      </c>
      <c r="F777" s="113" t="str">
        <f>IFERROR(INDEX(Product_Structure[Product group],MATCH(Товары[[#This Row],[SubGroup]],Product_Structure[Subgroup],0)),"")</f>
        <v>LRL_P</v>
      </c>
      <c r="G777" s="113" t="str">
        <f>IFERROR(INDEX(Product_Structure[Product group name ENG],MATCH(Товары[[#This Row],[SubGroup]],Product_Structure[Subgroup],0)),"")</f>
        <v>Robotic, Spare Parts</v>
      </c>
      <c r="H777" s="113" t="str">
        <f>IFERROR(INDEX(Product_Structure[Generic Name (long)3],MATCH(Товары[[#This Row],[SubGroup]],Product_Structure[Subgroup],0)),"")</f>
        <v>Аксессуары для газонокосилок-роботов</v>
      </c>
      <c r="I777" s="36">
        <v>1238</v>
      </c>
      <c r="J777" s="36" t="str">
        <f>IFERROR(INDEX(Product_Structure[Generic Name (long)],MATCH(Товары[[#This Row],[SubGroup]],Product_Structure[Subgroup],0)),"")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Row],[SubGroup]],DIY!$B:$C,2,FALSE),0)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3" t="str">
        <f>IFERROR(INDEX(Product_Structure[SuperCategory],MATCH(Товары[[#This Row],[SubGroup]],Product_Structure[Subgroup],0)),"")</f>
        <v>R</v>
      </c>
      <c r="D778" s="113" t="str">
        <f>IFERROR(INDEX(Product_Structure[SuperCategory Name ENG],MATCH(Товары[[#This Row],[SubGroup]],Product_Structure[Subgroup],0)),"")</f>
        <v>Robotic&amp;Accsessories + spare parts for robotic</v>
      </c>
      <c r="E778" s="113" t="str">
        <f>IFERROR(INDEX(Product_Structure[SuperCategory Name RUS],MATCH(Товары[[#This Row],[SubGroup]],Product_Structure[Subgroup],0)),"")</f>
        <v>Газонокосилки-роботы + зап.части</v>
      </c>
      <c r="F778" s="113" t="str">
        <f>IFERROR(INDEX(Product_Structure[Product group],MATCH(Товары[[#This Row],[SubGroup]],Product_Structure[Subgroup],0)),"")</f>
        <v>LRL_P</v>
      </c>
      <c r="G778" s="113" t="str">
        <f>IFERROR(INDEX(Product_Structure[Product group name ENG],MATCH(Товары[[#This Row],[SubGroup]],Product_Structure[Subgroup],0)),"")</f>
        <v>Robotic, Spare Parts</v>
      </c>
      <c r="H778" s="113" t="str">
        <f>IFERROR(INDEX(Product_Structure[Generic Name (long)3],MATCH(Товары[[#This Row],[SubGroup]],Product_Structure[Subgroup],0)),"")</f>
        <v>Аксессуары для газонокосилок-роботов</v>
      </c>
      <c r="I778" s="36">
        <v>1238</v>
      </c>
      <c r="J778" s="36" t="str">
        <f>IFERROR(INDEX(Product_Structure[Generic Name (long)],MATCH(Товары[[#This Row],[SubGroup]],Product_Structure[Subgroup],0)),"")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Row],[SubGroup]],DIY!$B:$C,2,FALSE),0)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3" t="str">
        <f>IFERROR(INDEX(Product_Structure[SuperCategory],MATCH(Товары[[#This Row],[SubGroup]],Product_Structure[Subgroup],0)),"")</f>
        <v>R</v>
      </c>
      <c r="D779" s="113" t="str">
        <f>IFERROR(INDEX(Product_Structure[SuperCategory Name ENG],MATCH(Товары[[#This Row],[SubGroup]],Product_Structure[Subgroup],0)),"")</f>
        <v>Robotic&amp;Accsessories + spare parts for robotic</v>
      </c>
      <c r="E779" s="113" t="str">
        <f>IFERROR(INDEX(Product_Structure[SuperCategory Name RUS],MATCH(Товары[[#This Row],[SubGroup]],Product_Structure[Subgroup],0)),"")</f>
        <v>Газонокосилки-роботы + зап.части</v>
      </c>
      <c r="F779" s="113" t="str">
        <f>IFERROR(INDEX(Product_Structure[Product group],MATCH(Товары[[#This Row],[SubGroup]],Product_Structure[Subgroup],0)),"")</f>
        <v>LRL_P</v>
      </c>
      <c r="G779" s="113" t="str">
        <f>IFERROR(INDEX(Product_Structure[Product group name ENG],MATCH(Товары[[#This Row],[SubGroup]],Product_Structure[Subgroup],0)),"")</f>
        <v>Robotic, Spare Parts</v>
      </c>
      <c r="H779" s="113" t="str">
        <f>IFERROR(INDEX(Product_Structure[Generic Name (long)3],MATCH(Товары[[#This Row],[SubGroup]],Product_Structure[Subgroup],0)),"")</f>
        <v>Аксессуары для газонокосилок-роботов</v>
      </c>
      <c r="I779" s="36">
        <v>1238</v>
      </c>
      <c r="J779" s="36" t="str">
        <f>IFERROR(INDEX(Product_Structure[Generic Name (long)],MATCH(Товары[[#This Row],[SubGroup]],Product_Structure[Subgroup],0)),"")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Row],[SubGroup]],DIY!$B:$C,2,FALSE),0)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3" t="str">
        <f>IFERROR(INDEX(Product_Structure[SuperCategory],MATCH(Товары[[#This Row],[SubGroup]],Product_Structure[Subgroup],0)),"")</f>
        <v>R</v>
      </c>
      <c r="D780" s="113" t="str">
        <f>IFERROR(INDEX(Product_Structure[SuperCategory Name ENG],MATCH(Товары[[#This Row],[SubGroup]],Product_Structure[Subgroup],0)),"")</f>
        <v>Robotic&amp;Accsessories + spare parts for robotic</v>
      </c>
      <c r="E780" s="113" t="str">
        <f>IFERROR(INDEX(Product_Structure[SuperCategory Name RUS],MATCH(Товары[[#This Row],[SubGroup]],Product_Structure[Subgroup],0)),"")</f>
        <v>Газонокосилки-роботы + зап.части</v>
      </c>
      <c r="F780" s="113" t="str">
        <f>IFERROR(INDEX(Product_Structure[Product group],MATCH(Товары[[#This Row],[SubGroup]],Product_Structure[Subgroup],0)),"")</f>
        <v>LRL_P</v>
      </c>
      <c r="G780" s="113" t="str">
        <f>IFERROR(INDEX(Product_Structure[Product group name ENG],MATCH(Товары[[#This Row],[SubGroup]],Product_Structure[Subgroup],0)),"")</f>
        <v>Robotic, Spare Parts</v>
      </c>
      <c r="H780" s="113" t="str">
        <f>IFERROR(INDEX(Product_Structure[Generic Name (long)3],MATCH(Товары[[#This Row],[SubGroup]],Product_Structure[Subgroup],0)),"")</f>
        <v>Аксессуары для газонокосилок-роботов</v>
      </c>
      <c r="I780" s="36">
        <v>1238</v>
      </c>
      <c r="J780" s="36" t="str">
        <f>IFERROR(INDEX(Product_Structure[Generic Name (long)],MATCH(Товары[[#This Row],[SubGroup]],Product_Structure[Subgroup],0)),"")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Row],[SubGroup]],DIY!$B:$C,2,FALSE),0)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3" t="str">
        <f>IFERROR(INDEX(Product_Structure[SuperCategory],MATCH(Товары[[#This Row],[SubGroup]],Product_Structure[Subgroup],0)),"")</f>
        <v>R</v>
      </c>
      <c r="D781" s="113" t="str">
        <f>IFERROR(INDEX(Product_Structure[SuperCategory Name ENG],MATCH(Товары[[#This Row],[SubGroup]],Product_Structure[Subgroup],0)),"")</f>
        <v>Robotic&amp;Accsessories + spare parts for robotic</v>
      </c>
      <c r="E781" s="113" t="str">
        <f>IFERROR(INDEX(Product_Structure[SuperCategory Name RUS],MATCH(Товары[[#This Row],[SubGroup]],Product_Structure[Subgroup],0)),"")</f>
        <v>Газонокосилки-роботы + зап.части</v>
      </c>
      <c r="F781" s="113" t="str">
        <f>IFERROR(INDEX(Product_Structure[Product group],MATCH(Товары[[#This Row],[SubGroup]],Product_Structure[Subgroup],0)),"")</f>
        <v>LRL_P</v>
      </c>
      <c r="G781" s="113" t="str">
        <f>IFERROR(INDEX(Product_Structure[Product group name ENG],MATCH(Товары[[#This Row],[SubGroup]],Product_Structure[Subgroup],0)),"")</f>
        <v>Robotic, Spare Parts</v>
      </c>
      <c r="H781" s="113" t="str">
        <f>IFERROR(INDEX(Product_Structure[Generic Name (long)3],MATCH(Товары[[#This Row],[SubGroup]],Product_Structure[Subgroup],0)),"")</f>
        <v>Аксессуары для газонокосилок-роботов</v>
      </c>
      <c r="I781" s="36">
        <v>1238</v>
      </c>
      <c r="J781" s="36" t="str">
        <f>IFERROR(INDEX(Product_Structure[Generic Name (long)],MATCH(Товары[[#This Row],[SubGroup]],Product_Structure[Subgroup],0)),"")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Row],[SubGroup]],DIY!$B:$C,2,FALSE),0)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3" t="str">
        <f>IFERROR(INDEX(Product_Structure[SuperCategory],MATCH(Товары[[#This Row],[SubGroup]],Product_Structure[Subgroup],0)),"")</f>
        <v>R</v>
      </c>
      <c r="D782" s="113" t="str">
        <f>IFERROR(INDEX(Product_Structure[SuperCategory Name ENG],MATCH(Товары[[#This Row],[SubGroup]],Product_Structure[Subgroup],0)),"")</f>
        <v>Robotic&amp;Accsessories + spare parts for robotic</v>
      </c>
      <c r="E782" s="113" t="str">
        <f>IFERROR(INDEX(Product_Structure[SuperCategory Name RUS],MATCH(Товары[[#This Row],[SubGroup]],Product_Structure[Subgroup],0)),"")</f>
        <v>Газонокосилки-роботы + зап.части</v>
      </c>
      <c r="F782" s="113" t="str">
        <f>IFERROR(INDEX(Product_Structure[Product group],MATCH(Товары[[#This Row],[SubGroup]],Product_Structure[Subgroup],0)),"")</f>
        <v>LRL_P</v>
      </c>
      <c r="G782" s="113" t="str">
        <f>IFERROR(INDEX(Product_Structure[Product group name ENG],MATCH(Товары[[#This Row],[SubGroup]],Product_Structure[Subgroup],0)),"")</f>
        <v>Robotic, Spare Parts</v>
      </c>
      <c r="H782" s="113" t="str">
        <f>IFERROR(INDEX(Product_Structure[Generic Name (long)3],MATCH(Товары[[#This Row],[SubGroup]],Product_Structure[Subgroup],0)),"")</f>
        <v>Аксессуары для газонокосилок-роботов</v>
      </c>
      <c r="I782" s="36">
        <v>1238</v>
      </c>
      <c r="J782" s="36" t="str">
        <f>IFERROR(INDEX(Product_Structure[Generic Name (long)],MATCH(Товары[[#This Row],[SubGroup]],Product_Structure[Subgroup],0)),"")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Row],[SubGroup]],DIY!$B:$C,2,FALSE),0)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3" t="str">
        <f>IFERROR(INDEX(Product_Structure[SuperCategory],MATCH(Товары[[#This Row],[SubGroup]],Product_Structure[Subgroup],0)),"")</f>
        <v>R</v>
      </c>
      <c r="D783" s="113" t="str">
        <f>IFERROR(INDEX(Product_Structure[SuperCategory Name ENG],MATCH(Товары[[#This Row],[SubGroup]],Product_Structure[Subgroup],0)),"")</f>
        <v>Robotic&amp;Accsessories + spare parts for robotic</v>
      </c>
      <c r="E783" s="113" t="str">
        <f>IFERROR(INDEX(Product_Structure[SuperCategory Name RUS],MATCH(Товары[[#This Row],[SubGroup]],Product_Structure[Subgroup],0)),"")</f>
        <v>Газонокосилки-роботы + зап.части</v>
      </c>
      <c r="F783" s="113" t="str">
        <f>IFERROR(INDEX(Product_Structure[Product group],MATCH(Товары[[#This Row],[SubGroup]],Product_Structure[Subgroup],0)),"")</f>
        <v>LRL_P</v>
      </c>
      <c r="G783" s="113" t="str">
        <f>IFERROR(INDEX(Product_Structure[Product group name ENG],MATCH(Товары[[#This Row],[SubGroup]],Product_Structure[Subgroup],0)),"")</f>
        <v>Robotic, Spare Parts</v>
      </c>
      <c r="H783" s="113" t="str">
        <f>IFERROR(INDEX(Product_Structure[Generic Name (long)3],MATCH(Товары[[#This Row],[SubGroup]],Product_Structure[Subgroup],0)),"")</f>
        <v>Аксессуары для газонокосилок-роботов</v>
      </c>
      <c r="I783" s="36">
        <v>1238</v>
      </c>
      <c r="J783" s="36" t="str">
        <f>IFERROR(INDEX(Product_Structure[Generic Name (long)],MATCH(Товары[[#This Row],[SubGroup]],Product_Structure[Subgroup],0)),"")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Row],[SubGroup]],DIY!$B:$C,2,FALSE),0)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3" t="str">
        <f>IFERROR(INDEX(Product_Structure[SuperCategory],MATCH(Товары[[#This Row],[SubGroup]],Product_Structure[Subgroup],0)),"")</f>
        <v>R</v>
      </c>
      <c r="D784" s="113" t="str">
        <f>IFERROR(INDEX(Product_Structure[SuperCategory Name ENG],MATCH(Товары[[#This Row],[SubGroup]],Product_Structure[Subgroup],0)),"")</f>
        <v>Robotic&amp;Accsessories + spare parts for robotic</v>
      </c>
      <c r="E784" s="113" t="str">
        <f>IFERROR(INDEX(Product_Structure[SuperCategory Name RUS],MATCH(Товары[[#This Row],[SubGroup]],Product_Structure[Subgroup],0)),"")</f>
        <v>Газонокосилки-роботы + зап.части</v>
      </c>
      <c r="F784" s="113" t="str">
        <f>IFERROR(INDEX(Product_Structure[Product group],MATCH(Товары[[#This Row],[SubGroup]],Product_Structure[Subgroup],0)),"")</f>
        <v>LRL_P</v>
      </c>
      <c r="G784" s="113" t="str">
        <f>IFERROR(INDEX(Product_Structure[Product group name ENG],MATCH(Товары[[#This Row],[SubGroup]],Product_Structure[Subgroup],0)),"")</f>
        <v>Robotic, Spare Parts</v>
      </c>
      <c r="H784" s="113" t="str">
        <f>IFERROR(INDEX(Product_Structure[Generic Name (long)3],MATCH(Товары[[#This Row],[SubGroup]],Product_Structure[Subgroup],0)),"")</f>
        <v>Аксессуары для газонокосилок-роботов</v>
      </c>
      <c r="I784" s="36">
        <v>1238</v>
      </c>
      <c r="J784" s="36" t="str">
        <f>IFERROR(INDEX(Product_Structure[Generic Name (long)],MATCH(Товары[[#This Row],[SubGroup]],Product_Structure[Subgroup],0)),"")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Row],[SubGroup]],DIY!$B:$C,2,FALSE),0)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3" t="str">
        <f>IFERROR(INDEX(Product_Structure[SuperCategory],MATCH(Товары[[#This Row],[SubGroup]],Product_Structure[Subgroup],0)),"")</f>
        <v>R</v>
      </c>
      <c r="D785" s="113" t="str">
        <f>IFERROR(INDEX(Product_Structure[SuperCategory Name ENG],MATCH(Товары[[#This Row],[SubGroup]],Product_Structure[Subgroup],0)),"")</f>
        <v>Robotic&amp;Accsessories + spare parts for robotic</v>
      </c>
      <c r="E785" s="113" t="str">
        <f>IFERROR(INDEX(Product_Structure[SuperCategory Name RUS],MATCH(Товары[[#This Row],[SubGroup]],Product_Structure[Subgroup],0)),"")</f>
        <v>Газонокосилки-роботы + зап.части</v>
      </c>
      <c r="F785" s="113" t="str">
        <f>IFERROR(INDEX(Product_Structure[Product group],MATCH(Товары[[#This Row],[SubGroup]],Product_Structure[Subgroup],0)),"")</f>
        <v>LRL_P</v>
      </c>
      <c r="G785" s="113" t="str">
        <f>IFERROR(INDEX(Product_Structure[Product group name ENG],MATCH(Товары[[#This Row],[SubGroup]],Product_Structure[Subgroup],0)),"")</f>
        <v>Robotic, Spare Parts</v>
      </c>
      <c r="H785" s="113" t="str">
        <f>IFERROR(INDEX(Product_Structure[Generic Name (long)3],MATCH(Товары[[#This Row],[SubGroup]],Product_Structure[Subgroup],0)),"")</f>
        <v>Аксессуары для газонокосилок-роботов</v>
      </c>
      <c r="I785" s="36">
        <v>1238</v>
      </c>
      <c r="J785" s="36" t="str">
        <f>IFERROR(INDEX(Product_Structure[Generic Name (long)],MATCH(Товары[[#This Row],[SubGroup]],Product_Structure[Subgroup],0)),"")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Row],[SubGroup]],DIY!$B:$C,2,FALSE),0)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3" t="str">
        <f>IFERROR(INDEX(Product_Structure[SuperCategory],MATCH(Товары[[#This Row],[SubGroup]],Product_Structure[Subgroup],0)),"")</f>
        <v>R</v>
      </c>
      <c r="D786" s="113" t="str">
        <f>IFERROR(INDEX(Product_Structure[SuperCategory Name ENG],MATCH(Товары[[#This Row],[SubGroup]],Product_Structure[Subgroup],0)),"")</f>
        <v>Robotic&amp;Accsessories + spare parts for robotic</v>
      </c>
      <c r="E786" s="113" t="str">
        <f>IFERROR(INDEX(Product_Structure[SuperCategory Name RUS],MATCH(Товары[[#This Row],[SubGroup]],Product_Structure[Subgroup],0)),"")</f>
        <v>Газонокосилки-роботы + зап.части</v>
      </c>
      <c r="F786" s="113" t="str">
        <f>IFERROR(INDEX(Product_Structure[Product group],MATCH(Товары[[#This Row],[SubGroup]],Product_Structure[Subgroup],0)),"")</f>
        <v>LRL_P</v>
      </c>
      <c r="G786" s="113" t="str">
        <f>IFERROR(INDEX(Product_Structure[Product group name ENG],MATCH(Товары[[#This Row],[SubGroup]],Product_Structure[Subgroup],0)),"")</f>
        <v>Robotic, Spare Parts</v>
      </c>
      <c r="H786" s="113" t="str">
        <f>IFERROR(INDEX(Product_Structure[Generic Name (long)3],MATCH(Товары[[#This Row],[SubGroup]],Product_Structure[Subgroup],0)),"")</f>
        <v>Аксессуары для газонокосилок-роботов</v>
      </c>
      <c r="I786" s="36">
        <v>1238</v>
      </c>
      <c r="J786" s="36" t="str">
        <f>IFERROR(INDEX(Product_Structure[Generic Name (long)],MATCH(Товары[[#This Row],[SubGroup]],Product_Structure[Subgroup],0)),"")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Row],[SubGroup]],DIY!$B:$C,2,FALSE),0)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3" t="str">
        <f>IFERROR(INDEX(Product_Structure[SuperCategory],MATCH(Товары[[#This Row],[SubGroup]],Product_Structure[Subgroup],0)),"")</f>
        <v>R</v>
      </c>
      <c r="D787" s="113" t="str">
        <f>IFERROR(INDEX(Product_Structure[SuperCategory Name ENG],MATCH(Товары[[#This Row],[SubGroup]],Product_Structure[Subgroup],0)),"")</f>
        <v>Robotic&amp;Accsessories + spare parts for robotic</v>
      </c>
      <c r="E787" s="113" t="str">
        <f>IFERROR(INDEX(Product_Structure[SuperCategory Name RUS],MATCH(Товары[[#This Row],[SubGroup]],Product_Structure[Subgroup],0)),"")</f>
        <v>Газонокосилки-роботы + зап.части</v>
      </c>
      <c r="F787" s="113" t="str">
        <f>IFERROR(INDEX(Product_Structure[Product group],MATCH(Товары[[#This Row],[SubGroup]],Product_Structure[Subgroup],0)),"")</f>
        <v>LRL_P</v>
      </c>
      <c r="G787" s="113" t="str">
        <f>IFERROR(INDEX(Product_Structure[Product group name ENG],MATCH(Товары[[#This Row],[SubGroup]],Product_Structure[Subgroup],0)),"")</f>
        <v>Robotic, Spare Parts</v>
      </c>
      <c r="H787" s="113" t="str">
        <f>IFERROR(INDEX(Product_Structure[Generic Name (long)3],MATCH(Товары[[#This Row],[SubGroup]],Product_Structure[Subgroup],0)),"")</f>
        <v>Аксессуары для газонокосилок-роботов</v>
      </c>
      <c r="I787" s="36">
        <v>1238</v>
      </c>
      <c r="J787" s="36" t="str">
        <f>IFERROR(INDEX(Product_Structure[Generic Name (long)],MATCH(Товары[[#This Row],[SubGroup]],Product_Structure[Subgroup],0)),"")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Row],[SubGroup]],DIY!$B:$C,2,FALSE),0)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3" t="str">
        <f>IFERROR(INDEX(Product_Structure[SuperCategory],MATCH(Товары[[#This Row],[SubGroup]],Product_Structure[Subgroup],0)),"")</f>
        <v>R</v>
      </c>
      <c r="D788" s="113" t="str">
        <f>IFERROR(INDEX(Product_Structure[SuperCategory Name ENG],MATCH(Товары[[#This Row],[SubGroup]],Product_Structure[Subgroup],0)),"")</f>
        <v>Robotic&amp;Accsessories + spare parts for robotic</v>
      </c>
      <c r="E788" s="113" t="str">
        <f>IFERROR(INDEX(Product_Structure[SuperCategory Name RUS],MATCH(Товары[[#This Row],[SubGroup]],Product_Structure[Subgroup],0)),"")</f>
        <v>Газонокосилки-роботы + зап.части</v>
      </c>
      <c r="F788" s="113" t="str">
        <f>IFERROR(INDEX(Product_Structure[Product group],MATCH(Товары[[#This Row],[SubGroup]],Product_Structure[Subgroup],0)),"")</f>
        <v>LRL_P</v>
      </c>
      <c r="G788" s="113" t="str">
        <f>IFERROR(INDEX(Product_Structure[Product group name ENG],MATCH(Товары[[#This Row],[SubGroup]],Product_Structure[Subgroup],0)),"")</f>
        <v>Robotic, Spare Parts</v>
      </c>
      <c r="H788" s="113" t="str">
        <f>IFERROR(INDEX(Product_Structure[Generic Name (long)3],MATCH(Товары[[#This Row],[SubGroup]],Product_Structure[Subgroup],0)),"")</f>
        <v>Аксессуары для газонокосилок-роботов</v>
      </c>
      <c r="I788" s="36">
        <v>1238</v>
      </c>
      <c r="J788" s="36" t="str">
        <f>IFERROR(INDEX(Product_Structure[Generic Name (long)],MATCH(Товары[[#This Row],[SubGroup]],Product_Structure[Subgroup],0)),"")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Row],[SubGroup]],DIY!$B:$C,2,FALSE),0)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3" t="str">
        <f>IFERROR(INDEX(Product_Structure[SuperCategory],MATCH(Товары[[#This Row],[SubGroup]],Product_Structure[Subgroup],0)),"")</f>
        <v>R</v>
      </c>
      <c r="D789" s="113" t="str">
        <f>IFERROR(INDEX(Product_Structure[SuperCategory Name ENG],MATCH(Товары[[#This Row],[SubGroup]],Product_Structure[Subgroup],0)),"")</f>
        <v>Robotic&amp;Accsessories + spare parts for robotic</v>
      </c>
      <c r="E789" s="113" t="str">
        <f>IFERROR(INDEX(Product_Structure[SuperCategory Name RUS],MATCH(Товары[[#This Row],[SubGroup]],Product_Structure[Subgroup],0)),"")</f>
        <v>Газонокосилки-роботы + зап.части</v>
      </c>
      <c r="F789" s="113" t="str">
        <f>IFERROR(INDEX(Product_Structure[Product group],MATCH(Товары[[#This Row],[SubGroup]],Product_Structure[Subgroup],0)),"")</f>
        <v>LRL_P</v>
      </c>
      <c r="G789" s="113" t="str">
        <f>IFERROR(INDEX(Product_Structure[Product group name ENG],MATCH(Товары[[#This Row],[SubGroup]],Product_Structure[Subgroup],0)),"")</f>
        <v>Robotic, Spare Parts</v>
      </c>
      <c r="H789" s="113" t="str">
        <f>IFERROR(INDEX(Product_Structure[Generic Name (long)3],MATCH(Товары[[#This Row],[SubGroup]],Product_Structure[Subgroup],0)),"")</f>
        <v>Аксессуары для газонокосилок-роботов</v>
      </c>
      <c r="I789" s="36">
        <v>1238</v>
      </c>
      <c r="J789" s="36" t="str">
        <f>IFERROR(INDEX(Product_Structure[Generic Name (long)],MATCH(Товары[[#This Row],[SubGroup]],Product_Structure[Subgroup],0)),"")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Row],[SubGroup]],DIY!$B:$C,2,FALSE),0)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3" t="str">
        <f>IFERROR(INDEX(Product_Structure[SuperCategory],MATCH(Товары[[#This Row],[SubGroup]],Product_Structure[Subgroup],0)),"")</f>
        <v>R</v>
      </c>
      <c r="D790" s="113" t="str">
        <f>IFERROR(INDEX(Product_Structure[SuperCategory Name ENG],MATCH(Товары[[#This Row],[SubGroup]],Product_Structure[Subgroup],0)),"")</f>
        <v>Robotic&amp;Accsessories + spare parts for robotic</v>
      </c>
      <c r="E790" s="113" t="str">
        <f>IFERROR(INDEX(Product_Structure[SuperCategory Name RUS],MATCH(Товары[[#This Row],[SubGroup]],Product_Structure[Subgroup],0)),"")</f>
        <v>Газонокосилки-роботы + зап.части</v>
      </c>
      <c r="F790" s="113" t="str">
        <f>IFERROR(INDEX(Product_Structure[Product group],MATCH(Товары[[#This Row],[SubGroup]],Product_Structure[Subgroup],0)),"")</f>
        <v>LRL_P</v>
      </c>
      <c r="G790" s="113" t="str">
        <f>IFERROR(INDEX(Product_Structure[Product group name ENG],MATCH(Товары[[#This Row],[SubGroup]],Product_Structure[Subgroup],0)),"")</f>
        <v>Robotic, Spare Parts</v>
      </c>
      <c r="H790" s="113" t="str">
        <f>IFERROR(INDEX(Product_Structure[Generic Name (long)3],MATCH(Товары[[#This Row],[SubGroup]],Product_Structure[Subgroup],0)),"")</f>
        <v>Аксессуары для газонокосилок-роботов</v>
      </c>
      <c r="I790" s="36">
        <v>1238</v>
      </c>
      <c r="J790" s="36" t="str">
        <f>IFERROR(INDEX(Product_Structure[Generic Name (long)],MATCH(Товары[[#This Row],[SubGroup]],Product_Structure[Subgroup],0)),"")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Row],[SubGroup]],DIY!$B:$C,2,FALSE),0)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3" t="str">
        <f>IFERROR(INDEX(Product_Structure[SuperCategory],MATCH(Товары[[#This Row],[SubGroup]],Product_Structure[Subgroup],0)),"")</f>
        <v>R</v>
      </c>
      <c r="D791" s="113" t="str">
        <f>IFERROR(INDEX(Product_Structure[SuperCategory Name ENG],MATCH(Товары[[#This Row],[SubGroup]],Product_Structure[Subgroup],0)),"")</f>
        <v>Robotic&amp;Accsessories + spare parts for robotic</v>
      </c>
      <c r="E791" s="113" t="str">
        <f>IFERROR(INDEX(Product_Structure[SuperCategory Name RUS],MATCH(Товары[[#This Row],[SubGroup]],Product_Structure[Subgroup],0)),"")</f>
        <v>Газонокосилки-роботы + зап.части</v>
      </c>
      <c r="F791" s="113" t="str">
        <f>IFERROR(INDEX(Product_Structure[Product group],MATCH(Товары[[#This Row],[SubGroup]],Product_Structure[Subgroup],0)),"")</f>
        <v>LRL_P</v>
      </c>
      <c r="G791" s="113" t="str">
        <f>IFERROR(INDEX(Product_Structure[Product group name ENG],MATCH(Товары[[#This Row],[SubGroup]],Product_Structure[Subgroup],0)),"")</f>
        <v>Robotic, Spare Parts</v>
      </c>
      <c r="H791" s="113" t="str">
        <f>IFERROR(INDEX(Product_Structure[Generic Name (long)3],MATCH(Товары[[#This Row],[SubGroup]],Product_Structure[Subgroup],0)),"")</f>
        <v>Аксессуары для газонокосилок-роботов</v>
      </c>
      <c r="I791" s="36">
        <v>1238</v>
      </c>
      <c r="J791" s="36" t="str">
        <f>IFERROR(INDEX(Product_Structure[Generic Name (long)],MATCH(Товары[[#This Row],[SubGroup]],Product_Structure[Subgroup],0)),"")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Row],[SubGroup]],DIY!$B:$C,2,FALSE),0)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3" t="str">
        <f>IFERROR(INDEX(Product_Structure[SuperCategory],MATCH(Товары[[#This Row],[SubGroup]],Product_Structure[Subgroup],0)),"")</f>
        <v>R</v>
      </c>
      <c r="D792" s="113" t="str">
        <f>IFERROR(INDEX(Product_Structure[SuperCategory Name ENG],MATCH(Товары[[#This Row],[SubGroup]],Product_Structure[Subgroup],0)),"")</f>
        <v>Robotic&amp;Accsessories + spare parts for robotic</v>
      </c>
      <c r="E792" s="113" t="str">
        <f>IFERROR(INDEX(Product_Structure[SuperCategory Name RUS],MATCH(Товары[[#This Row],[SubGroup]],Product_Structure[Subgroup],0)),"")</f>
        <v>Газонокосилки-роботы + зап.части</v>
      </c>
      <c r="F792" s="113" t="str">
        <f>IFERROR(INDEX(Product_Structure[Product group],MATCH(Товары[[#This Row],[SubGroup]],Product_Structure[Subgroup],0)),"")</f>
        <v>LRL_P</v>
      </c>
      <c r="G792" s="113" t="str">
        <f>IFERROR(INDEX(Product_Structure[Product group name ENG],MATCH(Товары[[#This Row],[SubGroup]],Product_Structure[Subgroup],0)),"")</f>
        <v>Robotic, Spare Parts</v>
      </c>
      <c r="H792" s="113" t="str">
        <f>IFERROR(INDEX(Product_Structure[Generic Name (long)3],MATCH(Товары[[#This Row],[SubGroup]],Product_Structure[Subgroup],0)),"")</f>
        <v>Аксессуары для газонокосилок-роботов</v>
      </c>
      <c r="I792" s="36">
        <v>1238</v>
      </c>
      <c r="J792" s="36" t="str">
        <f>IFERROR(INDEX(Product_Structure[Generic Name (long)],MATCH(Товары[[#This Row],[SubGroup]],Product_Structure[Subgroup],0)),"")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Row],[SubGroup]],DIY!$B:$C,2,FALSE),0)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3" t="str">
        <f>IFERROR(INDEX(Product_Structure[SuperCategory],MATCH(Товары[[#This Row],[SubGroup]],Product_Structure[Subgroup],0)),"")</f>
        <v>R</v>
      </c>
      <c r="D793" s="113" t="str">
        <f>IFERROR(INDEX(Product_Structure[SuperCategory Name ENG],MATCH(Товары[[#This Row],[SubGroup]],Product_Structure[Subgroup],0)),"")</f>
        <v>Robotic&amp;Accsessories + spare parts for robotic</v>
      </c>
      <c r="E793" s="113" t="str">
        <f>IFERROR(INDEX(Product_Structure[SuperCategory Name RUS],MATCH(Товары[[#This Row],[SubGroup]],Product_Structure[Subgroup],0)),"")</f>
        <v>Газонокосилки-роботы + зап.части</v>
      </c>
      <c r="F793" s="113" t="str">
        <f>IFERROR(INDEX(Product_Structure[Product group],MATCH(Товары[[#This Row],[SubGroup]],Product_Structure[Subgroup],0)),"")</f>
        <v>LRL_P</v>
      </c>
      <c r="G793" s="113" t="str">
        <f>IFERROR(INDEX(Product_Structure[Product group name ENG],MATCH(Товары[[#This Row],[SubGroup]],Product_Structure[Subgroup],0)),"")</f>
        <v>Robotic, Spare Parts</v>
      </c>
      <c r="H793" s="113" t="str">
        <f>IFERROR(INDEX(Product_Structure[Generic Name (long)3],MATCH(Товары[[#This Row],[SubGroup]],Product_Structure[Subgroup],0)),"")</f>
        <v>Аксессуары для газонокосилок-роботов</v>
      </c>
      <c r="I793" s="36">
        <v>1238</v>
      </c>
      <c r="J793" s="36" t="str">
        <f>IFERROR(INDEX(Product_Structure[Generic Name (long)],MATCH(Товары[[#This Row],[SubGroup]],Product_Structure[Subgroup],0)),"")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Row],[SubGroup]],DIY!$B:$C,2,FALSE),0)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3" t="str">
        <f>IFERROR(INDEX(Product_Structure[SuperCategory],MATCH(Товары[[#This Row],[SubGroup]],Product_Structure[Subgroup],0)),"")</f>
        <v>R</v>
      </c>
      <c r="D794" s="113" t="str">
        <f>IFERROR(INDEX(Product_Structure[SuperCategory Name ENG],MATCH(Товары[[#This Row],[SubGroup]],Product_Structure[Subgroup],0)),"")</f>
        <v>Robotic&amp;Accsessories + spare parts for robotic</v>
      </c>
      <c r="E794" s="113" t="str">
        <f>IFERROR(INDEX(Product_Structure[SuperCategory Name RUS],MATCH(Товары[[#This Row],[SubGroup]],Product_Structure[Subgroup],0)),"")</f>
        <v>Газонокосилки-роботы + зап.части</v>
      </c>
      <c r="F794" s="113" t="str">
        <f>IFERROR(INDEX(Product_Structure[Product group],MATCH(Товары[[#This Row],[SubGroup]],Product_Structure[Subgroup],0)),"")</f>
        <v>LRL_P</v>
      </c>
      <c r="G794" s="113" t="str">
        <f>IFERROR(INDEX(Product_Structure[Product group name ENG],MATCH(Товары[[#This Row],[SubGroup]],Product_Structure[Subgroup],0)),"")</f>
        <v>Robotic, Spare Parts</v>
      </c>
      <c r="H794" s="113" t="str">
        <f>IFERROR(INDEX(Product_Structure[Generic Name (long)3],MATCH(Товары[[#This Row],[SubGroup]],Product_Structure[Subgroup],0)),"")</f>
        <v>Аксессуары для газонокосилок-роботов</v>
      </c>
      <c r="I794" s="36">
        <v>1238</v>
      </c>
      <c r="J794" s="36" t="str">
        <f>IFERROR(INDEX(Product_Structure[Generic Name (long)],MATCH(Товары[[#This Row],[SubGroup]],Product_Structure[Subgroup],0)),"")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Row],[SubGroup]],DIY!$B:$C,2,FALSE),0)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3" t="str">
        <f>IFERROR(INDEX(Product_Structure[SuperCategory],MATCH(Товары[[#This Row],[SubGroup]],Product_Structure[Subgroup],0)),"")</f>
        <v>R</v>
      </c>
      <c r="D795" s="113" t="str">
        <f>IFERROR(INDEX(Product_Structure[SuperCategory Name ENG],MATCH(Товары[[#This Row],[SubGroup]],Product_Structure[Subgroup],0)),"")</f>
        <v>Robotic&amp;Accsessories + spare parts for robotic</v>
      </c>
      <c r="E795" s="113" t="str">
        <f>IFERROR(INDEX(Product_Structure[SuperCategory Name RUS],MATCH(Товары[[#This Row],[SubGroup]],Product_Structure[Subgroup],0)),"")</f>
        <v>Газонокосилки-роботы + зап.части</v>
      </c>
      <c r="F795" s="113" t="str">
        <f>IFERROR(INDEX(Product_Structure[Product group],MATCH(Товары[[#This Row],[SubGroup]],Product_Structure[Subgroup],0)),"")</f>
        <v>LSP_C</v>
      </c>
      <c r="G795" s="113">
        <f>IFERROR(INDEX(Product_Structure[Product group name ENG],MATCH(Товары[[#This Row],[SubGroup]],Product_Structure[Subgroup],0)),"")</f>
        <v>0</v>
      </c>
      <c r="H795" s="113" t="str">
        <f>IFERROR(INDEX(Product_Structure[Generic Name (long)3],MATCH(Товары[[#This Row],[SubGroup]],Product_Structure[Subgroup],0)),"")</f>
        <v>Зап.части для газонокосилок-роботов</v>
      </c>
      <c r="I795" s="36">
        <v>7898</v>
      </c>
      <c r="J795" s="36" t="str">
        <f>IFERROR(INDEX(Product_Structure[Generic Name (long)],MATCH(Товары[[#This Row],[SubGroup]],Product_Structure[Subgroup],0)),"")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Row],[SubGroup]],DIY!$B:$C,2,FALSE),0)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3" t="str">
        <f>IFERROR(INDEX(Product_Structure[SuperCategory],MATCH(Товары[[#This Row],[SubGroup]],Product_Structure[Subgroup],0)),"")</f>
        <v>R</v>
      </c>
      <c r="D796" s="113" t="str">
        <f>IFERROR(INDEX(Product_Structure[SuperCategory Name ENG],MATCH(Товары[[#This Row],[SubGroup]],Product_Structure[Subgroup],0)),"")</f>
        <v>Robotic&amp;Accsessories + spare parts for robotic</v>
      </c>
      <c r="E796" s="113" t="str">
        <f>IFERROR(INDEX(Product_Structure[SuperCategory Name RUS],MATCH(Товары[[#This Row],[SubGroup]],Product_Structure[Subgroup],0)),"")</f>
        <v>Газонокосилки-роботы + зап.части</v>
      </c>
      <c r="F796" s="113" t="str">
        <f>IFERROR(INDEX(Product_Structure[Product group],MATCH(Товары[[#This Row],[SubGroup]],Product_Structure[Subgroup],0)),"")</f>
        <v>LSP_C</v>
      </c>
      <c r="G796" s="113">
        <f>IFERROR(INDEX(Product_Structure[Product group name ENG],MATCH(Товары[[#This Row],[SubGroup]],Product_Structure[Subgroup],0)),"")</f>
        <v>0</v>
      </c>
      <c r="H796" s="113" t="str">
        <f>IFERROR(INDEX(Product_Structure[Generic Name (long)3],MATCH(Товары[[#This Row],[SubGroup]],Product_Structure[Subgroup],0)),"")</f>
        <v>Зап.части для газонокосилок-роботов</v>
      </c>
      <c r="I796" s="36">
        <v>7898</v>
      </c>
      <c r="J796" s="36" t="str">
        <f>IFERROR(INDEX(Product_Structure[Generic Name (long)],MATCH(Товары[[#This Row],[SubGroup]],Product_Structure[Subgroup],0)),"")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Row],[SubGroup]],DIY!$B:$C,2,FALSE),0)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3" t="str">
        <f>IFERROR(INDEX(Product_Structure[SuperCategory],MATCH(Товары[[#This Row],[SubGroup]],Product_Structure[Subgroup],0)),"")</f>
        <v>R</v>
      </c>
      <c r="D797" s="113" t="str">
        <f>IFERROR(INDEX(Product_Structure[SuperCategory Name ENG],MATCH(Товары[[#This Row],[SubGroup]],Product_Structure[Subgroup],0)),"")</f>
        <v>Robotic&amp;Accsessories + spare parts for robotic</v>
      </c>
      <c r="E797" s="113" t="str">
        <f>IFERROR(INDEX(Product_Structure[SuperCategory Name RUS],MATCH(Товары[[#This Row],[SubGroup]],Product_Structure[Subgroup],0)),"")</f>
        <v>Газонокосилки-роботы + зап.части</v>
      </c>
      <c r="F797" s="113" t="str">
        <f>IFERROR(INDEX(Product_Structure[Product group],MATCH(Товары[[#This Row],[SubGroup]],Product_Structure[Subgroup],0)),"")</f>
        <v>LSP_C</v>
      </c>
      <c r="G797" s="113">
        <f>IFERROR(INDEX(Product_Structure[Product group name ENG],MATCH(Товары[[#This Row],[SubGroup]],Product_Structure[Subgroup],0)),"")</f>
        <v>0</v>
      </c>
      <c r="H797" s="113" t="str">
        <f>IFERROR(INDEX(Product_Structure[Generic Name (long)3],MATCH(Товары[[#This Row],[SubGroup]],Product_Structure[Subgroup],0)),"")</f>
        <v>Зап.части для газонокосилок-роботов</v>
      </c>
      <c r="I797" s="36">
        <v>7898</v>
      </c>
      <c r="J797" s="36" t="str">
        <f>IFERROR(INDEX(Product_Structure[Generic Name (long)],MATCH(Товары[[#This Row],[SubGroup]],Product_Structure[Subgroup],0)),"")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Row],[SubGroup]],DIY!$B:$C,2,FALSE),0)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3" t="str">
        <f>IFERROR(INDEX(Product_Structure[SuperCategory],MATCH(Товары[[#This Row],[SubGroup]],Product_Structure[Subgroup],0)),"")</f>
        <v>R</v>
      </c>
      <c r="D798" s="113" t="str">
        <f>IFERROR(INDEX(Product_Structure[SuperCategory Name ENG],MATCH(Товары[[#This Row],[SubGroup]],Product_Structure[Subgroup],0)),"")</f>
        <v>Robotic&amp;Accsessories + spare parts for robotic</v>
      </c>
      <c r="E798" s="113" t="str">
        <f>IFERROR(INDEX(Product_Structure[SuperCategory Name RUS],MATCH(Товары[[#This Row],[SubGroup]],Product_Structure[Subgroup],0)),"")</f>
        <v>Газонокосилки-роботы + зап.части</v>
      </c>
      <c r="F798" s="113" t="str">
        <f>IFERROR(INDEX(Product_Structure[Product group],MATCH(Товары[[#This Row],[SubGroup]],Product_Structure[Subgroup],0)),"")</f>
        <v>LSP_C</v>
      </c>
      <c r="G798" s="113">
        <f>IFERROR(INDEX(Product_Structure[Product group name ENG],MATCH(Товары[[#This Row],[SubGroup]],Product_Structure[Subgroup],0)),"")</f>
        <v>0</v>
      </c>
      <c r="H798" s="113" t="str">
        <f>IFERROR(INDEX(Product_Structure[Generic Name (long)3],MATCH(Товары[[#This Row],[SubGroup]],Product_Structure[Subgroup],0)),"")</f>
        <v>Зап.части для газонокосилок-роботов</v>
      </c>
      <c r="I798" s="36">
        <v>7898</v>
      </c>
      <c r="J798" s="36" t="str">
        <f>IFERROR(INDEX(Product_Structure[Generic Name (long)],MATCH(Товары[[#This Row],[SubGroup]],Product_Structure[Subgroup],0)),"")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Row],[SubGroup]],DIY!$B:$C,2,FALSE),0)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3" t="str">
        <f>IFERROR(INDEX(Product_Structure[SuperCategory],MATCH(Товары[[#This Row],[SubGroup]],Product_Structure[Subgroup],0)),"")</f>
        <v>R</v>
      </c>
      <c r="D799" s="113" t="str">
        <f>IFERROR(INDEX(Product_Structure[SuperCategory Name ENG],MATCH(Товары[[#This Row],[SubGroup]],Product_Structure[Subgroup],0)),"")</f>
        <v>Robotic&amp;Accsessories + spare parts for robotic</v>
      </c>
      <c r="E799" s="113" t="str">
        <f>IFERROR(INDEX(Product_Structure[SuperCategory Name RUS],MATCH(Товары[[#This Row],[SubGroup]],Product_Structure[Subgroup],0)),"")</f>
        <v>Газонокосилки-роботы + зап.части</v>
      </c>
      <c r="F799" s="113" t="str">
        <f>IFERROR(INDEX(Product_Structure[Product group],MATCH(Товары[[#This Row],[SubGroup]],Product_Structure[Subgroup],0)),"")</f>
        <v>LSP_C</v>
      </c>
      <c r="G799" s="113">
        <f>IFERROR(INDEX(Product_Structure[Product group name ENG],MATCH(Товары[[#This Row],[SubGroup]],Product_Structure[Subgroup],0)),"")</f>
        <v>0</v>
      </c>
      <c r="H799" s="113" t="str">
        <f>IFERROR(INDEX(Product_Structure[Generic Name (long)3],MATCH(Товары[[#This Row],[SubGroup]],Product_Structure[Subgroup],0)),"")</f>
        <v>Зап.части для газонокосилок-роботов</v>
      </c>
      <c r="I799" s="36">
        <v>7898</v>
      </c>
      <c r="J799" s="36" t="str">
        <f>IFERROR(INDEX(Product_Structure[Generic Name (long)],MATCH(Товары[[#This Row],[SubGroup]],Product_Structure[Subgroup],0)),"")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Row],[SubGroup]],DIY!$B:$C,2,FALSE),0)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3" t="str">
        <f>IFERROR(INDEX(Product_Structure[SuperCategory],MATCH(Товары[[#This Row],[SubGroup]],Product_Structure[Subgroup],0)),"")</f>
        <v>R</v>
      </c>
      <c r="D800" s="113" t="str">
        <f>IFERROR(INDEX(Product_Structure[SuperCategory Name ENG],MATCH(Товары[[#This Row],[SubGroup]],Product_Structure[Subgroup],0)),"")</f>
        <v>Robotic&amp;Accsessories + spare parts for robotic</v>
      </c>
      <c r="E800" s="113" t="str">
        <f>IFERROR(INDEX(Product_Structure[SuperCategory Name RUS],MATCH(Товары[[#This Row],[SubGroup]],Product_Structure[Subgroup],0)),"")</f>
        <v>Газонокосилки-роботы + зап.части</v>
      </c>
      <c r="F800" s="113" t="str">
        <f>IFERROR(INDEX(Product_Structure[Product group],MATCH(Товары[[#This Row],[SubGroup]],Product_Structure[Subgroup],0)),"")</f>
        <v>LSP_C</v>
      </c>
      <c r="G800" s="113">
        <f>IFERROR(INDEX(Product_Structure[Product group name ENG],MATCH(Товары[[#This Row],[SubGroup]],Product_Structure[Subgroup],0)),"")</f>
        <v>0</v>
      </c>
      <c r="H800" s="113" t="str">
        <f>IFERROR(INDEX(Product_Structure[Generic Name (long)3],MATCH(Товары[[#This Row],[SubGroup]],Product_Structure[Subgroup],0)),"")</f>
        <v>Зап.части для газонокосилок-роботов</v>
      </c>
      <c r="I800" s="36">
        <v>7898</v>
      </c>
      <c r="J800" s="36" t="str">
        <f>IFERROR(INDEX(Product_Structure[Generic Name (long)],MATCH(Товары[[#This Row],[SubGroup]],Product_Structure[Subgroup],0)),"")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Row],[SubGroup]],DIY!$B:$C,2,FALSE),0)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3" t="str">
        <f>IFERROR(INDEX(Product_Structure[SuperCategory],MATCH(Товары[[#This Row],[SubGroup]],Product_Structure[Subgroup],0)),"")</f>
        <v>R</v>
      </c>
      <c r="D801" s="113" t="str">
        <f>IFERROR(INDEX(Product_Structure[SuperCategory Name ENG],MATCH(Товары[[#This Row],[SubGroup]],Product_Structure[Subgroup],0)),"")</f>
        <v>Robotic&amp;Accsessories + spare parts for robotic</v>
      </c>
      <c r="E801" s="113" t="str">
        <f>IFERROR(INDEX(Product_Structure[SuperCategory Name RUS],MATCH(Товары[[#This Row],[SubGroup]],Product_Structure[Subgroup],0)),"")</f>
        <v>Газонокосилки-роботы + зап.части</v>
      </c>
      <c r="F801" s="113" t="str">
        <f>IFERROR(INDEX(Product_Structure[Product group],MATCH(Товары[[#This Row],[SubGroup]],Product_Structure[Subgroup],0)),"")</f>
        <v>LSP_C</v>
      </c>
      <c r="G801" s="113">
        <f>IFERROR(INDEX(Product_Structure[Product group name ENG],MATCH(Товары[[#This Row],[SubGroup]],Product_Structure[Subgroup],0)),"")</f>
        <v>0</v>
      </c>
      <c r="H801" s="113" t="str">
        <f>IFERROR(INDEX(Product_Structure[Generic Name (long)3],MATCH(Товары[[#This Row],[SubGroup]],Product_Structure[Subgroup],0)),"")</f>
        <v>Зап.части для газонокосилок-роботов</v>
      </c>
      <c r="I801" s="36">
        <v>7898</v>
      </c>
      <c r="J801" s="36" t="str">
        <f>IFERROR(INDEX(Product_Structure[Generic Name (long)],MATCH(Товары[[#This Row],[SubGroup]],Product_Structure[Subgroup],0)),"")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Row],[SubGroup]],DIY!$B:$C,2,FALSE),0)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3" t="str">
        <f>IFERROR(INDEX(Product_Structure[SuperCategory],MATCH(Товары[[#This Row],[SubGroup]],Product_Structure[Subgroup],0)),"")</f>
        <v>R</v>
      </c>
      <c r="D802" s="113" t="str">
        <f>IFERROR(INDEX(Product_Structure[SuperCategory Name ENG],MATCH(Товары[[#This Row],[SubGroup]],Product_Structure[Subgroup],0)),"")</f>
        <v>Robotic&amp;Accsessories + spare parts for robotic</v>
      </c>
      <c r="E802" s="113" t="str">
        <f>IFERROR(INDEX(Product_Structure[SuperCategory Name RUS],MATCH(Товары[[#This Row],[SubGroup]],Product_Structure[Subgroup],0)),"")</f>
        <v>Газонокосилки-роботы + зап.части</v>
      </c>
      <c r="F802" s="113" t="str">
        <f>IFERROR(INDEX(Product_Structure[Product group],MATCH(Товары[[#This Row],[SubGroup]],Product_Structure[Subgroup],0)),"")</f>
        <v>LSP_C</v>
      </c>
      <c r="G802" s="113">
        <f>IFERROR(INDEX(Product_Structure[Product group name ENG],MATCH(Товары[[#This Row],[SubGroup]],Product_Structure[Subgroup],0)),"")</f>
        <v>0</v>
      </c>
      <c r="H802" s="113" t="str">
        <f>IFERROR(INDEX(Product_Structure[Generic Name (long)3],MATCH(Товары[[#This Row],[SubGroup]],Product_Structure[Subgroup],0)),"")</f>
        <v>Зап.части для газонокосилок-роботов</v>
      </c>
      <c r="I802" s="36">
        <v>7898</v>
      </c>
      <c r="J802" s="36" t="str">
        <f>IFERROR(INDEX(Product_Structure[Generic Name (long)],MATCH(Товары[[#This Row],[SubGroup]],Product_Structure[Subgroup],0)),"")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Row],[SubGroup]],DIY!$B:$C,2,FALSE),0)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3" t="str">
        <f>IFERROR(INDEX(Product_Structure[SuperCategory],MATCH(Товары[[#This Row],[SubGroup]],Product_Structure[Subgroup],0)),"")</f>
        <v>R</v>
      </c>
      <c r="D803" s="113" t="str">
        <f>IFERROR(INDEX(Product_Structure[SuperCategory Name ENG],MATCH(Товары[[#This Row],[SubGroup]],Product_Structure[Subgroup],0)),"")</f>
        <v>Robotic&amp;Accsessories + spare parts for robotic</v>
      </c>
      <c r="E803" s="113" t="str">
        <f>IFERROR(INDEX(Product_Structure[SuperCategory Name RUS],MATCH(Товары[[#This Row],[SubGroup]],Product_Structure[Subgroup],0)),"")</f>
        <v>Газонокосилки-роботы + зап.части</v>
      </c>
      <c r="F803" s="113" t="str">
        <f>IFERROR(INDEX(Product_Structure[Product group],MATCH(Товары[[#This Row],[SubGroup]],Product_Structure[Subgroup],0)),"")</f>
        <v>LSP_C</v>
      </c>
      <c r="G803" s="113">
        <f>IFERROR(INDEX(Product_Structure[Product group name ENG],MATCH(Товары[[#This Row],[SubGroup]],Product_Structure[Subgroup],0)),"")</f>
        <v>0</v>
      </c>
      <c r="H803" s="113" t="str">
        <f>IFERROR(INDEX(Product_Structure[Generic Name (long)3],MATCH(Товары[[#This Row],[SubGroup]],Product_Structure[Subgroup],0)),"")</f>
        <v>Зап.части для газонокосилок-роботов</v>
      </c>
      <c r="I803" s="36">
        <v>7898</v>
      </c>
      <c r="J803" s="36" t="str">
        <f>IFERROR(INDEX(Product_Structure[Generic Name (long)],MATCH(Товары[[#This Row],[SubGroup]],Product_Structure[Subgroup],0)),"")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Row],[SubGroup]],DIY!$B:$C,2,FALSE),0)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3" t="str">
        <f>IFERROR(INDEX(Product_Structure[SuperCategory],MATCH(Товары[[#This Row],[SubGroup]],Product_Structure[Subgroup],0)),"")</f>
        <v>R</v>
      </c>
      <c r="D804" s="113" t="str">
        <f>IFERROR(INDEX(Product_Structure[SuperCategory Name ENG],MATCH(Товары[[#This Row],[SubGroup]],Product_Structure[Subgroup],0)),"")</f>
        <v>Robotic&amp;Accsessories + spare parts for robotic</v>
      </c>
      <c r="E804" s="113" t="str">
        <f>IFERROR(INDEX(Product_Structure[SuperCategory Name RUS],MATCH(Товары[[#This Row],[SubGroup]],Product_Structure[Subgroup],0)),"")</f>
        <v>Газонокосилки-роботы + зап.части</v>
      </c>
      <c r="F804" s="113" t="str">
        <f>IFERROR(INDEX(Product_Structure[Product group],MATCH(Товары[[#This Row],[SubGroup]],Product_Structure[Subgroup],0)),"")</f>
        <v>LSP_C</v>
      </c>
      <c r="G804" s="113">
        <f>IFERROR(INDEX(Product_Structure[Product group name ENG],MATCH(Товары[[#This Row],[SubGroup]],Product_Structure[Subgroup],0)),"")</f>
        <v>0</v>
      </c>
      <c r="H804" s="113" t="str">
        <f>IFERROR(INDEX(Product_Structure[Generic Name (long)3],MATCH(Товары[[#This Row],[SubGroup]],Product_Structure[Subgroup],0)),"")</f>
        <v>Зап.части для газонокосилок-роботов</v>
      </c>
      <c r="I804" s="36">
        <v>7898</v>
      </c>
      <c r="J804" s="36" t="str">
        <f>IFERROR(INDEX(Product_Structure[Generic Name (long)],MATCH(Товары[[#This Row],[SubGroup]],Product_Structure[Subgroup],0)),"")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Row],[SubGroup]],DIY!$B:$C,2,FALSE),0)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3" t="str">
        <f>IFERROR(INDEX(Product_Structure[SuperCategory],MATCH(Товары[[#This Row],[SubGroup]],Product_Structure[Subgroup],0)),"")</f>
        <v>R</v>
      </c>
      <c r="D805" s="113" t="str">
        <f>IFERROR(INDEX(Product_Structure[SuperCategory Name ENG],MATCH(Товары[[#This Row],[SubGroup]],Product_Structure[Subgroup],0)),"")</f>
        <v>Robotic&amp;Accsessories + spare parts for robotic</v>
      </c>
      <c r="E805" s="113" t="str">
        <f>IFERROR(INDEX(Product_Structure[SuperCategory Name RUS],MATCH(Товары[[#This Row],[SubGroup]],Product_Structure[Subgroup],0)),"")</f>
        <v>Газонокосилки-роботы + зап.части</v>
      </c>
      <c r="F805" s="113" t="str">
        <f>IFERROR(INDEX(Product_Structure[Product group],MATCH(Товары[[#This Row],[SubGroup]],Product_Structure[Subgroup],0)),"")</f>
        <v>LSP_C</v>
      </c>
      <c r="G805" s="113">
        <f>IFERROR(INDEX(Product_Structure[Product group name ENG],MATCH(Товары[[#This Row],[SubGroup]],Product_Structure[Subgroup],0)),"")</f>
        <v>0</v>
      </c>
      <c r="H805" s="113" t="str">
        <f>IFERROR(INDEX(Product_Structure[Generic Name (long)3],MATCH(Товары[[#This Row],[SubGroup]],Product_Structure[Subgroup],0)),"")</f>
        <v>Зап.части для газонокосилок-роботов</v>
      </c>
      <c r="I805" s="36">
        <v>7898</v>
      </c>
      <c r="J805" s="36" t="str">
        <f>IFERROR(INDEX(Product_Structure[Generic Name (long)],MATCH(Товары[[#This Row],[SubGroup]],Product_Structure[Subgroup],0)),"")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Row],[SubGroup]],DIY!$B:$C,2,FALSE),0)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3" t="str">
        <f>IFERROR(INDEX(Product_Structure[SuperCategory],MATCH(Товары[[#This Row],[SubGroup]],Product_Structure[Subgroup],0)),"")</f>
        <v>R</v>
      </c>
      <c r="D806" s="113" t="str">
        <f>IFERROR(INDEX(Product_Structure[SuperCategory Name ENG],MATCH(Товары[[#This Row],[SubGroup]],Product_Structure[Subgroup],0)),"")</f>
        <v>Robotic&amp;Accsessories + spare parts for robotic</v>
      </c>
      <c r="E806" s="113" t="str">
        <f>IFERROR(INDEX(Product_Structure[SuperCategory Name RUS],MATCH(Товары[[#This Row],[SubGroup]],Product_Structure[Subgroup],0)),"")</f>
        <v>Газонокосилки-роботы + зап.части</v>
      </c>
      <c r="F806" s="113" t="str">
        <f>IFERROR(INDEX(Product_Structure[Product group],MATCH(Товары[[#This Row],[SubGroup]],Product_Structure[Subgroup],0)),"")</f>
        <v>LSP_C</v>
      </c>
      <c r="G806" s="113">
        <f>IFERROR(INDEX(Product_Structure[Product group name ENG],MATCH(Товары[[#This Row],[SubGroup]],Product_Structure[Subgroup],0)),"")</f>
        <v>0</v>
      </c>
      <c r="H806" s="113" t="str">
        <f>IFERROR(INDEX(Product_Structure[Generic Name (long)3],MATCH(Товары[[#This Row],[SubGroup]],Product_Structure[Subgroup],0)),"")</f>
        <v>Зап.части для газонокосилок-роботов</v>
      </c>
      <c r="I806" s="36">
        <v>7898</v>
      </c>
      <c r="J806" s="36" t="str">
        <f>IFERROR(INDEX(Product_Structure[Generic Name (long)],MATCH(Товары[[#This Row],[SubGroup]],Product_Structure[Subgroup],0)),"")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Row],[SubGroup]],DIY!$B:$C,2,FALSE),0)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3" t="str">
        <f>IFERROR(INDEX(Product_Structure[SuperCategory],MATCH(Товары[[#This Row],[SubGroup]],Product_Structure[Subgroup],0)),"")</f>
        <v>W</v>
      </c>
      <c r="D807" s="113" t="str">
        <f>IFERROR(INDEX(Product_Structure[SuperCategory Name ENG],MATCH(Товары[[#This Row],[SubGroup]],Product_Structure[Subgroup],0)),"")</f>
        <v>Watering (mobile, sprinkler system&amp;MDS, Ponds)</v>
      </c>
      <c r="E8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07" s="113" t="str">
        <f>IFERROR(INDEX(Product_Structure[Product group],MATCH(Товары[[#This Row],[SubGroup]],Product_Structure[Subgroup],0)),"")</f>
        <v>WMT_C</v>
      </c>
      <c r="G807" s="113" t="str">
        <f>IFERROR(INDEX(Product_Structure[Product group name ENG],MATCH(Товары[[#This Row],[SubGroup]],Product_Structure[Subgroup],0)),"")</f>
        <v>Watering Mobile Trolleys/ hose reels</v>
      </c>
      <c r="H807" s="113" t="str">
        <f>IFERROR(INDEX(Product_Structure[Generic Name (long)3],MATCH(Товары[[#This Row],[SubGroup]],Product_Structure[Subgroup],0)),"")</f>
        <v>Тележки и катушки для шлангов</v>
      </c>
      <c r="I807" s="36">
        <v>9015</v>
      </c>
      <c r="J807" s="36" t="str">
        <f>IFERROR(INDEX(Product_Structure[Generic Name (long)],MATCH(Товары[[#This Row],[SubGroup]],Product_Structure[Subgroup],0)),"")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Row],[SubGroup]],DIY!$B:$C,2,FALSE),0)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3" t="str">
        <f>IFERROR(INDEX(Product_Structure[SuperCategory],MATCH(Товары[[#This Row],[SubGroup]],Product_Structure[Subgroup],0)),"")</f>
        <v>W</v>
      </c>
      <c r="D808" s="113" t="str">
        <f>IFERROR(INDEX(Product_Structure[SuperCategory Name ENG],MATCH(Товары[[#This Row],[SubGroup]],Product_Structure[Subgroup],0)),"")</f>
        <v>Watering (mobile, sprinkler system&amp;MDS, Ponds)</v>
      </c>
      <c r="E8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08" s="113" t="str">
        <f>IFERROR(INDEX(Product_Structure[Product group],MATCH(Товары[[#This Row],[SubGroup]],Product_Structure[Subgroup],0)),"")</f>
        <v>WMT_C</v>
      </c>
      <c r="G808" s="113" t="str">
        <f>IFERROR(INDEX(Product_Structure[Product group name ENG],MATCH(Товары[[#This Row],[SubGroup]],Product_Structure[Subgroup],0)),"")</f>
        <v>Watering Mobile Trolleys/ hose reels</v>
      </c>
      <c r="H808" s="113" t="str">
        <f>IFERROR(INDEX(Product_Structure[Generic Name (long)3],MATCH(Товары[[#This Row],[SubGroup]],Product_Structure[Subgroup],0)),"")</f>
        <v>Тележки и катушки для шлангов</v>
      </c>
      <c r="I808" s="36">
        <v>9015</v>
      </c>
      <c r="J808" s="36" t="str">
        <f>IFERROR(INDEX(Product_Structure[Generic Name (long)],MATCH(Товары[[#This Row],[SubGroup]],Product_Structure[Subgroup],0)),"")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Row],[SubGroup]],DIY!$B:$C,2,FALSE),0)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3" t="str">
        <f>IFERROR(INDEX(Product_Structure[SuperCategory],MATCH(Товары[[#This Row],[SubGroup]],Product_Structure[Subgroup],0)),"")</f>
        <v>W</v>
      </c>
      <c r="D809" s="113" t="str">
        <f>IFERROR(INDEX(Product_Structure[SuperCategory Name ENG],MATCH(Товары[[#This Row],[SubGroup]],Product_Structure[Subgroup],0)),"")</f>
        <v>Watering (mobile, sprinkler system&amp;MDS, Ponds)</v>
      </c>
      <c r="E8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09" s="113" t="str">
        <f>IFERROR(INDEX(Product_Structure[Product group],MATCH(Товары[[#This Row],[SubGroup]],Product_Structure[Subgroup],0)),"")</f>
        <v>WMT_C</v>
      </c>
      <c r="G809" s="113" t="str">
        <f>IFERROR(INDEX(Product_Structure[Product group name ENG],MATCH(Товары[[#This Row],[SubGroup]],Product_Structure[Subgroup],0)),"")</f>
        <v>Watering Mobile Trolleys/ hose reels</v>
      </c>
      <c r="H809" s="113" t="str">
        <f>IFERROR(INDEX(Product_Structure[Generic Name (long)3],MATCH(Товары[[#This Row],[SubGroup]],Product_Structure[Subgroup],0)),"")</f>
        <v>Тележки и катушки для шлангов</v>
      </c>
      <c r="I809" s="36">
        <v>9015</v>
      </c>
      <c r="J809" s="36" t="str">
        <f>IFERROR(INDEX(Product_Structure[Generic Name (long)],MATCH(Товары[[#This Row],[SubGroup]],Product_Structure[Subgroup],0)),"")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Row],[SubGroup]],DIY!$B:$C,2,FALSE),0)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3" t="str">
        <f>IFERROR(INDEX(Product_Structure[SuperCategory],MATCH(Товары[[#This Row],[SubGroup]],Product_Structure[Subgroup],0)),"")</f>
        <v>W</v>
      </c>
      <c r="D810" s="113" t="str">
        <f>IFERROR(INDEX(Product_Structure[SuperCategory Name ENG],MATCH(Товары[[#This Row],[SubGroup]],Product_Structure[Subgroup],0)),"")</f>
        <v>Watering (mobile, sprinkler system&amp;MDS, Ponds)</v>
      </c>
      <c r="E8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0" s="113" t="str">
        <f>IFERROR(INDEX(Product_Structure[Product group],MATCH(Товары[[#This Row],[SubGroup]],Product_Structure[Subgroup],0)),"")</f>
        <v>WMT_C</v>
      </c>
      <c r="G810" s="113" t="str">
        <f>IFERROR(INDEX(Product_Structure[Product group name ENG],MATCH(Товары[[#This Row],[SubGroup]],Product_Structure[Subgroup],0)),"")</f>
        <v>Watering Mobile Trolleys/ hose reels</v>
      </c>
      <c r="H810" s="113" t="str">
        <f>IFERROR(INDEX(Product_Structure[Generic Name (long)3],MATCH(Товары[[#This Row],[SubGroup]],Product_Structure[Subgroup],0)),"")</f>
        <v>Тележки и катушки для шлангов</v>
      </c>
      <c r="I810" s="36">
        <v>9015</v>
      </c>
      <c r="J810" s="36" t="str">
        <f>IFERROR(INDEX(Product_Structure[Generic Name (long)],MATCH(Товары[[#This Row],[SubGroup]],Product_Structure[Subgroup],0)),"")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Row],[SubGroup]],DIY!$B:$C,2,FALSE),0)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3" t="str">
        <f>IFERROR(INDEX(Product_Structure[SuperCategory],MATCH(Товары[[#This Row],[SubGroup]],Product_Structure[Subgroup],0)),"")</f>
        <v>W</v>
      </c>
      <c r="D811" s="113" t="str">
        <f>IFERROR(INDEX(Product_Structure[SuperCategory Name ENG],MATCH(Товары[[#This Row],[SubGroup]],Product_Structure[Subgroup],0)),"")</f>
        <v>Watering (mobile, sprinkler system&amp;MDS, Ponds)</v>
      </c>
      <c r="E8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1" s="113" t="str">
        <f>IFERROR(INDEX(Product_Structure[Product group],MATCH(Товары[[#This Row],[SubGroup]],Product_Structure[Subgroup],0)),"")</f>
        <v>WMT_C</v>
      </c>
      <c r="G811" s="113" t="str">
        <f>IFERROR(INDEX(Product_Structure[Product group name ENG],MATCH(Товары[[#This Row],[SubGroup]],Product_Structure[Subgroup],0)),"")</f>
        <v>Watering Mobile Trolleys/ hose reels</v>
      </c>
      <c r="H811" s="113" t="str">
        <f>IFERROR(INDEX(Product_Structure[Generic Name (long)3],MATCH(Товары[[#This Row],[SubGroup]],Product_Structure[Subgroup],0)),"")</f>
        <v>Тележки и катушки для шлангов</v>
      </c>
      <c r="I811" s="36">
        <v>9015</v>
      </c>
      <c r="J811" s="36" t="str">
        <f>IFERROR(INDEX(Product_Structure[Generic Name (long)],MATCH(Товары[[#This Row],[SubGroup]],Product_Structure[Subgroup],0)),"")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Row],[SubGroup]],DIY!$B:$C,2,FALSE),0)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3" t="str">
        <f>IFERROR(INDEX(Product_Structure[SuperCategory],MATCH(Товары[[#This Row],[SubGroup]],Product_Structure[Subgroup],0)),"")</f>
        <v>W</v>
      </c>
      <c r="D812" s="113" t="str">
        <f>IFERROR(INDEX(Product_Structure[SuperCategory Name ENG],MATCH(Товары[[#This Row],[SubGroup]],Product_Structure[Subgroup],0)),"")</f>
        <v>Watering (mobile, sprinkler system&amp;MDS, Ponds)</v>
      </c>
      <c r="E8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2" s="113" t="str">
        <f>IFERROR(INDEX(Product_Structure[Product group],MATCH(Товары[[#This Row],[SubGroup]],Product_Structure[Subgroup],0)),"")</f>
        <v>WMT_C</v>
      </c>
      <c r="G812" s="113" t="str">
        <f>IFERROR(INDEX(Product_Structure[Product group name ENG],MATCH(Товары[[#This Row],[SubGroup]],Product_Structure[Subgroup],0)),"")</f>
        <v>Watering Mobile Trolleys/ hose reels</v>
      </c>
      <c r="H812" s="113" t="str">
        <f>IFERROR(INDEX(Product_Structure[Generic Name (long)3],MATCH(Товары[[#This Row],[SubGroup]],Product_Structure[Subgroup],0)),"")</f>
        <v>Тележки и катушки для шлангов</v>
      </c>
      <c r="I812" s="36">
        <v>9015</v>
      </c>
      <c r="J812" s="36" t="str">
        <f>IFERROR(INDEX(Product_Structure[Generic Name (long)],MATCH(Товары[[#This Row],[SubGroup]],Product_Structure[Subgroup],0)),"")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Row],[SubGroup]],DIY!$B:$C,2,FALSE),0)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3" t="str">
        <f>IFERROR(INDEX(Product_Structure[SuperCategory],MATCH(Товары[[#This Row],[SubGroup]],Product_Structure[Subgroup],0)),"")</f>
        <v>W</v>
      </c>
      <c r="D813" s="113" t="str">
        <f>IFERROR(INDEX(Product_Structure[SuperCategory Name ENG],MATCH(Товары[[#This Row],[SubGroup]],Product_Structure[Subgroup],0)),"")</f>
        <v>Watering (mobile, sprinkler system&amp;MDS, Ponds)</v>
      </c>
      <c r="E8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3" s="113" t="str">
        <f>IFERROR(INDEX(Product_Structure[Product group],MATCH(Товары[[#This Row],[SubGroup]],Product_Structure[Subgroup],0)),"")</f>
        <v>WMT_C</v>
      </c>
      <c r="G813" s="113" t="str">
        <f>IFERROR(INDEX(Product_Structure[Product group name ENG],MATCH(Товары[[#This Row],[SubGroup]],Product_Structure[Subgroup],0)),"")</f>
        <v>Watering Mobile Trolleys/ hose reels</v>
      </c>
      <c r="H813" s="113" t="str">
        <f>IFERROR(INDEX(Product_Structure[Generic Name (long)3],MATCH(Товары[[#This Row],[SubGroup]],Product_Structure[Subgroup],0)),"")</f>
        <v>Тележки и катушки для шлангов</v>
      </c>
      <c r="I813" s="36">
        <v>9015</v>
      </c>
      <c r="J813" s="36" t="str">
        <f>IFERROR(INDEX(Product_Structure[Generic Name (long)],MATCH(Товары[[#This Row],[SubGroup]],Product_Structure[Subgroup],0)),"")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Row],[SubGroup]],DIY!$B:$C,2,FALSE),0)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3" t="str">
        <f>IFERROR(INDEX(Product_Structure[SuperCategory],MATCH(Товары[[#This Row],[SubGroup]],Product_Structure[Subgroup],0)),"")</f>
        <v>W</v>
      </c>
      <c r="D814" s="113" t="str">
        <f>IFERROR(INDEX(Product_Structure[SuperCategory Name ENG],MATCH(Товары[[#This Row],[SubGroup]],Product_Structure[Subgroup],0)),"")</f>
        <v>Watering (mobile, sprinkler system&amp;MDS, Ponds)</v>
      </c>
      <c r="E8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4" s="113" t="str">
        <f>IFERROR(INDEX(Product_Structure[Product group],MATCH(Товары[[#This Row],[SubGroup]],Product_Structure[Subgroup],0)),"")</f>
        <v>WMT_C</v>
      </c>
      <c r="G814" s="113" t="str">
        <f>IFERROR(INDEX(Product_Structure[Product group name ENG],MATCH(Товары[[#This Row],[SubGroup]],Product_Structure[Subgroup],0)),"")</f>
        <v>Watering Mobile Trolleys/ hose reels</v>
      </c>
      <c r="H814" s="113" t="str">
        <f>IFERROR(INDEX(Product_Structure[Generic Name (long)3],MATCH(Товары[[#This Row],[SubGroup]],Product_Structure[Subgroup],0)),"")</f>
        <v>Тележки и катушки для шлангов</v>
      </c>
      <c r="I814" s="36">
        <v>9015</v>
      </c>
      <c r="J814" s="36" t="str">
        <f>IFERROR(INDEX(Product_Structure[Generic Name (long)],MATCH(Товары[[#This Row],[SubGroup]],Product_Structure[Subgroup],0)),"")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Row],[SubGroup]],DIY!$B:$C,2,FALSE),0)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3" t="str">
        <f>IFERROR(INDEX(Product_Structure[SuperCategory],MATCH(Товары[[#This Row],[SubGroup]],Product_Structure[Subgroup],0)),"")</f>
        <v>W</v>
      </c>
      <c r="D815" s="113" t="str">
        <f>IFERROR(INDEX(Product_Structure[SuperCategory Name ENG],MATCH(Товары[[#This Row],[SubGroup]],Product_Structure[Subgroup],0)),"")</f>
        <v>Watering (mobile, sprinkler system&amp;MDS, Ponds)</v>
      </c>
      <c r="E8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5" s="113" t="str">
        <f>IFERROR(INDEX(Product_Structure[Product group],MATCH(Товары[[#This Row],[SubGroup]],Product_Structure[Subgroup],0)),"")</f>
        <v>WMT_C</v>
      </c>
      <c r="G815" s="113" t="str">
        <f>IFERROR(INDEX(Product_Structure[Product group name ENG],MATCH(Товары[[#This Row],[SubGroup]],Product_Structure[Subgroup],0)),"")</f>
        <v>Watering Mobile Trolleys/ hose reels</v>
      </c>
      <c r="H815" s="113" t="str">
        <f>IFERROR(INDEX(Product_Structure[Generic Name (long)3],MATCH(Товары[[#This Row],[SubGroup]],Product_Structure[Subgroup],0)),"")</f>
        <v>Тележки и катушки для шлангов</v>
      </c>
      <c r="I815" s="36">
        <v>9015</v>
      </c>
      <c r="J815" s="36" t="str">
        <f>IFERROR(INDEX(Product_Structure[Generic Name (long)],MATCH(Товары[[#This Row],[SubGroup]],Product_Structure[Subgroup],0)),"")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Row],[SubGroup]],DIY!$B:$C,2,FALSE),0)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3" t="str">
        <f>IFERROR(INDEX(Product_Structure[SuperCategory],MATCH(Товары[[#This Row],[SubGroup]],Product_Structure[Subgroup],0)),"")</f>
        <v>W</v>
      </c>
      <c r="D816" s="113" t="str">
        <f>IFERROR(INDEX(Product_Structure[SuperCategory Name ENG],MATCH(Товары[[#This Row],[SubGroup]],Product_Structure[Subgroup],0)),"")</f>
        <v>Watering (mobile, sprinkler system&amp;MDS, Ponds)</v>
      </c>
      <c r="E8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6" s="113" t="str">
        <f>IFERROR(INDEX(Product_Structure[Product group],MATCH(Товары[[#This Row],[SubGroup]],Product_Structure[Subgroup],0)),"")</f>
        <v>WMT_C</v>
      </c>
      <c r="G816" s="113" t="str">
        <f>IFERROR(INDEX(Product_Structure[Product group name ENG],MATCH(Товары[[#This Row],[SubGroup]],Product_Structure[Subgroup],0)),"")</f>
        <v>Watering Mobile Trolleys/ hose reels</v>
      </c>
      <c r="H816" s="113" t="str">
        <f>IFERROR(INDEX(Product_Structure[Generic Name (long)3],MATCH(Товары[[#This Row],[SubGroup]],Product_Structure[Subgroup],0)),"")</f>
        <v>Тележки и катушки для шлангов</v>
      </c>
      <c r="I816" s="36">
        <v>9015</v>
      </c>
      <c r="J816" s="36" t="str">
        <f>IFERROR(INDEX(Product_Structure[Generic Name (long)],MATCH(Товары[[#This Row],[SubGroup]],Product_Structure[Subgroup],0)),"")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Row],[SubGroup]],DIY!$B:$C,2,FALSE),0)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3" t="str">
        <f>IFERROR(INDEX(Product_Structure[SuperCategory],MATCH(Товары[[#This Row],[SubGroup]],Product_Structure[Subgroup],0)),"")</f>
        <v>W</v>
      </c>
      <c r="D817" s="113" t="str">
        <f>IFERROR(INDEX(Product_Structure[SuperCategory Name ENG],MATCH(Товары[[#This Row],[SubGroup]],Product_Structure[Subgroup],0)),"")</f>
        <v>Watering (mobile, sprinkler system&amp;MDS, Ponds)</v>
      </c>
      <c r="E8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7" s="113" t="str">
        <f>IFERROR(INDEX(Product_Structure[Product group],MATCH(Товары[[#This Row],[SubGroup]],Product_Structure[Subgroup],0)),"")</f>
        <v>WMT_C</v>
      </c>
      <c r="G817" s="113" t="str">
        <f>IFERROR(INDEX(Product_Structure[Product group name ENG],MATCH(Товары[[#This Row],[SubGroup]],Product_Structure[Subgroup],0)),"")</f>
        <v>Watering Mobile Trolleys/ hose reels</v>
      </c>
      <c r="H817" s="113" t="str">
        <f>IFERROR(INDEX(Product_Structure[Generic Name (long)3],MATCH(Товары[[#This Row],[SubGroup]],Product_Structure[Subgroup],0)),"")</f>
        <v>Тележки и катушки для шлангов</v>
      </c>
      <c r="I817" s="36">
        <v>9015</v>
      </c>
      <c r="J817" s="36" t="str">
        <f>IFERROR(INDEX(Product_Structure[Generic Name (long)],MATCH(Товары[[#This Row],[SubGroup]],Product_Structure[Subgroup],0)),"")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Row],[SubGroup]],DIY!$B:$C,2,FALSE),0)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3" t="str">
        <f>IFERROR(INDEX(Product_Structure[SuperCategory],MATCH(Товары[[#This Row],[SubGroup]],Product_Structure[Subgroup],0)),"")</f>
        <v>W</v>
      </c>
      <c r="D818" s="113" t="str">
        <f>IFERROR(INDEX(Product_Structure[SuperCategory Name ENG],MATCH(Товары[[#This Row],[SubGroup]],Product_Structure[Subgroup],0)),"")</f>
        <v>Watering (mobile, sprinkler system&amp;MDS, Ponds)</v>
      </c>
      <c r="E8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8" s="113" t="str">
        <f>IFERROR(INDEX(Product_Structure[Product group],MATCH(Товары[[#This Row],[SubGroup]],Product_Structure[Subgroup],0)),"")</f>
        <v>WMT_C</v>
      </c>
      <c r="G818" s="113" t="str">
        <f>IFERROR(INDEX(Product_Structure[Product group name ENG],MATCH(Товары[[#This Row],[SubGroup]],Product_Structure[Subgroup],0)),"")</f>
        <v>Watering Mobile Trolleys/ hose reels</v>
      </c>
      <c r="H818" s="113" t="str">
        <f>IFERROR(INDEX(Product_Structure[Generic Name (long)3],MATCH(Товары[[#This Row],[SubGroup]],Product_Structure[Subgroup],0)),"")</f>
        <v>Тележки и катушки для шлангов</v>
      </c>
      <c r="I818" s="36">
        <v>9015</v>
      </c>
      <c r="J818" s="36" t="str">
        <f>IFERROR(INDEX(Product_Structure[Generic Name (long)],MATCH(Товары[[#This Row],[SubGroup]],Product_Structure[Subgroup],0)),"")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Row],[SubGroup]],DIY!$B:$C,2,FALSE),0)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3" t="str">
        <f>IFERROR(INDEX(Product_Structure[SuperCategory],MATCH(Товары[[#This Row],[SubGroup]],Product_Structure[Subgroup],0)),"")</f>
        <v>W</v>
      </c>
      <c r="D819" s="113" t="str">
        <f>IFERROR(INDEX(Product_Structure[SuperCategory Name ENG],MATCH(Товары[[#This Row],[SubGroup]],Product_Structure[Subgroup],0)),"")</f>
        <v>Watering (mobile, sprinkler system&amp;MDS, Ponds)</v>
      </c>
      <c r="E8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19" s="113" t="str">
        <f>IFERROR(INDEX(Product_Structure[Product group],MATCH(Товары[[#This Row],[SubGroup]],Product_Structure[Subgroup],0)),"")</f>
        <v>WMT_C</v>
      </c>
      <c r="G819" s="113" t="str">
        <f>IFERROR(INDEX(Product_Structure[Product group name ENG],MATCH(Товары[[#This Row],[SubGroup]],Product_Structure[Subgroup],0)),"")</f>
        <v>Watering Mobile Trolleys/ hose reels</v>
      </c>
      <c r="H819" s="113" t="str">
        <f>IFERROR(INDEX(Product_Structure[Generic Name (long)3],MATCH(Товары[[#This Row],[SubGroup]],Product_Structure[Subgroup],0)),"")</f>
        <v>Тележки и катушки для шлангов</v>
      </c>
      <c r="I819" s="36">
        <v>9015</v>
      </c>
      <c r="J819" s="36" t="str">
        <f>IFERROR(INDEX(Product_Structure[Generic Name (long)],MATCH(Товары[[#This Row],[SubGroup]],Product_Structure[Subgroup],0)),"")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Row],[SubGroup]],DIY!$B:$C,2,FALSE),0)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3" t="str">
        <f>IFERROR(INDEX(Product_Structure[SuperCategory],MATCH(Товары[[#This Row],[SubGroup]],Product_Structure[Subgroup],0)),"")</f>
        <v>W</v>
      </c>
      <c r="D820" s="113" t="str">
        <f>IFERROR(INDEX(Product_Structure[SuperCategory Name ENG],MATCH(Товары[[#This Row],[SubGroup]],Product_Structure[Subgroup],0)),"")</f>
        <v>Watering (mobile, sprinkler system&amp;MDS, Ponds)</v>
      </c>
      <c r="E8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0" s="113" t="str">
        <f>IFERROR(INDEX(Product_Structure[Product group],MATCH(Товары[[#This Row],[SubGroup]],Product_Structure[Subgroup],0)),"")</f>
        <v>WMT_C</v>
      </c>
      <c r="G820" s="113" t="str">
        <f>IFERROR(INDEX(Product_Structure[Product group name ENG],MATCH(Товары[[#This Row],[SubGroup]],Product_Structure[Subgroup],0)),"")</f>
        <v>Watering Mobile Trolleys/ hose reels</v>
      </c>
      <c r="H820" s="113" t="str">
        <f>IFERROR(INDEX(Product_Structure[Generic Name (long)3],MATCH(Товары[[#This Row],[SubGroup]],Product_Structure[Subgroup],0)),"")</f>
        <v>Тележки и катушки для шлангов</v>
      </c>
      <c r="I820" s="36">
        <v>9015</v>
      </c>
      <c r="J820" s="36" t="str">
        <f>IFERROR(INDEX(Product_Structure[Generic Name (long)],MATCH(Товары[[#This Row],[SubGroup]],Product_Structure[Subgroup],0)),"")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Row],[SubGroup]],DIY!$B:$C,2,FALSE),0)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3" t="str">
        <f>IFERROR(INDEX(Product_Structure[SuperCategory],MATCH(Товары[[#This Row],[SubGroup]],Product_Structure[Subgroup],0)),"")</f>
        <v>W</v>
      </c>
      <c r="D821" s="113" t="str">
        <f>IFERROR(INDEX(Product_Structure[SuperCategory Name ENG],MATCH(Товары[[#This Row],[SubGroup]],Product_Structure[Subgroup],0)),"")</f>
        <v>Watering (mobile, sprinkler system&amp;MDS, Ponds)</v>
      </c>
      <c r="E8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1" s="113" t="str">
        <f>IFERROR(INDEX(Product_Structure[Product group],MATCH(Товары[[#This Row],[SubGroup]],Product_Structure[Subgroup],0)),"")</f>
        <v>WMA_C</v>
      </c>
      <c r="G821" s="113" t="str">
        <f>IFERROR(INDEX(Product_Structure[Product group name ENG],MATCH(Товары[[#This Row],[SubGroup]],Product_Structure[Subgroup],0)),"")</f>
        <v>Watering Mobile Attachments</v>
      </c>
      <c r="H821" s="113" t="str">
        <f>IFERROR(INDEX(Product_Structure[Generic Name (long)3],MATCH(Товары[[#This Row],[SubGroup]],Product_Structure[Subgroup],0)),"")</f>
        <v>Наконечники для полива</v>
      </c>
      <c r="I821" s="36">
        <v>9022</v>
      </c>
      <c r="J821" s="36" t="str">
        <f>IFERROR(INDEX(Product_Structure[Generic Name (long)],MATCH(Товары[[#This Row],[SubGroup]],Product_Structure[Subgroup],0)),"")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Row],[SubGroup]],DIY!$B:$C,2,FALSE),0)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3" t="str">
        <f>IFERROR(INDEX(Product_Structure[SuperCategory],MATCH(Товары[[#This Row],[SubGroup]],Product_Structure[Subgroup],0)),"")</f>
        <v>W</v>
      </c>
      <c r="D822" s="113" t="str">
        <f>IFERROR(INDEX(Product_Structure[SuperCategory Name ENG],MATCH(Товары[[#This Row],[SubGroup]],Product_Structure[Subgroup],0)),"")</f>
        <v>Watering (mobile, sprinkler system&amp;MDS, Ponds)</v>
      </c>
      <c r="E8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2" s="113" t="str">
        <f>IFERROR(INDEX(Product_Structure[Product group],MATCH(Товары[[#This Row],[SubGroup]],Product_Structure[Subgroup],0)),"")</f>
        <v>WMA_C</v>
      </c>
      <c r="G822" s="113" t="str">
        <f>IFERROR(INDEX(Product_Structure[Product group name ENG],MATCH(Товары[[#This Row],[SubGroup]],Product_Structure[Subgroup],0)),"")</f>
        <v>Watering Mobile Attachments</v>
      </c>
      <c r="H822" s="113" t="str">
        <f>IFERROR(INDEX(Product_Structure[Generic Name (long)3],MATCH(Товары[[#This Row],[SubGroup]],Product_Structure[Subgroup],0)),"")</f>
        <v>Наконечники для полива</v>
      </c>
      <c r="I822" s="36">
        <v>9022</v>
      </c>
      <c r="J822" s="36" t="str">
        <f>IFERROR(INDEX(Product_Structure[Generic Name (long)],MATCH(Товары[[#This Row],[SubGroup]],Product_Structure[Subgroup],0)),"")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Row],[SubGroup]],DIY!$B:$C,2,FALSE),0)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3" t="str">
        <f>IFERROR(INDEX(Product_Structure[SuperCategory],MATCH(Товары[[#This Row],[SubGroup]],Product_Structure[Subgroup],0)),"")</f>
        <v>W</v>
      </c>
      <c r="D823" s="113" t="str">
        <f>IFERROR(INDEX(Product_Structure[SuperCategory Name ENG],MATCH(Товары[[#This Row],[SubGroup]],Product_Structure[Subgroup],0)),"")</f>
        <v>Watering (mobile, sprinkler system&amp;MDS, Ponds)</v>
      </c>
      <c r="E8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3" s="113" t="str">
        <f>IFERROR(INDEX(Product_Structure[Product group],MATCH(Товары[[#This Row],[SubGroup]],Product_Structure[Subgroup],0)),"")</f>
        <v>WMA_C</v>
      </c>
      <c r="G823" s="113" t="str">
        <f>IFERROR(INDEX(Product_Structure[Product group name ENG],MATCH(Товары[[#This Row],[SubGroup]],Product_Structure[Subgroup],0)),"")</f>
        <v>Watering Mobile Attachments</v>
      </c>
      <c r="H823" s="113" t="str">
        <f>IFERROR(INDEX(Product_Structure[Generic Name (long)3],MATCH(Товары[[#This Row],[SubGroup]],Product_Structure[Subgroup],0)),"")</f>
        <v>Наконечники для полива</v>
      </c>
      <c r="I823" s="36">
        <v>9022</v>
      </c>
      <c r="J823" s="36" t="str">
        <f>IFERROR(INDEX(Product_Structure[Generic Name (long)],MATCH(Товары[[#This Row],[SubGroup]],Product_Structure[Subgroup],0)),"")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Row],[SubGroup]],DIY!$B:$C,2,FALSE),0)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3" t="str">
        <f>IFERROR(INDEX(Product_Structure[SuperCategory],MATCH(Товары[[#This Row],[SubGroup]],Product_Structure[Subgroup],0)),"")</f>
        <v>W</v>
      </c>
      <c r="D824" s="113" t="str">
        <f>IFERROR(INDEX(Product_Structure[SuperCategory Name ENG],MATCH(Товары[[#This Row],[SubGroup]],Product_Structure[Subgroup],0)),"")</f>
        <v>Watering (mobile, sprinkler system&amp;MDS, Ponds)</v>
      </c>
      <c r="E8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4" s="113" t="str">
        <f>IFERROR(INDEX(Product_Structure[Product group],MATCH(Товары[[#This Row],[SubGroup]],Product_Structure[Subgroup],0)),"")</f>
        <v>WMA_C</v>
      </c>
      <c r="G824" s="113" t="str">
        <f>IFERROR(INDEX(Product_Structure[Product group name ENG],MATCH(Товары[[#This Row],[SubGroup]],Product_Structure[Subgroup],0)),"")</f>
        <v>Watering Mobile Attachments</v>
      </c>
      <c r="H824" s="113" t="str">
        <f>IFERROR(INDEX(Product_Structure[Generic Name (long)3],MATCH(Товары[[#This Row],[SubGroup]],Product_Structure[Subgroup],0)),"")</f>
        <v>Наконечники для полива</v>
      </c>
      <c r="I824" s="36">
        <v>9022</v>
      </c>
      <c r="J824" s="36" t="str">
        <f>IFERROR(INDEX(Product_Structure[Generic Name (long)],MATCH(Товары[[#This Row],[SubGroup]],Product_Structure[Subgroup],0)),"")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Row],[SubGroup]],DIY!$B:$C,2,FALSE),0)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3" t="str">
        <f>IFERROR(INDEX(Product_Structure[SuperCategory],MATCH(Товары[[#This Row],[SubGroup]],Product_Structure[Subgroup],0)),"")</f>
        <v>W</v>
      </c>
      <c r="D825" s="113" t="str">
        <f>IFERROR(INDEX(Product_Structure[SuperCategory Name ENG],MATCH(Товары[[#This Row],[SubGroup]],Product_Structure[Subgroup],0)),"")</f>
        <v>Watering (mobile, sprinkler system&amp;MDS, Ponds)</v>
      </c>
      <c r="E8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5" s="113" t="str">
        <f>IFERROR(INDEX(Product_Structure[Product group],MATCH(Товары[[#This Row],[SubGroup]],Product_Structure[Subgroup],0)),"")</f>
        <v>WMA_C</v>
      </c>
      <c r="G825" s="113" t="str">
        <f>IFERROR(INDEX(Product_Structure[Product group name ENG],MATCH(Товары[[#This Row],[SubGroup]],Product_Structure[Subgroup],0)),"")</f>
        <v>Watering Mobile Attachments</v>
      </c>
      <c r="H825" s="113" t="str">
        <f>IFERROR(INDEX(Product_Structure[Generic Name (long)3],MATCH(Товары[[#This Row],[SubGroup]],Product_Structure[Subgroup],0)),"")</f>
        <v>Наконечники для полива</v>
      </c>
      <c r="I825" s="36">
        <v>9022</v>
      </c>
      <c r="J825" s="36" t="str">
        <f>IFERROR(INDEX(Product_Structure[Generic Name (long)],MATCH(Товары[[#This Row],[SubGroup]],Product_Structure[Subgroup],0)),"")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Row],[SubGroup]],DIY!$B:$C,2,FALSE),0)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3" t="str">
        <f>IFERROR(INDEX(Product_Structure[SuperCategory],MATCH(Товары[[#This Row],[SubGroup]],Product_Structure[Subgroup],0)),"")</f>
        <v>W</v>
      </c>
      <c r="D826" s="113" t="str">
        <f>IFERROR(INDEX(Product_Structure[SuperCategory Name ENG],MATCH(Товары[[#This Row],[SubGroup]],Product_Structure[Subgroup],0)),"")</f>
        <v>Watering (mobile, sprinkler system&amp;MDS, Ponds)</v>
      </c>
      <c r="E8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6" s="113" t="str">
        <f>IFERROR(INDEX(Product_Structure[Product group],MATCH(Товары[[#This Row],[SubGroup]],Product_Structure[Subgroup],0)),"")</f>
        <v>WMS_C</v>
      </c>
      <c r="G826" s="113" t="str">
        <f>IFERROR(INDEX(Product_Structure[Product group name ENG],MATCH(Товары[[#This Row],[SubGroup]],Product_Structure[Subgroup],0)),"")</f>
        <v>Watering Mobile Sprinklers</v>
      </c>
      <c r="H826" s="113" t="str">
        <f>IFERROR(INDEX(Product_Structure[Generic Name (long)3],MATCH(Товары[[#This Row],[SubGroup]],Product_Structure[Subgroup],0)),"")</f>
        <v>Дождеватели</v>
      </c>
      <c r="I826" s="36">
        <v>9021</v>
      </c>
      <c r="J826" s="36" t="str">
        <f>IFERROR(INDEX(Product_Structure[Generic Name (long)],MATCH(Товары[[#This Row],[SubGroup]],Product_Structure[Subgroup],0)),"")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Row],[SubGroup]],DIY!$B:$C,2,FALSE),0)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3" t="str">
        <f>IFERROR(INDEX(Product_Structure[SuperCategory],MATCH(Товары[[#This Row],[SubGroup]],Product_Structure[Subgroup],0)),"")</f>
        <v>W</v>
      </c>
      <c r="D827" s="113" t="str">
        <f>IFERROR(INDEX(Product_Structure[SuperCategory Name ENG],MATCH(Товары[[#This Row],[SubGroup]],Product_Structure[Subgroup],0)),"")</f>
        <v>Watering (mobile, sprinkler system&amp;MDS, Ponds)</v>
      </c>
      <c r="E8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7" s="113" t="str">
        <f>IFERROR(INDEX(Product_Structure[Product group],MATCH(Товары[[#This Row],[SubGroup]],Product_Structure[Subgroup],0)),"")</f>
        <v>WMS_C</v>
      </c>
      <c r="G827" s="113" t="str">
        <f>IFERROR(INDEX(Product_Structure[Product group name ENG],MATCH(Товары[[#This Row],[SubGroup]],Product_Structure[Subgroup],0)),"")</f>
        <v>Watering Mobile Sprinklers</v>
      </c>
      <c r="H827" s="113" t="str">
        <f>IFERROR(INDEX(Product_Structure[Generic Name (long)3],MATCH(Товары[[#This Row],[SubGroup]],Product_Structure[Subgroup],0)),"")</f>
        <v>Дождеватели</v>
      </c>
      <c r="I827" s="36">
        <v>9021</v>
      </c>
      <c r="J827" s="36" t="str">
        <f>IFERROR(INDEX(Product_Structure[Generic Name (long)],MATCH(Товары[[#This Row],[SubGroup]],Product_Structure[Subgroup],0)),"")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Row],[SubGroup]],DIY!$B:$C,2,FALSE),0)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3" t="str">
        <f>IFERROR(INDEX(Product_Structure[SuperCategory],MATCH(Товары[[#This Row],[SubGroup]],Product_Structure[Subgroup],0)),"")</f>
        <v>W</v>
      </c>
      <c r="D828" s="113" t="str">
        <f>IFERROR(INDEX(Product_Structure[SuperCategory Name ENG],MATCH(Товары[[#This Row],[SubGroup]],Product_Structure[Subgroup],0)),"")</f>
        <v>Watering (mobile, sprinkler system&amp;MDS, Ponds)</v>
      </c>
      <c r="E8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8" s="113" t="str">
        <f>IFERROR(INDEX(Product_Structure[Product group],MATCH(Товары[[#This Row],[SubGroup]],Product_Structure[Subgroup],0)),"")</f>
        <v>WMA_C</v>
      </c>
      <c r="G828" s="113" t="str">
        <f>IFERROR(INDEX(Product_Structure[Product group name ENG],MATCH(Товары[[#This Row],[SubGroup]],Product_Structure[Subgroup],0)),"")</f>
        <v>Watering Mobile Attachments</v>
      </c>
      <c r="H828" s="113" t="str">
        <f>IFERROR(INDEX(Product_Structure[Generic Name (long)3],MATCH(Товары[[#This Row],[SubGroup]],Product_Structure[Subgroup],0)),"")</f>
        <v>Наконечники для полива</v>
      </c>
      <c r="I828" s="36">
        <v>9022</v>
      </c>
      <c r="J828" s="36" t="str">
        <f>IFERROR(INDEX(Product_Structure[Generic Name (long)],MATCH(Товары[[#This Row],[SubGroup]],Product_Structure[Subgroup],0)),"")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Row],[SubGroup]],DIY!$B:$C,2,FALSE),0)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3" t="str">
        <f>IFERROR(INDEX(Product_Structure[SuperCategory],MATCH(Товары[[#This Row],[SubGroup]],Product_Structure[Subgroup],0)),"")</f>
        <v>W</v>
      </c>
      <c r="D829" s="113" t="str">
        <f>IFERROR(INDEX(Product_Structure[SuperCategory Name ENG],MATCH(Товары[[#This Row],[SubGroup]],Product_Structure[Subgroup],0)),"")</f>
        <v>Watering (mobile, sprinkler system&amp;MDS, Ponds)</v>
      </c>
      <c r="E8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29" s="113" t="str">
        <f>IFERROR(INDEX(Product_Structure[Product group],MATCH(Товары[[#This Row],[SubGroup]],Product_Structure[Subgroup],0)),"")</f>
        <v>WMA_C</v>
      </c>
      <c r="G829" s="113" t="str">
        <f>IFERROR(INDEX(Product_Structure[Product group name ENG],MATCH(Товары[[#This Row],[SubGroup]],Product_Structure[Subgroup],0)),"")</f>
        <v>Watering Mobile Attachments</v>
      </c>
      <c r="H829" s="113" t="str">
        <f>IFERROR(INDEX(Product_Structure[Generic Name (long)3],MATCH(Товары[[#This Row],[SubGroup]],Product_Structure[Subgroup],0)),"")</f>
        <v>Наконечники для полива</v>
      </c>
      <c r="I829" s="36">
        <v>9022</v>
      </c>
      <c r="J829" s="36" t="str">
        <f>IFERROR(INDEX(Product_Structure[Generic Name (long)],MATCH(Товары[[#This Row],[SubGroup]],Product_Structure[Subgroup],0)),"")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Row],[SubGroup]],DIY!$B:$C,2,FALSE),0)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3" t="str">
        <f>IFERROR(INDEX(Product_Structure[SuperCategory],MATCH(Товары[[#This Row],[SubGroup]],Product_Structure[Subgroup],0)),"")</f>
        <v>W</v>
      </c>
      <c r="D830" s="113" t="str">
        <f>IFERROR(INDEX(Product_Structure[SuperCategory Name ENG],MATCH(Товары[[#This Row],[SubGroup]],Product_Structure[Subgroup],0)),"")</f>
        <v>Watering (mobile, sprinkler system&amp;MDS, Ponds)</v>
      </c>
      <c r="E8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0" s="113" t="str">
        <f>IFERROR(INDEX(Product_Structure[Product group],MATCH(Товары[[#This Row],[SubGroup]],Product_Structure[Subgroup],0)),"")</f>
        <v>WMA_C</v>
      </c>
      <c r="G830" s="113" t="str">
        <f>IFERROR(INDEX(Product_Structure[Product group name ENG],MATCH(Товары[[#This Row],[SubGroup]],Product_Structure[Subgroup],0)),"")</f>
        <v>Watering Mobile Attachments</v>
      </c>
      <c r="H830" s="113" t="str">
        <f>IFERROR(INDEX(Product_Structure[Generic Name (long)3],MATCH(Товары[[#This Row],[SubGroup]],Product_Structure[Subgroup],0)),"")</f>
        <v>Наконечники для полива</v>
      </c>
      <c r="I830" s="36">
        <v>9022</v>
      </c>
      <c r="J830" s="36" t="str">
        <f>IFERROR(INDEX(Product_Structure[Generic Name (long)],MATCH(Товары[[#This Row],[SubGroup]],Product_Structure[Subgroup],0)),"")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Row],[SubGroup]],DIY!$B:$C,2,FALSE),0)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3" t="str">
        <f>IFERROR(INDEX(Product_Structure[SuperCategory],MATCH(Товары[[#This Row],[SubGroup]],Product_Structure[Subgroup],0)),"")</f>
        <v>W</v>
      </c>
      <c r="D831" s="113" t="str">
        <f>IFERROR(INDEX(Product_Structure[SuperCategory Name ENG],MATCH(Товары[[#This Row],[SubGroup]],Product_Structure[Subgroup],0)),"")</f>
        <v>Watering (mobile, sprinkler system&amp;MDS, Ponds)</v>
      </c>
      <c r="E8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1" s="113" t="str">
        <f>IFERROR(INDEX(Product_Structure[Product group],MATCH(Товары[[#This Row],[SubGroup]],Product_Structure[Subgroup],0)),"")</f>
        <v>WMA_C</v>
      </c>
      <c r="G831" s="113" t="str">
        <f>IFERROR(INDEX(Product_Structure[Product group name ENG],MATCH(Товары[[#This Row],[SubGroup]],Product_Structure[Subgroup],0)),"")</f>
        <v>Watering Mobile Attachments</v>
      </c>
      <c r="H831" s="113" t="str">
        <f>IFERROR(INDEX(Product_Structure[Generic Name (long)3],MATCH(Товары[[#This Row],[SubGroup]],Product_Structure[Subgroup],0)),"")</f>
        <v>Наконечники для полива</v>
      </c>
      <c r="I831" s="36">
        <v>9022</v>
      </c>
      <c r="J831" s="36" t="str">
        <f>IFERROR(INDEX(Product_Structure[Generic Name (long)],MATCH(Товары[[#This Row],[SubGroup]],Product_Structure[Subgroup],0)),"")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Row],[SubGroup]],DIY!$B:$C,2,FALSE),0)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3" t="str">
        <f>IFERROR(INDEX(Product_Structure[SuperCategory],MATCH(Товары[[#This Row],[SubGroup]],Product_Structure[Subgroup],0)),"")</f>
        <v>W</v>
      </c>
      <c r="D832" s="113" t="str">
        <f>IFERROR(INDEX(Product_Structure[SuperCategory Name ENG],MATCH(Товары[[#This Row],[SubGroup]],Product_Structure[Subgroup],0)),"")</f>
        <v>Watering (mobile, sprinkler system&amp;MDS, Ponds)</v>
      </c>
      <c r="E8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2" s="113" t="str">
        <f>IFERROR(INDEX(Product_Structure[Product group],MATCH(Товары[[#This Row],[SubGroup]],Product_Structure[Subgroup],0)),"")</f>
        <v>WMA_C</v>
      </c>
      <c r="G832" s="113" t="str">
        <f>IFERROR(INDEX(Product_Structure[Product group name ENG],MATCH(Товары[[#This Row],[SubGroup]],Product_Structure[Subgroup],0)),"")</f>
        <v>Watering Mobile Attachments</v>
      </c>
      <c r="H832" s="113" t="str">
        <f>IFERROR(INDEX(Product_Structure[Generic Name (long)3],MATCH(Товары[[#This Row],[SubGroup]],Product_Structure[Subgroup],0)),"")</f>
        <v>Наконечники для полива</v>
      </c>
      <c r="I832" s="36">
        <v>9022</v>
      </c>
      <c r="J832" s="36" t="str">
        <f>IFERROR(INDEX(Product_Structure[Generic Name (long)],MATCH(Товары[[#This Row],[SubGroup]],Product_Structure[Subgroup],0)),"")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Row],[SubGroup]],DIY!$B:$C,2,FALSE),0)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3" t="str">
        <f>IFERROR(INDEX(Product_Structure[SuperCategory],MATCH(Товары[[#This Row],[SubGroup]],Product_Structure[Subgroup],0)),"")</f>
        <v>W</v>
      </c>
      <c r="D833" s="113" t="str">
        <f>IFERROR(INDEX(Product_Structure[SuperCategory Name ENG],MATCH(Товары[[#This Row],[SubGroup]],Product_Structure[Subgroup],0)),"")</f>
        <v>Watering (mobile, sprinkler system&amp;MDS, Ponds)</v>
      </c>
      <c r="E8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3" s="113" t="str">
        <f>IFERROR(INDEX(Product_Structure[Product group],MATCH(Товары[[#This Row],[SubGroup]],Product_Structure[Subgroup],0)),"")</f>
        <v>WMO_C</v>
      </c>
      <c r="G833" s="113" t="str">
        <f>IFERROR(INDEX(Product_Structure[Product group name ENG],MATCH(Товары[[#This Row],[SubGroup]],Product_Structure[Subgroup],0)),"")</f>
        <v>Watering Mobile OGS</v>
      </c>
      <c r="H833" s="113" t="str">
        <f>IFERROR(INDEX(Product_Structure[Generic Name (long)3],MATCH(Товары[[#This Row],[SubGroup]],Product_Structure[Subgroup],0)),"")</f>
        <v>Фитинги для шлангов</v>
      </c>
      <c r="I833" s="36">
        <v>9011</v>
      </c>
      <c r="J833" s="36" t="str">
        <f>IFERROR(INDEX(Product_Structure[Generic Name (long)],MATCH(Товары[[#This Row],[SubGroup]],Product_Structure[Subgroup],0)),"")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Row],[SubGroup]],DIY!$B:$C,2,FALSE),0)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3" t="str">
        <f>IFERROR(INDEX(Product_Structure[SuperCategory],MATCH(Товары[[#This Row],[SubGroup]],Product_Structure[Subgroup],0)),"")</f>
        <v>W</v>
      </c>
      <c r="D834" s="113" t="str">
        <f>IFERROR(INDEX(Product_Structure[SuperCategory Name ENG],MATCH(Товары[[#This Row],[SubGroup]],Product_Structure[Subgroup],0)),"")</f>
        <v>Watering (mobile, sprinkler system&amp;MDS, Ponds)</v>
      </c>
      <c r="E8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4" s="113" t="str">
        <f>IFERROR(INDEX(Product_Structure[Product group],MATCH(Товары[[#This Row],[SubGroup]],Product_Structure[Subgroup],0)),"")</f>
        <v>WMO_C</v>
      </c>
      <c r="G834" s="113" t="str">
        <f>IFERROR(INDEX(Product_Structure[Product group name ENG],MATCH(Товары[[#This Row],[SubGroup]],Product_Structure[Subgroup],0)),"")</f>
        <v>Watering Mobile OGS</v>
      </c>
      <c r="H834" s="113" t="str">
        <f>IFERROR(INDEX(Product_Structure[Generic Name (long)3],MATCH(Товары[[#This Row],[SubGroup]],Product_Structure[Subgroup],0)),"")</f>
        <v>Фитинги для шлангов</v>
      </c>
      <c r="I834" s="36">
        <v>9011</v>
      </c>
      <c r="J834" s="36" t="str">
        <f>IFERROR(INDEX(Product_Structure[Generic Name (long)],MATCH(Товары[[#This Row],[SubGroup]],Product_Structure[Subgroup],0)),"")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Row],[SubGroup]],DIY!$B:$C,2,FALSE),0)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3" t="str">
        <f>IFERROR(INDEX(Product_Structure[SuperCategory],MATCH(Товары[[#This Row],[SubGroup]],Product_Structure[Subgroup],0)),"")</f>
        <v>W</v>
      </c>
      <c r="D835" s="113" t="str">
        <f>IFERROR(INDEX(Product_Structure[SuperCategory Name ENG],MATCH(Товары[[#This Row],[SubGroup]],Product_Structure[Subgroup],0)),"")</f>
        <v>Watering (mobile, sprinkler system&amp;MDS, Ponds)</v>
      </c>
      <c r="E8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5" s="113" t="str">
        <f>IFERROR(INDEX(Product_Structure[Product group],MATCH(Товары[[#This Row],[SubGroup]],Product_Structure[Subgroup],0)),"")</f>
        <v>WMO_C</v>
      </c>
      <c r="G835" s="113" t="str">
        <f>IFERROR(INDEX(Product_Structure[Product group name ENG],MATCH(Товары[[#This Row],[SubGroup]],Product_Structure[Subgroup],0)),"")</f>
        <v>Watering Mobile OGS</v>
      </c>
      <c r="H835" s="113" t="str">
        <f>IFERROR(INDEX(Product_Structure[Generic Name (long)3],MATCH(Товары[[#This Row],[SubGroup]],Product_Structure[Subgroup],0)),"")</f>
        <v>Фитинги для шлангов</v>
      </c>
      <c r="I835" s="36">
        <v>9011</v>
      </c>
      <c r="J835" s="36" t="str">
        <f>IFERROR(INDEX(Product_Structure[Generic Name (long)],MATCH(Товары[[#This Row],[SubGroup]],Product_Structure[Subgroup],0)),"")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Row],[SubGroup]],DIY!$B:$C,2,FALSE),0)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3" t="str">
        <f>IFERROR(INDEX(Product_Structure[SuperCategory],MATCH(Товары[[#This Row],[SubGroup]],Product_Structure[Subgroup],0)),"")</f>
        <v>W</v>
      </c>
      <c r="D836" s="113" t="str">
        <f>IFERROR(INDEX(Product_Structure[SuperCategory Name ENG],MATCH(Товары[[#This Row],[SubGroup]],Product_Structure[Subgroup],0)),"")</f>
        <v>Watering (mobile, sprinkler system&amp;MDS, Ponds)</v>
      </c>
      <c r="E8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6" s="113" t="str">
        <f>IFERROR(INDEX(Product_Structure[Product group],MATCH(Товары[[#This Row],[SubGroup]],Product_Structure[Subgroup],0)),"")</f>
        <v>WMO_C</v>
      </c>
      <c r="G836" s="113" t="str">
        <f>IFERROR(INDEX(Product_Structure[Product group name ENG],MATCH(Товары[[#This Row],[SubGroup]],Product_Structure[Subgroup],0)),"")</f>
        <v>Watering Mobile OGS</v>
      </c>
      <c r="H836" s="113" t="str">
        <f>IFERROR(INDEX(Product_Structure[Generic Name (long)3],MATCH(Товары[[#This Row],[SubGroup]],Product_Structure[Subgroup],0)),"")</f>
        <v>Фитинги для шлангов</v>
      </c>
      <c r="I836" s="36">
        <v>9011</v>
      </c>
      <c r="J836" s="36" t="str">
        <f>IFERROR(INDEX(Product_Structure[Generic Name (long)],MATCH(Товары[[#This Row],[SubGroup]],Product_Structure[Subgroup],0)),"")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Row],[SubGroup]],DIY!$B:$C,2,FALSE),0)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3" t="str">
        <f>IFERROR(INDEX(Product_Structure[SuperCategory],MATCH(Товары[[#This Row],[SubGroup]],Product_Structure[Subgroup],0)),"")</f>
        <v>W</v>
      </c>
      <c r="D837" s="113" t="str">
        <f>IFERROR(INDEX(Product_Structure[SuperCategory Name ENG],MATCH(Товары[[#This Row],[SubGroup]],Product_Structure[Subgroup],0)),"")</f>
        <v>Watering (mobile, sprinkler system&amp;MDS, Ponds)</v>
      </c>
      <c r="E8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7" s="113" t="str">
        <f>IFERROR(INDEX(Product_Structure[Product group],MATCH(Товары[[#This Row],[SubGroup]],Product_Structure[Subgroup],0)),"")</f>
        <v>WMO_C</v>
      </c>
      <c r="G837" s="113" t="str">
        <f>IFERROR(INDEX(Product_Structure[Product group name ENG],MATCH(Товары[[#This Row],[SubGroup]],Product_Structure[Subgroup],0)),"")</f>
        <v>Watering Mobile OGS</v>
      </c>
      <c r="H837" s="113" t="str">
        <f>IFERROR(INDEX(Product_Structure[Generic Name (long)3],MATCH(Товары[[#This Row],[SubGroup]],Product_Structure[Subgroup],0)),"")</f>
        <v>Фитинги для шлангов</v>
      </c>
      <c r="I837" s="36">
        <v>9011</v>
      </c>
      <c r="J837" s="36" t="str">
        <f>IFERROR(INDEX(Product_Structure[Generic Name (long)],MATCH(Товары[[#This Row],[SubGroup]],Product_Structure[Subgroup],0)),"")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Row],[SubGroup]],DIY!$B:$C,2,FALSE),0)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3" t="str">
        <f>IFERROR(INDEX(Product_Structure[SuperCategory],MATCH(Товары[[#This Row],[SubGroup]],Product_Structure[Subgroup],0)),"")</f>
        <v>W</v>
      </c>
      <c r="D838" s="113" t="str">
        <f>IFERROR(INDEX(Product_Structure[SuperCategory Name ENG],MATCH(Товары[[#This Row],[SubGroup]],Product_Structure[Subgroup],0)),"")</f>
        <v>Watering (mobile, sprinkler system&amp;MDS, Ponds)</v>
      </c>
      <c r="E8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8" s="113" t="str">
        <f>IFERROR(INDEX(Product_Structure[Product group],MATCH(Товары[[#This Row],[SubGroup]],Product_Structure[Subgroup],0)),"")</f>
        <v>WMO_C</v>
      </c>
      <c r="G838" s="113" t="str">
        <f>IFERROR(INDEX(Product_Structure[Product group name ENG],MATCH(Товары[[#This Row],[SubGroup]],Product_Structure[Subgroup],0)),"")</f>
        <v>Watering Mobile OGS</v>
      </c>
      <c r="H838" s="113" t="str">
        <f>IFERROR(INDEX(Product_Structure[Generic Name (long)3],MATCH(Товары[[#This Row],[SubGroup]],Product_Structure[Subgroup],0)),"")</f>
        <v>Фитинги для шлангов</v>
      </c>
      <c r="I838" s="36">
        <v>9011</v>
      </c>
      <c r="J838" s="36" t="str">
        <f>IFERROR(INDEX(Product_Structure[Generic Name (long)],MATCH(Товары[[#This Row],[SubGroup]],Product_Structure[Subgroup],0)),"")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Row],[SubGroup]],DIY!$B:$C,2,FALSE),0)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3" t="str">
        <f>IFERROR(INDEX(Product_Structure[SuperCategory],MATCH(Товары[[#This Row],[SubGroup]],Product_Structure[Subgroup],0)),"")</f>
        <v>W</v>
      </c>
      <c r="D839" s="113" t="str">
        <f>IFERROR(INDEX(Product_Structure[SuperCategory Name ENG],MATCH(Товары[[#This Row],[SubGroup]],Product_Structure[Subgroup],0)),"")</f>
        <v>Watering (mobile, sprinkler system&amp;MDS, Ponds)</v>
      </c>
      <c r="E8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39" s="113" t="str">
        <f>IFERROR(INDEX(Product_Structure[Product group],MATCH(Товары[[#This Row],[SubGroup]],Product_Structure[Subgroup],0)),"")</f>
        <v>WMO_C</v>
      </c>
      <c r="G839" s="113" t="str">
        <f>IFERROR(INDEX(Product_Structure[Product group name ENG],MATCH(Товары[[#This Row],[SubGroup]],Product_Structure[Subgroup],0)),"")</f>
        <v>Watering Mobile OGS</v>
      </c>
      <c r="H839" s="113" t="str">
        <f>IFERROR(INDEX(Product_Structure[Generic Name (long)3],MATCH(Товары[[#This Row],[SubGroup]],Product_Structure[Subgroup],0)),"")</f>
        <v>Фитинги для шлангов</v>
      </c>
      <c r="I839" s="36">
        <v>9011</v>
      </c>
      <c r="J839" s="36" t="str">
        <f>IFERROR(INDEX(Product_Structure[Generic Name (long)],MATCH(Товары[[#This Row],[SubGroup]],Product_Structure[Subgroup],0)),"")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Row],[SubGroup]],DIY!$B:$C,2,FALSE),0)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3" t="str">
        <f>IFERROR(INDEX(Product_Structure[SuperCategory],MATCH(Товары[[#This Row],[SubGroup]],Product_Structure[Subgroup],0)),"")</f>
        <v>W</v>
      </c>
      <c r="D840" s="113" t="str">
        <f>IFERROR(INDEX(Product_Structure[SuperCategory Name ENG],MATCH(Товары[[#This Row],[SubGroup]],Product_Structure[Subgroup],0)),"")</f>
        <v>Watering (mobile, sprinkler system&amp;MDS, Ponds)</v>
      </c>
      <c r="E8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0" s="113" t="str">
        <f>IFERROR(INDEX(Product_Structure[Product group],MATCH(Товары[[#This Row],[SubGroup]],Product_Structure[Subgroup],0)),"")</f>
        <v>WMO_C</v>
      </c>
      <c r="G840" s="113" t="str">
        <f>IFERROR(INDEX(Product_Structure[Product group name ENG],MATCH(Товары[[#This Row],[SubGroup]],Product_Structure[Subgroup],0)),"")</f>
        <v>Watering Mobile OGS</v>
      </c>
      <c r="H840" s="113" t="str">
        <f>IFERROR(INDEX(Product_Structure[Generic Name (long)3],MATCH(Товары[[#This Row],[SubGroup]],Product_Structure[Subgroup],0)),"")</f>
        <v>Фитинги для шлангов</v>
      </c>
      <c r="I840" s="36">
        <v>9011</v>
      </c>
      <c r="J840" s="36" t="str">
        <f>IFERROR(INDEX(Product_Structure[Generic Name (long)],MATCH(Товары[[#This Row],[SubGroup]],Product_Structure[Subgroup],0)),"")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Row],[SubGroup]],DIY!$B:$C,2,FALSE),0)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3" t="str">
        <f>IFERROR(INDEX(Product_Structure[SuperCategory],MATCH(Товары[[#This Row],[SubGroup]],Product_Structure[Subgroup],0)),"")</f>
        <v>W</v>
      </c>
      <c r="D841" s="113" t="str">
        <f>IFERROR(INDEX(Product_Structure[SuperCategory Name ENG],MATCH(Товары[[#This Row],[SubGroup]],Product_Structure[Subgroup],0)),"")</f>
        <v>Watering (mobile, sprinkler system&amp;MDS, Ponds)</v>
      </c>
      <c r="E8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1" s="113" t="str">
        <f>IFERROR(INDEX(Product_Structure[Product group],MATCH(Товары[[#This Row],[SubGroup]],Product_Structure[Subgroup],0)),"")</f>
        <v>WMO_C</v>
      </c>
      <c r="G841" s="113" t="str">
        <f>IFERROR(INDEX(Product_Structure[Product group name ENG],MATCH(Товары[[#This Row],[SubGroup]],Product_Structure[Subgroup],0)),"")</f>
        <v>Watering Mobile OGS</v>
      </c>
      <c r="H841" s="113" t="str">
        <f>IFERROR(INDEX(Product_Structure[Generic Name (long)3],MATCH(Товары[[#This Row],[SubGroup]],Product_Structure[Subgroup],0)),"")</f>
        <v>Фитинги для шлангов</v>
      </c>
      <c r="I841" s="36">
        <v>9011</v>
      </c>
      <c r="J841" s="36" t="str">
        <f>IFERROR(INDEX(Product_Structure[Generic Name (long)],MATCH(Товары[[#This Row],[SubGroup]],Product_Structure[Subgroup],0)),"")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Row],[SubGroup]],DIY!$B:$C,2,FALSE),0)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3" t="str">
        <f>IFERROR(INDEX(Product_Structure[SuperCategory],MATCH(Товары[[#This Row],[SubGroup]],Product_Structure[Subgroup],0)),"")</f>
        <v>W</v>
      </c>
      <c r="D842" s="113" t="str">
        <f>IFERROR(INDEX(Product_Structure[SuperCategory Name ENG],MATCH(Товары[[#This Row],[SubGroup]],Product_Structure[Subgroup],0)),"")</f>
        <v>Watering (mobile, sprinkler system&amp;MDS, Ponds)</v>
      </c>
      <c r="E8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2" s="113" t="str">
        <f>IFERROR(INDEX(Product_Structure[Product group],MATCH(Товары[[#This Row],[SubGroup]],Product_Structure[Subgroup],0)),"")</f>
        <v>WMO_C</v>
      </c>
      <c r="G842" s="113" t="str">
        <f>IFERROR(INDEX(Product_Structure[Product group name ENG],MATCH(Товары[[#This Row],[SubGroup]],Product_Structure[Subgroup],0)),"")</f>
        <v>Watering Mobile OGS</v>
      </c>
      <c r="H842" s="113" t="str">
        <f>IFERROR(INDEX(Product_Structure[Generic Name (long)3],MATCH(Товары[[#This Row],[SubGroup]],Product_Structure[Subgroup],0)),"")</f>
        <v>Фитинги для шлангов</v>
      </c>
      <c r="I842" s="36">
        <v>9011</v>
      </c>
      <c r="J842" s="36" t="str">
        <f>IFERROR(INDEX(Product_Structure[Generic Name (long)],MATCH(Товары[[#This Row],[SubGroup]],Product_Structure[Subgroup],0)),"")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Row],[SubGroup]],DIY!$B:$C,2,FALSE),0)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3" t="str">
        <f>IFERROR(INDEX(Product_Structure[SuperCategory],MATCH(Товары[[#This Row],[SubGroup]],Product_Structure[Subgroup],0)),"")</f>
        <v>W</v>
      </c>
      <c r="D843" s="113" t="str">
        <f>IFERROR(INDEX(Product_Structure[SuperCategory Name ENG],MATCH(Товары[[#This Row],[SubGroup]],Product_Structure[Subgroup],0)),"")</f>
        <v>Watering (mobile, sprinkler system&amp;MDS, Ponds)</v>
      </c>
      <c r="E8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3" s="113" t="str">
        <f>IFERROR(INDEX(Product_Structure[Product group],MATCH(Товары[[#This Row],[SubGroup]],Product_Structure[Subgroup],0)),"")</f>
        <v>WMO_C</v>
      </c>
      <c r="G843" s="113" t="str">
        <f>IFERROR(INDEX(Product_Structure[Product group name ENG],MATCH(Товары[[#This Row],[SubGroup]],Product_Structure[Subgroup],0)),"")</f>
        <v>Watering Mobile OGS</v>
      </c>
      <c r="H843" s="113" t="str">
        <f>IFERROR(INDEX(Product_Structure[Generic Name (long)3],MATCH(Товары[[#This Row],[SubGroup]],Product_Structure[Subgroup],0)),"")</f>
        <v>Фитинги для шлангов</v>
      </c>
      <c r="I843" s="36">
        <v>9011</v>
      </c>
      <c r="J843" s="36" t="str">
        <f>IFERROR(INDEX(Product_Structure[Generic Name (long)],MATCH(Товары[[#This Row],[SubGroup]],Product_Structure[Subgroup],0)),"")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Row],[SubGroup]],DIY!$B:$C,2,FALSE),0)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3" t="str">
        <f>IFERROR(INDEX(Product_Structure[SuperCategory],MATCH(Товары[[#This Row],[SubGroup]],Product_Structure[Subgroup],0)),"")</f>
        <v>W</v>
      </c>
      <c r="D844" s="113" t="str">
        <f>IFERROR(INDEX(Product_Structure[SuperCategory Name ENG],MATCH(Товары[[#This Row],[SubGroup]],Product_Structure[Subgroup],0)),"")</f>
        <v>Watering (mobile, sprinkler system&amp;MDS, Ponds)</v>
      </c>
      <c r="E8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4" s="113" t="str">
        <f>IFERROR(INDEX(Product_Structure[Product group],MATCH(Товары[[#This Row],[SubGroup]],Product_Structure[Subgroup],0)),"")</f>
        <v>WMA_C</v>
      </c>
      <c r="G844" s="113" t="str">
        <f>IFERROR(INDEX(Product_Structure[Product group name ENG],MATCH(Товары[[#This Row],[SubGroup]],Product_Structure[Subgroup],0)),"")</f>
        <v>Watering Mobile Attachments</v>
      </c>
      <c r="H844" s="113" t="str">
        <f>IFERROR(INDEX(Product_Structure[Generic Name (long)3],MATCH(Товары[[#This Row],[SubGroup]],Product_Structure[Subgroup],0)),"")</f>
        <v>Наконечники для полива</v>
      </c>
      <c r="I844" s="36">
        <v>9022</v>
      </c>
      <c r="J844" s="36" t="str">
        <f>IFERROR(INDEX(Product_Structure[Generic Name (long)],MATCH(Товары[[#This Row],[SubGroup]],Product_Structure[Subgroup],0)),"")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Row],[SubGroup]],DIY!$B:$C,2,FALSE),0)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3" t="str">
        <f>IFERROR(INDEX(Product_Structure[SuperCategory],MATCH(Товары[[#This Row],[SubGroup]],Product_Structure[Subgroup],0)),"")</f>
        <v>W</v>
      </c>
      <c r="D845" s="113" t="str">
        <f>IFERROR(INDEX(Product_Structure[SuperCategory Name ENG],MATCH(Товары[[#This Row],[SubGroup]],Product_Structure[Subgroup],0)),"")</f>
        <v>Watering (mobile, sprinkler system&amp;MDS, Ponds)</v>
      </c>
      <c r="E8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5" s="113" t="str">
        <f>IFERROR(INDEX(Product_Structure[Product group],MATCH(Товары[[#This Row],[SubGroup]],Product_Structure[Subgroup],0)),"")</f>
        <v>WMO_C</v>
      </c>
      <c r="G845" s="113" t="str">
        <f>IFERROR(INDEX(Product_Structure[Product group name ENG],MATCH(Товары[[#This Row],[SubGroup]],Product_Structure[Subgroup],0)),"")</f>
        <v>Watering Mobile OGS</v>
      </c>
      <c r="H845" s="113" t="str">
        <f>IFERROR(INDEX(Product_Structure[Generic Name (long)3],MATCH(Товары[[#This Row],[SubGroup]],Product_Structure[Subgroup],0)),"")</f>
        <v>Комплекты фитингов</v>
      </c>
      <c r="I845" s="36">
        <v>9012</v>
      </c>
      <c r="J845" s="36" t="str">
        <f>IFERROR(INDEX(Product_Structure[Generic Name (long)],MATCH(Товары[[#This Row],[SubGroup]],Product_Structure[Subgroup],0)),"")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Row],[SubGroup]],DIY!$B:$C,2,FALSE),0)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3" t="str">
        <f>IFERROR(INDEX(Product_Structure[SuperCategory],MATCH(Товары[[#This Row],[SubGroup]],Product_Structure[Subgroup],0)),"")</f>
        <v>W</v>
      </c>
      <c r="D846" s="113" t="str">
        <f>IFERROR(INDEX(Product_Structure[SuperCategory Name ENG],MATCH(Товары[[#This Row],[SubGroup]],Product_Structure[Subgroup],0)),"")</f>
        <v>Watering (mobile, sprinkler system&amp;MDS, Ponds)</v>
      </c>
      <c r="E8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6" s="113" t="str">
        <f>IFERROR(INDEX(Product_Structure[Product group],MATCH(Товары[[#This Row],[SubGroup]],Product_Structure[Subgroup],0)),"")</f>
        <v>WMO_C</v>
      </c>
      <c r="G846" s="113" t="str">
        <f>IFERROR(INDEX(Product_Structure[Product group name ENG],MATCH(Товары[[#This Row],[SubGroup]],Product_Structure[Subgroup],0)),"")</f>
        <v>Watering Mobile OGS</v>
      </c>
      <c r="H846" s="113" t="str">
        <f>IFERROR(INDEX(Product_Structure[Generic Name (long)3],MATCH(Товары[[#This Row],[SubGroup]],Product_Structure[Subgroup],0)),"")</f>
        <v>Комплекты фитингов</v>
      </c>
      <c r="I846" s="36">
        <v>9012</v>
      </c>
      <c r="J846" s="36" t="str">
        <f>IFERROR(INDEX(Product_Structure[Generic Name (long)],MATCH(Товары[[#This Row],[SubGroup]],Product_Structure[Subgroup],0)),"")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Row],[SubGroup]],DIY!$B:$C,2,FALSE),0)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3" t="str">
        <f>IFERROR(INDEX(Product_Structure[SuperCategory],MATCH(Товары[[#This Row],[SubGroup]],Product_Structure[Subgroup],0)),"")</f>
        <v>W</v>
      </c>
      <c r="D847" s="113" t="str">
        <f>IFERROR(INDEX(Product_Structure[SuperCategory Name ENG],MATCH(Товары[[#This Row],[SubGroup]],Product_Structure[Subgroup],0)),"")</f>
        <v>Watering (mobile, sprinkler system&amp;MDS, Ponds)</v>
      </c>
      <c r="E8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7" s="113" t="str">
        <f>IFERROR(INDEX(Product_Structure[Product group],MATCH(Товары[[#This Row],[SubGroup]],Product_Structure[Subgroup],0)),"")</f>
        <v>WMH_C</v>
      </c>
      <c r="G847" s="113" t="str">
        <f>IFERROR(INDEX(Product_Structure[Product group name ENG],MATCH(Товары[[#This Row],[SubGroup]],Product_Structure[Subgroup],0)),"")</f>
        <v>Watering Mobile Hoses</v>
      </c>
      <c r="H847" s="113" t="str">
        <f>IFERROR(INDEX(Product_Structure[Generic Name (long)3],MATCH(Товары[[#This Row],[SubGroup]],Product_Structure[Subgroup],0)),"")</f>
        <v>Садовые шланги</v>
      </c>
      <c r="I847" s="36">
        <v>9014</v>
      </c>
      <c r="J847" s="36" t="str">
        <f>IFERROR(INDEX(Product_Structure[Generic Name (long)],MATCH(Товары[[#This Row],[SubGroup]],Product_Structure[Subgroup],0)),"")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Row],[SubGroup]],DIY!$B:$C,2,FALSE),0)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3" t="str">
        <f>IFERROR(INDEX(Product_Structure[SuperCategory],MATCH(Товары[[#This Row],[SubGroup]],Product_Structure[Subgroup],0)),"")</f>
        <v>W</v>
      </c>
      <c r="D848" s="113" t="str">
        <f>IFERROR(INDEX(Product_Structure[SuperCategory Name ENG],MATCH(Товары[[#This Row],[SubGroup]],Product_Structure[Subgroup],0)),"")</f>
        <v>Watering (mobile, sprinkler system&amp;MDS, Ponds)</v>
      </c>
      <c r="E8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8" s="113" t="str">
        <f>IFERROR(INDEX(Product_Structure[Product group],MATCH(Товары[[#This Row],[SubGroup]],Product_Structure[Subgroup],0)),"")</f>
        <v>WMH_C</v>
      </c>
      <c r="G848" s="113" t="str">
        <f>IFERROR(INDEX(Product_Structure[Product group name ENG],MATCH(Товары[[#This Row],[SubGroup]],Product_Structure[Subgroup],0)),"")</f>
        <v>Watering Mobile Hoses</v>
      </c>
      <c r="H848" s="113" t="str">
        <f>IFERROR(INDEX(Product_Structure[Generic Name (long)3],MATCH(Товары[[#This Row],[SubGroup]],Product_Structure[Subgroup],0)),"")</f>
        <v>Садовые шланги</v>
      </c>
      <c r="I848" s="36">
        <v>9014</v>
      </c>
      <c r="J848" s="36" t="str">
        <f>IFERROR(INDEX(Product_Structure[Generic Name (long)],MATCH(Товары[[#This Row],[SubGroup]],Product_Structure[Subgroup],0)),"")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Row],[SubGroup]],DIY!$B:$C,2,FALSE),0)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3" t="str">
        <f>IFERROR(INDEX(Product_Structure[SuperCategory],MATCH(Товары[[#This Row],[SubGroup]],Product_Structure[Subgroup],0)),"")</f>
        <v>W</v>
      </c>
      <c r="D849" s="113" t="str">
        <f>IFERROR(INDEX(Product_Structure[SuperCategory Name ENG],MATCH(Товары[[#This Row],[SubGroup]],Product_Structure[Subgroup],0)),"")</f>
        <v>Watering (mobile, sprinkler system&amp;MDS, Ponds)</v>
      </c>
      <c r="E8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49" s="113" t="str">
        <f>IFERROR(INDEX(Product_Structure[Product group],MATCH(Товары[[#This Row],[SubGroup]],Product_Structure[Subgroup],0)),"")</f>
        <v>WMH_C</v>
      </c>
      <c r="G849" s="113" t="str">
        <f>IFERROR(INDEX(Product_Structure[Product group name ENG],MATCH(Товары[[#This Row],[SubGroup]],Product_Structure[Subgroup],0)),"")</f>
        <v>Watering Mobile Hoses</v>
      </c>
      <c r="H849" s="113" t="str">
        <f>IFERROR(INDEX(Product_Structure[Generic Name (long)3],MATCH(Товары[[#This Row],[SubGroup]],Product_Structure[Subgroup],0)),"")</f>
        <v>Садовые шланги</v>
      </c>
      <c r="I849" s="36">
        <v>9014</v>
      </c>
      <c r="J849" s="36" t="str">
        <f>IFERROR(INDEX(Product_Structure[Generic Name (long)],MATCH(Товары[[#This Row],[SubGroup]],Product_Structure[Subgroup],0)),"")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Row],[SubGroup]],DIY!$B:$C,2,FALSE),0)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3" t="str">
        <f>IFERROR(INDEX(Product_Structure[SuperCategory],MATCH(Товары[[#This Row],[SubGroup]],Product_Structure[Subgroup],0)),"")</f>
        <v>W</v>
      </c>
      <c r="D850" s="113" t="str">
        <f>IFERROR(INDEX(Product_Structure[SuperCategory Name ENG],MATCH(Товары[[#This Row],[SubGroup]],Product_Structure[Subgroup],0)),"")</f>
        <v>Watering (mobile, sprinkler system&amp;MDS, Ponds)</v>
      </c>
      <c r="E8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0" s="113" t="str">
        <f>IFERROR(INDEX(Product_Structure[Product group],MATCH(Товары[[#This Row],[SubGroup]],Product_Structure[Subgroup],0)),"")</f>
        <v>WMS_C</v>
      </c>
      <c r="G850" s="113" t="str">
        <f>IFERROR(INDEX(Product_Structure[Product group name ENG],MATCH(Товары[[#This Row],[SubGroup]],Product_Structure[Subgroup],0)),"")</f>
        <v>Watering Mobile Sprinklers</v>
      </c>
      <c r="H850" s="113" t="str">
        <f>IFERROR(INDEX(Product_Structure[Generic Name (long)3],MATCH(Товары[[#This Row],[SubGroup]],Product_Structure[Subgroup],0)),"")</f>
        <v>Дождеватели</v>
      </c>
      <c r="I850" s="36">
        <v>9021</v>
      </c>
      <c r="J850" s="36" t="str">
        <f>IFERROR(INDEX(Product_Structure[Generic Name (long)],MATCH(Товары[[#This Row],[SubGroup]],Product_Structure[Subgroup],0)),"")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Row],[SubGroup]],DIY!$B:$C,2,FALSE),0)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3" t="str">
        <f>IFERROR(INDEX(Product_Structure[SuperCategory],MATCH(Товары[[#This Row],[SubGroup]],Product_Structure[Subgroup],0)),"")</f>
        <v>W</v>
      </c>
      <c r="D851" s="113" t="str">
        <f>IFERROR(INDEX(Product_Structure[SuperCategory Name ENG],MATCH(Товары[[#This Row],[SubGroup]],Product_Structure[Subgroup],0)),"")</f>
        <v>Watering (mobile, sprinkler system&amp;MDS, Ponds)</v>
      </c>
      <c r="E8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1" s="113" t="str">
        <f>IFERROR(INDEX(Product_Structure[Product group],MATCH(Товары[[#This Row],[SubGroup]],Product_Structure[Subgroup],0)),"")</f>
        <v>WMS_C</v>
      </c>
      <c r="G851" s="113" t="str">
        <f>IFERROR(INDEX(Product_Structure[Product group name ENG],MATCH(Товары[[#This Row],[SubGroup]],Product_Structure[Subgroup],0)),"")</f>
        <v>Watering Mobile Sprinklers</v>
      </c>
      <c r="H851" s="113" t="str">
        <f>IFERROR(INDEX(Product_Structure[Generic Name (long)3],MATCH(Товары[[#This Row],[SubGroup]],Product_Structure[Subgroup],0)),"")</f>
        <v>Дождеватели</v>
      </c>
      <c r="I851" s="36">
        <v>9021</v>
      </c>
      <c r="J851" s="36" t="str">
        <f>IFERROR(INDEX(Product_Structure[Generic Name (long)],MATCH(Товары[[#This Row],[SubGroup]],Product_Structure[Subgroup],0)),"")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Row],[SubGroup]],DIY!$B:$C,2,FALSE),0)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3" t="str">
        <f>IFERROR(INDEX(Product_Structure[SuperCategory],MATCH(Товары[[#This Row],[SubGroup]],Product_Structure[Subgroup],0)),"")</f>
        <v>W</v>
      </c>
      <c r="D852" s="113" t="str">
        <f>IFERROR(INDEX(Product_Structure[SuperCategory Name ENG],MATCH(Товары[[#This Row],[SubGroup]],Product_Structure[Subgroup],0)),"")</f>
        <v>Watering (mobile, sprinkler system&amp;MDS, Ponds)</v>
      </c>
      <c r="E8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2" s="113" t="str">
        <f>IFERROR(INDEX(Product_Structure[Product group],MATCH(Товары[[#This Row],[SubGroup]],Product_Structure[Subgroup],0)),"")</f>
        <v>WMS_C</v>
      </c>
      <c r="G852" s="113" t="str">
        <f>IFERROR(INDEX(Product_Structure[Product group name ENG],MATCH(Товары[[#This Row],[SubGroup]],Product_Structure[Subgroup],0)),"")</f>
        <v>Watering Mobile Sprinklers</v>
      </c>
      <c r="H852" s="113" t="str">
        <f>IFERROR(INDEX(Product_Structure[Generic Name (long)3],MATCH(Товары[[#This Row],[SubGroup]],Product_Structure[Subgroup],0)),"")</f>
        <v>Дождеватели</v>
      </c>
      <c r="I852" s="36">
        <v>9021</v>
      </c>
      <c r="J852" s="36" t="str">
        <f>IFERROR(INDEX(Product_Structure[Generic Name (long)],MATCH(Товары[[#This Row],[SubGroup]],Product_Structure[Subgroup],0)),"")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Row],[SubGroup]],DIY!$B:$C,2,FALSE),0)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3" t="str">
        <f>IFERROR(INDEX(Product_Structure[SuperCategory],MATCH(Товары[[#This Row],[SubGroup]],Product_Structure[Subgroup],0)),"")</f>
        <v>W</v>
      </c>
      <c r="D853" s="113" t="str">
        <f>IFERROR(INDEX(Product_Structure[SuperCategory Name ENG],MATCH(Товары[[#This Row],[SubGroup]],Product_Structure[Subgroup],0)),"")</f>
        <v>Watering (mobile, sprinkler system&amp;MDS, Ponds)</v>
      </c>
      <c r="E8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3" s="113" t="str">
        <f>IFERROR(INDEX(Product_Structure[Product group],MATCH(Товары[[#This Row],[SubGroup]],Product_Structure[Subgroup],0)),"")</f>
        <v>WMS_C</v>
      </c>
      <c r="G853" s="113" t="str">
        <f>IFERROR(INDEX(Product_Structure[Product group name ENG],MATCH(Товары[[#This Row],[SubGroup]],Product_Structure[Subgroup],0)),"")</f>
        <v>Watering Mobile Sprinklers</v>
      </c>
      <c r="H853" s="113" t="str">
        <f>IFERROR(INDEX(Product_Structure[Generic Name (long)3],MATCH(Товары[[#This Row],[SubGroup]],Product_Structure[Subgroup],0)),"")</f>
        <v>Дождеватели</v>
      </c>
      <c r="I853" s="36">
        <v>9021</v>
      </c>
      <c r="J853" s="36" t="str">
        <f>IFERROR(INDEX(Product_Structure[Generic Name (long)],MATCH(Товары[[#This Row],[SubGroup]],Product_Structure[Subgroup],0)),"")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Row],[SubGroup]],DIY!$B:$C,2,FALSE),0)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3" t="str">
        <f>IFERROR(INDEX(Product_Structure[SuperCategory],MATCH(Товары[[#This Row],[SubGroup]],Product_Structure[Subgroup],0)),"")</f>
        <v>W</v>
      </c>
      <c r="D854" s="113" t="str">
        <f>IFERROR(INDEX(Product_Structure[SuperCategory Name ENG],MATCH(Товары[[#This Row],[SubGroup]],Product_Structure[Subgroup],0)),"")</f>
        <v>Watering (mobile, sprinkler system&amp;MDS, Ponds)</v>
      </c>
      <c r="E8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4" s="113" t="str">
        <f>IFERROR(INDEX(Product_Structure[Product group],MATCH(Товары[[#This Row],[SubGroup]],Product_Structure[Subgroup],0)),"")</f>
        <v>WMS_C</v>
      </c>
      <c r="G854" s="113" t="str">
        <f>IFERROR(INDEX(Product_Structure[Product group name ENG],MATCH(Товары[[#This Row],[SubGroup]],Product_Structure[Subgroup],0)),"")</f>
        <v>Watering Mobile Sprinklers</v>
      </c>
      <c r="H854" s="113" t="str">
        <f>IFERROR(INDEX(Product_Structure[Generic Name (long)3],MATCH(Товары[[#This Row],[SubGroup]],Product_Structure[Subgroup],0)),"")</f>
        <v>Дождеватели</v>
      </c>
      <c r="I854" s="36">
        <v>9021</v>
      </c>
      <c r="J854" s="36" t="str">
        <f>IFERROR(INDEX(Product_Structure[Generic Name (long)],MATCH(Товары[[#This Row],[SubGroup]],Product_Structure[Subgroup],0)),"")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Row],[SubGroup]],DIY!$B:$C,2,FALSE),0)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3" t="str">
        <f>IFERROR(INDEX(Product_Structure[SuperCategory],MATCH(Товары[[#This Row],[SubGroup]],Product_Structure[Subgroup],0)),"")</f>
        <v>W</v>
      </c>
      <c r="D855" s="113" t="str">
        <f>IFERROR(INDEX(Product_Structure[SuperCategory Name ENG],MATCH(Товары[[#This Row],[SubGroup]],Product_Structure[Subgroup],0)),"")</f>
        <v>Watering (mobile, sprinkler system&amp;MDS, Ponds)</v>
      </c>
      <c r="E8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5" s="113" t="str">
        <f>IFERROR(INDEX(Product_Structure[Product group],MATCH(Товары[[#This Row],[SubGroup]],Product_Structure[Subgroup],0)),"")</f>
        <v>WMS_C</v>
      </c>
      <c r="G855" s="113" t="str">
        <f>IFERROR(INDEX(Product_Structure[Product group name ENG],MATCH(Товары[[#This Row],[SubGroup]],Product_Structure[Subgroup],0)),"")</f>
        <v>Watering Mobile Sprinklers</v>
      </c>
      <c r="H855" s="113" t="str">
        <f>IFERROR(INDEX(Product_Structure[Generic Name (long)3],MATCH(Товары[[#This Row],[SubGroup]],Product_Structure[Subgroup],0)),"")</f>
        <v>Дождеватели</v>
      </c>
      <c r="I855" s="36">
        <v>9021</v>
      </c>
      <c r="J855" s="36" t="str">
        <f>IFERROR(INDEX(Product_Structure[Generic Name (long)],MATCH(Товары[[#This Row],[SubGroup]],Product_Structure[Subgroup],0)),"")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Row],[SubGroup]],DIY!$B:$C,2,FALSE),0)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3" t="str">
        <f>IFERROR(INDEX(Product_Structure[SuperCategory],MATCH(Товары[[#This Row],[SubGroup]],Product_Structure[Subgroup],0)),"")</f>
        <v>W</v>
      </c>
      <c r="D856" s="113" t="str">
        <f>IFERROR(INDEX(Product_Structure[SuperCategory Name ENG],MATCH(Товары[[#This Row],[SubGroup]],Product_Structure[Subgroup],0)),"")</f>
        <v>Watering (mobile, sprinkler system&amp;MDS, Ponds)</v>
      </c>
      <c r="E8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6" s="113" t="str">
        <f>IFERROR(INDEX(Product_Structure[Product group],MATCH(Товары[[#This Row],[SubGroup]],Product_Structure[Subgroup],0)),"")</f>
        <v>WMS_C</v>
      </c>
      <c r="G856" s="113" t="str">
        <f>IFERROR(INDEX(Product_Structure[Product group name ENG],MATCH(Товары[[#This Row],[SubGroup]],Product_Structure[Subgroup],0)),"")</f>
        <v>Watering Mobile Sprinklers</v>
      </c>
      <c r="H856" s="113" t="str">
        <f>IFERROR(INDEX(Product_Structure[Generic Name (long)3],MATCH(Товары[[#This Row],[SubGroup]],Product_Structure[Subgroup],0)),"")</f>
        <v>Дождеватели</v>
      </c>
      <c r="I856" s="36">
        <v>9021</v>
      </c>
      <c r="J856" s="36" t="str">
        <f>IFERROR(INDEX(Product_Structure[Generic Name (long)],MATCH(Товары[[#This Row],[SubGroup]],Product_Structure[Subgroup],0)),"")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Row],[SubGroup]],DIY!$B:$C,2,FALSE),0)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3" t="str">
        <f>IFERROR(INDEX(Product_Structure[SuperCategory],MATCH(Товары[[#This Row],[SubGroup]],Product_Structure[Subgroup],0)),"")</f>
        <v>W</v>
      </c>
      <c r="D857" s="113" t="str">
        <f>IFERROR(INDEX(Product_Structure[SuperCategory Name ENG],MATCH(Товары[[#This Row],[SubGroup]],Product_Structure[Subgroup],0)),"")</f>
        <v>Watering (mobile, sprinkler system&amp;MDS, Ponds)</v>
      </c>
      <c r="E8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7" s="113" t="str">
        <f>IFERROR(INDEX(Product_Structure[Product group],MATCH(Товары[[#This Row],[SubGroup]],Product_Structure[Subgroup],0)),"")</f>
        <v>WMT_C</v>
      </c>
      <c r="G857" s="113" t="str">
        <f>IFERROR(INDEX(Product_Structure[Product group name ENG],MATCH(Товары[[#This Row],[SubGroup]],Product_Structure[Subgroup],0)),"")</f>
        <v>Watering Mobile Trolleys/ hose reels</v>
      </c>
      <c r="H857" s="113" t="str">
        <f>IFERROR(INDEX(Product_Structure[Generic Name (long)3],MATCH(Товары[[#This Row],[SubGroup]],Product_Structure[Subgroup],0)),"")</f>
        <v>Тележки и катушки для шлангов</v>
      </c>
      <c r="I857" s="36">
        <v>9015</v>
      </c>
      <c r="J857" s="36" t="str">
        <f>IFERROR(INDEX(Product_Structure[Generic Name (long)],MATCH(Товары[[#This Row],[SubGroup]],Product_Structure[Subgroup],0)),"")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Row],[SubGroup]],DIY!$B:$C,2,FALSE),0)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3" t="str">
        <f>IFERROR(INDEX(Product_Structure[SuperCategory],MATCH(Товары[[#This Row],[SubGroup]],Product_Structure[Subgroup],0)),"")</f>
        <v>W</v>
      </c>
      <c r="D858" s="113" t="str">
        <f>IFERROR(INDEX(Product_Structure[SuperCategory Name ENG],MATCH(Товары[[#This Row],[SubGroup]],Product_Structure[Subgroup],0)),"")</f>
        <v>Watering (mobile, sprinkler system&amp;MDS, Ponds)</v>
      </c>
      <c r="E8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8" s="113" t="str">
        <f>IFERROR(INDEX(Product_Structure[Product group],MATCH(Товары[[#This Row],[SubGroup]],Product_Structure[Subgroup],0)),"")</f>
        <v>WMO_C</v>
      </c>
      <c r="G858" s="113" t="str">
        <f>IFERROR(INDEX(Product_Structure[Product group name ENG],MATCH(Товары[[#This Row],[SubGroup]],Product_Structure[Subgroup],0)),"")</f>
        <v>Watering Mobile OGS</v>
      </c>
      <c r="H858" s="113" t="str">
        <f>IFERROR(INDEX(Product_Structure[Generic Name (long)3],MATCH(Товары[[#This Row],[SubGroup]],Product_Structure[Subgroup],0)),"")</f>
        <v>Фитинги для шлангов</v>
      </c>
      <c r="I858" s="36">
        <v>9011</v>
      </c>
      <c r="J858" s="36" t="str">
        <f>IFERROR(INDEX(Product_Structure[Generic Name (long)],MATCH(Товары[[#This Row],[SubGroup]],Product_Structure[Subgroup],0)),"")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Row],[SubGroup]],DIY!$B:$C,2,FALSE),0)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3" t="str">
        <f>IFERROR(INDEX(Product_Structure[SuperCategory],MATCH(Товары[[#This Row],[SubGroup]],Product_Structure[Subgroup],0)),"")</f>
        <v>W</v>
      </c>
      <c r="D859" s="113" t="str">
        <f>IFERROR(INDEX(Product_Structure[SuperCategory Name ENG],MATCH(Товары[[#This Row],[SubGroup]],Product_Structure[Subgroup],0)),"")</f>
        <v>Watering (mobile, sprinkler system&amp;MDS, Ponds)</v>
      </c>
      <c r="E8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59" s="113" t="str">
        <f>IFERROR(INDEX(Product_Structure[Product group],MATCH(Товары[[#This Row],[SubGroup]],Product_Structure[Subgroup],0)),"")</f>
        <v>WMO_C</v>
      </c>
      <c r="G859" s="113" t="str">
        <f>IFERROR(INDEX(Product_Structure[Product group name ENG],MATCH(Товары[[#This Row],[SubGroup]],Product_Structure[Subgroup],0)),"")</f>
        <v>Watering Mobile OGS</v>
      </c>
      <c r="H859" s="113" t="str">
        <f>IFERROR(INDEX(Product_Structure[Generic Name (long)3],MATCH(Товары[[#This Row],[SubGroup]],Product_Structure[Subgroup],0)),"")</f>
        <v>Фитинги для шлангов</v>
      </c>
      <c r="I859" s="36">
        <v>9011</v>
      </c>
      <c r="J859" s="36" t="str">
        <f>IFERROR(INDEX(Product_Structure[Generic Name (long)],MATCH(Товары[[#This Row],[SubGroup]],Product_Structure[Subgroup],0)),"")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Row],[SubGroup]],DIY!$B:$C,2,FALSE),0)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3" t="str">
        <f>IFERROR(INDEX(Product_Structure[SuperCategory],MATCH(Товары[[#This Row],[SubGroup]],Product_Structure[Subgroup],0)),"")</f>
        <v>W</v>
      </c>
      <c r="D860" s="113" t="str">
        <f>IFERROR(INDEX(Product_Structure[SuperCategory Name ENG],MATCH(Товары[[#This Row],[SubGroup]],Product_Structure[Subgroup],0)),"")</f>
        <v>Watering (mobile, sprinkler system&amp;MDS, Ponds)</v>
      </c>
      <c r="E8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0" s="113" t="str">
        <f>IFERROR(INDEX(Product_Structure[Product group],MATCH(Товары[[#This Row],[SubGroup]],Product_Structure[Subgroup],0)),"")</f>
        <v>WMO_C</v>
      </c>
      <c r="G860" s="113" t="str">
        <f>IFERROR(INDEX(Product_Structure[Product group name ENG],MATCH(Товары[[#This Row],[SubGroup]],Product_Structure[Subgroup],0)),"")</f>
        <v>Watering Mobile OGS</v>
      </c>
      <c r="H860" s="113" t="str">
        <f>IFERROR(INDEX(Product_Structure[Generic Name (long)3],MATCH(Товары[[#This Row],[SubGroup]],Product_Structure[Subgroup],0)),"")</f>
        <v>Фитинги для шлангов</v>
      </c>
      <c r="I860" s="36">
        <v>9011</v>
      </c>
      <c r="J860" s="36" t="str">
        <f>IFERROR(INDEX(Product_Structure[Generic Name (long)],MATCH(Товары[[#This Row],[SubGroup]],Product_Structure[Subgroup],0)),"")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Row],[SubGroup]],DIY!$B:$C,2,FALSE),0)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3" t="str">
        <f>IFERROR(INDEX(Product_Structure[SuperCategory],MATCH(Товары[[#This Row],[SubGroup]],Product_Structure[Subgroup],0)),"")</f>
        <v>W</v>
      </c>
      <c r="D861" s="113" t="str">
        <f>IFERROR(INDEX(Product_Structure[SuperCategory Name ENG],MATCH(Товары[[#This Row],[SubGroup]],Product_Structure[Subgroup],0)),"")</f>
        <v>Watering (mobile, sprinkler system&amp;MDS, Ponds)</v>
      </c>
      <c r="E8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1" s="113" t="str">
        <f>IFERROR(INDEX(Product_Structure[Product group],MATCH(Товары[[#This Row],[SubGroup]],Product_Structure[Subgroup],0)),"")</f>
        <v>WMO_C</v>
      </c>
      <c r="G861" s="113" t="str">
        <f>IFERROR(INDEX(Product_Structure[Product group name ENG],MATCH(Товары[[#This Row],[SubGroup]],Product_Structure[Subgroup],0)),"")</f>
        <v>Watering Mobile OGS</v>
      </c>
      <c r="H861" s="113" t="str">
        <f>IFERROR(INDEX(Product_Structure[Generic Name (long)3],MATCH(Товары[[#This Row],[SubGroup]],Product_Structure[Subgroup],0)),"")</f>
        <v>Фитинги для шлангов</v>
      </c>
      <c r="I861" s="36">
        <v>9011</v>
      </c>
      <c r="J861" s="36" t="str">
        <f>IFERROR(INDEX(Product_Structure[Generic Name (long)],MATCH(Товары[[#This Row],[SubGroup]],Product_Structure[Subgroup],0)),"")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Row],[SubGroup]],DIY!$B:$C,2,FALSE),0)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3" t="str">
        <f>IFERROR(INDEX(Product_Structure[SuperCategory],MATCH(Товары[[#This Row],[SubGroup]],Product_Structure[Subgroup],0)),"")</f>
        <v>W</v>
      </c>
      <c r="D862" s="113" t="str">
        <f>IFERROR(INDEX(Product_Structure[SuperCategory Name ENG],MATCH(Товары[[#This Row],[SubGroup]],Product_Structure[Subgroup],0)),"")</f>
        <v>Watering (mobile, sprinkler system&amp;MDS, Ponds)</v>
      </c>
      <c r="E8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2" s="113" t="str">
        <f>IFERROR(INDEX(Product_Structure[Product group],MATCH(Товары[[#This Row],[SubGroup]],Product_Structure[Subgroup],0)),"")</f>
        <v>WMO_C</v>
      </c>
      <c r="G862" s="113" t="str">
        <f>IFERROR(INDEX(Product_Structure[Product group name ENG],MATCH(Товары[[#This Row],[SubGroup]],Product_Structure[Subgroup],0)),"")</f>
        <v>Watering Mobile OGS</v>
      </c>
      <c r="H862" s="113" t="str">
        <f>IFERROR(INDEX(Product_Structure[Generic Name (long)3],MATCH(Товары[[#This Row],[SubGroup]],Product_Structure[Subgroup],0)),"")</f>
        <v>Фитинги для шлангов</v>
      </c>
      <c r="I862" s="36">
        <v>9011</v>
      </c>
      <c r="J862" s="36" t="str">
        <f>IFERROR(INDEX(Product_Structure[Generic Name (long)],MATCH(Товары[[#This Row],[SubGroup]],Product_Structure[Subgroup],0)),"")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Row],[SubGroup]],DIY!$B:$C,2,FALSE),0)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3" t="str">
        <f>IFERROR(INDEX(Product_Structure[SuperCategory],MATCH(Товары[[#This Row],[SubGroup]],Product_Structure[Subgroup],0)),"")</f>
        <v>W</v>
      </c>
      <c r="D863" s="113" t="str">
        <f>IFERROR(INDEX(Product_Structure[SuperCategory Name ENG],MATCH(Товары[[#This Row],[SubGroup]],Product_Structure[Subgroup],0)),"")</f>
        <v>Watering (mobile, sprinkler system&amp;MDS, Ponds)</v>
      </c>
      <c r="E8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3" s="113" t="str">
        <f>IFERROR(INDEX(Product_Structure[Product group],MATCH(Товары[[#This Row],[SubGroup]],Product_Structure[Subgroup],0)),"")</f>
        <v>WMO_C</v>
      </c>
      <c r="G863" s="113" t="str">
        <f>IFERROR(INDEX(Product_Structure[Product group name ENG],MATCH(Товары[[#This Row],[SubGroup]],Product_Structure[Subgroup],0)),"")</f>
        <v>Watering Mobile OGS</v>
      </c>
      <c r="H863" s="113" t="str">
        <f>IFERROR(INDEX(Product_Structure[Generic Name (long)3],MATCH(Товары[[#This Row],[SubGroup]],Product_Structure[Subgroup],0)),"")</f>
        <v>Фитинги для шлангов</v>
      </c>
      <c r="I863" s="36">
        <v>9011</v>
      </c>
      <c r="J863" s="36" t="str">
        <f>IFERROR(INDEX(Product_Structure[Generic Name (long)],MATCH(Товары[[#This Row],[SubGroup]],Product_Structure[Subgroup],0)),"")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Row],[SubGroup]],DIY!$B:$C,2,FALSE),0)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3" t="str">
        <f>IFERROR(INDEX(Product_Structure[SuperCategory],MATCH(Товары[[#This Row],[SubGroup]],Product_Structure[Subgroup],0)),"")</f>
        <v>W</v>
      </c>
      <c r="D864" s="113" t="str">
        <f>IFERROR(INDEX(Product_Structure[SuperCategory Name ENG],MATCH(Товары[[#This Row],[SubGroup]],Product_Structure[Subgroup],0)),"")</f>
        <v>Watering (mobile, sprinkler system&amp;MDS, Ponds)</v>
      </c>
      <c r="E8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4" s="113" t="str">
        <f>IFERROR(INDEX(Product_Structure[Product group],MATCH(Товары[[#This Row],[SubGroup]],Product_Structure[Subgroup],0)),"")</f>
        <v>WMA_C</v>
      </c>
      <c r="G864" s="113" t="str">
        <f>IFERROR(INDEX(Product_Structure[Product group name ENG],MATCH(Товары[[#This Row],[SubGroup]],Product_Structure[Subgroup],0)),"")</f>
        <v>Watering Mobile Attachments</v>
      </c>
      <c r="H864" s="113" t="str">
        <f>IFERROR(INDEX(Product_Structure[Generic Name (long)3],MATCH(Товары[[#This Row],[SubGroup]],Product_Structure[Subgroup],0)),"")</f>
        <v>Наконечники для полива</v>
      </c>
      <c r="I864" s="36">
        <v>9022</v>
      </c>
      <c r="J864" s="36" t="str">
        <f>IFERROR(INDEX(Product_Structure[Generic Name (long)],MATCH(Товары[[#This Row],[SubGroup]],Product_Structure[Subgroup],0)),"")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Row],[SubGroup]],DIY!$B:$C,2,FALSE),0)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3" t="str">
        <f>IFERROR(INDEX(Product_Structure[SuperCategory],MATCH(Товары[[#This Row],[SubGroup]],Product_Structure[Subgroup],0)),"")</f>
        <v>W</v>
      </c>
      <c r="D865" s="113" t="str">
        <f>IFERROR(INDEX(Product_Structure[SuperCategory Name ENG],MATCH(Товары[[#This Row],[SubGroup]],Product_Structure[Subgroup],0)),"")</f>
        <v>Watering (mobile, sprinkler system&amp;MDS, Ponds)</v>
      </c>
      <c r="E8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5" s="113" t="str">
        <f>IFERROR(INDEX(Product_Structure[Product group],MATCH(Товары[[#This Row],[SubGroup]],Product_Structure[Subgroup],0)),"")</f>
        <v>WMA_C</v>
      </c>
      <c r="G865" s="113" t="str">
        <f>IFERROR(INDEX(Product_Structure[Product group name ENG],MATCH(Товары[[#This Row],[SubGroup]],Product_Structure[Subgroup],0)),"")</f>
        <v>Watering Mobile Attachments</v>
      </c>
      <c r="H865" s="113" t="str">
        <f>IFERROR(INDEX(Product_Structure[Generic Name (long)3],MATCH(Товары[[#This Row],[SubGroup]],Product_Structure[Subgroup],0)),"")</f>
        <v>Наконечники для полива</v>
      </c>
      <c r="I865" s="36">
        <v>9022</v>
      </c>
      <c r="J865" s="36" t="str">
        <f>IFERROR(INDEX(Product_Structure[Generic Name (long)],MATCH(Товары[[#This Row],[SubGroup]],Product_Structure[Subgroup],0)),"")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Row],[SubGroup]],DIY!$B:$C,2,FALSE),0)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3" t="str">
        <f>IFERROR(INDEX(Product_Structure[SuperCategory],MATCH(Товары[[#This Row],[SubGroup]],Product_Structure[Subgroup],0)),"")</f>
        <v>W</v>
      </c>
      <c r="D866" s="113" t="str">
        <f>IFERROR(INDEX(Product_Structure[SuperCategory Name ENG],MATCH(Товары[[#This Row],[SubGroup]],Product_Structure[Subgroup],0)),"")</f>
        <v>Watering (mobile, sprinkler system&amp;MDS, Ponds)</v>
      </c>
      <c r="E8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6" s="113" t="str">
        <f>IFERROR(INDEX(Product_Structure[Product group],MATCH(Товары[[#This Row],[SubGroup]],Product_Structure[Subgroup],0)),"")</f>
        <v>WMA_C</v>
      </c>
      <c r="G866" s="113" t="str">
        <f>IFERROR(INDEX(Product_Structure[Product group name ENG],MATCH(Товары[[#This Row],[SubGroup]],Product_Structure[Subgroup],0)),"")</f>
        <v>Watering Mobile Attachments</v>
      </c>
      <c r="H866" s="113" t="str">
        <f>IFERROR(INDEX(Product_Structure[Generic Name (long)3],MATCH(Товары[[#This Row],[SubGroup]],Product_Structure[Subgroup],0)),"")</f>
        <v>Наконечники для полива</v>
      </c>
      <c r="I866" s="36">
        <v>9022</v>
      </c>
      <c r="J866" s="36" t="str">
        <f>IFERROR(INDEX(Product_Structure[Generic Name (long)],MATCH(Товары[[#This Row],[SubGroup]],Product_Structure[Subgroup],0)),"")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Row],[SubGroup]],DIY!$B:$C,2,FALSE),0)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3" t="str">
        <f>IFERROR(INDEX(Product_Structure[SuperCategory],MATCH(Товары[[#This Row],[SubGroup]],Product_Structure[Subgroup],0)),"")</f>
        <v>W</v>
      </c>
      <c r="D867" s="113" t="str">
        <f>IFERROR(INDEX(Product_Structure[SuperCategory Name ENG],MATCH(Товары[[#This Row],[SubGroup]],Product_Structure[Subgroup],0)),"")</f>
        <v>Watering (mobile, sprinkler system&amp;MDS, Ponds)</v>
      </c>
      <c r="E8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7" s="113" t="str">
        <f>IFERROR(INDEX(Product_Structure[Product group],MATCH(Товары[[#This Row],[SubGroup]],Product_Structure[Subgroup],0)),"")</f>
        <v>WMA_C</v>
      </c>
      <c r="G867" s="113" t="str">
        <f>IFERROR(INDEX(Product_Structure[Product group name ENG],MATCH(Товары[[#This Row],[SubGroup]],Product_Structure[Subgroup],0)),"")</f>
        <v>Watering Mobile Attachments</v>
      </c>
      <c r="H867" s="113" t="str">
        <f>IFERROR(INDEX(Product_Structure[Generic Name (long)3],MATCH(Товары[[#This Row],[SubGroup]],Product_Structure[Subgroup],0)),"")</f>
        <v>Наконечники для полива</v>
      </c>
      <c r="I867" s="36">
        <v>9022</v>
      </c>
      <c r="J867" s="36" t="str">
        <f>IFERROR(INDEX(Product_Structure[Generic Name (long)],MATCH(Товары[[#This Row],[SubGroup]],Product_Structure[Subgroup],0)),"")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Row],[SubGroup]],DIY!$B:$C,2,FALSE),0)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3" t="str">
        <f>IFERROR(INDEX(Product_Structure[SuperCategory],MATCH(Товары[[#This Row],[SubGroup]],Product_Structure[Subgroup],0)),"")</f>
        <v>W</v>
      </c>
      <c r="D868" s="113" t="str">
        <f>IFERROR(INDEX(Product_Structure[SuperCategory Name ENG],MATCH(Товары[[#This Row],[SubGroup]],Product_Structure[Subgroup],0)),"")</f>
        <v>Watering (mobile, sprinkler system&amp;MDS, Ponds)</v>
      </c>
      <c r="E8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8" s="113" t="str">
        <f>IFERROR(INDEX(Product_Structure[Product group],MATCH(Товары[[#This Row],[SubGroup]],Product_Structure[Subgroup],0)),"")</f>
        <v>WMO_C</v>
      </c>
      <c r="G868" s="113" t="str">
        <f>IFERROR(INDEX(Product_Structure[Product group name ENG],MATCH(Товары[[#This Row],[SubGroup]],Product_Structure[Subgroup],0)),"")</f>
        <v>Watering Mobile OGS</v>
      </c>
      <c r="H868" s="113" t="str">
        <f>IFERROR(INDEX(Product_Structure[Generic Name (long)3],MATCH(Товары[[#This Row],[SubGroup]],Product_Structure[Subgroup],0)),"")</f>
        <v>Фитинги для шлангов</v>
      </c>
      <c r="I868" s="36">
        <v>9011</v>
      </c>
      <c r="J868" s="36" t="str">
        <f>IFERROR(INDEX(Product_Structure[Generic Name (long)],MATCH(Товары[[#This Row],[SubGroup]],Product_Structure[Subgroup],0)),"")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Row],[SubGroup]],DIY!$B:$C,2,FALSE),0)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3" t="str">
        <f>IFERROR(INDEX(Product_Structure[SuperCategory],MATCH(Товары[[#This Row],[SubGroup]],Product_Structure[Subgroup],0)),"")</f>
        <v>W</v>
      </c>
      <c r="D869" s="113" t="str">
        <f>IFERROR(INDEX(Product_Structure[SuperCategory Name ENG],MATCH(Товары[[#This Row],[SubGroup]],Product_Structure[Subgroup],0)),"")</f>
        <v>Watering (mobile, sprinkler system&amp;MDS, Ponds)</v>
      </c>
      <c r="E8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69" s="113" t="str">
        <f>IFERROR(INDEX(Product_Structure[Product group],MATCH(Товары[[#This Row],[SubGroup]],Product_Structure[Subgroup],0)),"")</f>
        <v>WMA_C</v>
      </c>
      <c r="G869" s="113" t="str">
        <f>IFERROR(INDEX(Product_Structure[Product group name ENG],MATCH(Товары[[#This Row],[SubGroup]],Product_Structure[Subgroup],0)),"")</f>
        <v>Watering Mobile Attachments</v>
      </c>
      <c r="H869" s="113" t="str">
        <f>IFERROR(INDEX(Product_Structure[Generic Name (long)3],MATCH(Товары[[#This Row],[SubGroup]],Product_Structure[Subgroup],0)),"")</f>
        <v>Наконечники для полива</v>
      </c>
      <c r="I869" s="36">
        <v>9022</v>
      </c>
      <c r="J869" s="36" t="str">
        <f>IFERROR(INDEX(Product_Structure[Generic Name (long)],MATCH(Товары[[#This Row],[SubGroup]],Product_Structure[Subgroup],0)),"")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Row],[SubGroup]],DIY!$B:$C,2,FALSE),0)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3" t="str">
        <f>IFERROR(INDEX(Product_Structure[SuperCategory],MATCH(Товары[[#This Row],[SubGroup]],Product_Structure[Subgroup],0)),"")</f>
        <v>W</v>
      </c>
      <c r="D870" s="113" t="str">
        <f>IFERROR(INDEX(Product_Structure[SuperCategory Name ENG],MATCH(Товары[[#This Row],[SubGroup]],Product_Structure[Subgroup],0)),"")</f>
        <v>Watering (mobile, sprinkler system&amp;MDS, Ponds)</v>
      </c>
      <c r="E8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0" s="113" t="str">
        <f>IFERROR(INDEX(Product_Structure[Product group],MATCH(Товары[[#This Row],[SubGroup]],Product_Structure[Subgroup],0)),"")</f>
        <v>WMA_C</v>
      </c>
      <c r="G870" s="113" t="str">
        <f>IFERROR(INDEX(Product_Structure[Product group name ENG],MATCH(Товары[[#This Row],[SubGroup]],Product_Structure[Subgroup],0)),"")</f>
        <v>Watering Mobile Attachments</v>
      </c>
      <c r="H870" s="113" t="str">
        <f>IFERROR(INDEX(Product_Structure[Generic Name (long)3],MATCH(Товары[[#This Row],[SubGroup]],Product_Structure[Subgroup],0)),"")</f>
        <v>Наконечники для полива</v>
      </c>
      <c r="I870" s="36">
        <v>9022</v>
      </c>
      <c r="J870" s="36" t="str">
        <f>IFERROR(INDEX(Product_Structure[Generic Name (long)],MATCH(Товары[[#This Row],[SubGroup]],Product_Structure[Subgroup],0)),"")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Row],[SubGroup]],DIY!$B:$C,2,FALSE),0)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3" t="str">
        <f>IFERROR(INDEX(Product_Structure[SuperCategory],MATCH(Товары[[#This Row],[SubGroup]],Product_Structure[Subgroup],0)),"")</f>
        <v>W</v>
      </c>
      <c r="D871" s="113" t="str">
        <f>IFERROR(INDEX(Product_Structure[SuperCategory Name ENG],MATCH(Товары[[#This Row],[SubGroup]],Product_Structure[Subgroup],0)),"")</f>
        <v>Watering (mobile, sprinkler system&amp;MDS, Ponds)</v>
      </c>
      <c r="E8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1" s="113" t="str">
        <f>IFERROR(INDEX(Product_Structure[Product group],MATCH(Товары[[#This Row],[SubGroup]],Product_Structure[Subgroup],0)),"")</f>
        <v>WMA_C</v>
      </c>
      <c r="G871" s="113" t="str">
        <f>IFERROR(INDEX(Product_Structure[Product group name ENG],MATCH(Товары[[#This Row],[SubGroup]],Product_Structure[Subgroup],0)),"")</f>
        <v>Watering Mobile Attachments</v>
      </c>
      <c r="H871" s="113" t="str">
        <f>IFERROR(INDEX(Product_Structure[Generic Name (long)3],MATCH(Товары[[#This Row],[SubGroup]],Product_Structure[Subgroup],0)),"")</f>
        <v>Наконечники для полива</v>
      </c>
      <c r="I871" s="36">
        <v>9022</v>
      </c>
      <c r="J871" s="36" t="str">
        <f>IFERROR(INDEX(Product_Structure[Generic Name (long)],MATCH(Товары[[#This Row],[SubGroup]],Product_Structure[Subgroup],0)),"")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Row],[SubGroup]],DIY!$B:$C,2,FALSE),0)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3" t="str">
        <f>IFERROR(INDEX(Product_Structure[SuperCategory],MATCH(Товары[[#This Row],[SubGroup]],Product_Structure[Subgroup],0)),"")</f>
        <v>W</v>
      </c>
      <c r="D872" s="113" t="str">
        <f>IFERROR(INDEX(Product_Structure[SuperCategory Name ENG],MATCH(Товары[[#This Row],[SubGroup]],Product_Structure[Subgroup],0)),"")</f>
        <v>Watering (mobile, sprinkler system&amp;MDS, Ponds)</v>
      </c>
      <c r="E8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2" s="113" t="str">
        <f>IFERROR(INDEX(Product_Structure[Product group],MATCH(Товары[[#This Row],[SubGroup]],Product_Structure[Subgroup],0)),"")</f>
        <v>WMO_C</v>
      </c>
      <c r="G872" s="113" t="str">
        <f>IFERROR(INDEX(Product_Structure[Product group name ENG],MATCH(Товары[[#This Row],[SubGroup]],Product_Structure[Subgroup],0)),"")</f>
        <v>Watering Mobile OGS</v>
      </c>
      <c r="H872" s="113" t="str">
        <f>IFERROR(INDEX(Product_Structure[Generic Name (long)3],MATCH(Товары[[#This Row],[SubGroup]],Product_Structure[Subgroup],0)),"")</f>
        <v>Фитинги для шлангов</v>
      </c>
      <c r="I872" s="36">
        <v>9011</v>
      </c>
      <c r="J872" s="36" t="str">
        <f>IFERROR(INDEX(Product_Structure[Generic Name (long)],MATCH(Товары[[#This Row],[SubGroup]],Product_Structure[Subgroup],0)),"")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Row],[SubGroup]],DIY!$B:$C,2,FALSE),0)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3" t="str">
        <f>IFERROR(INDEX(Product_Structure[SuperCategory],MATCH(Товары[[#This Row],[SubGroup]],Product_Structure[Subgroup],0)),"")</f>
        <v>W</v>
      </c>
      <c r="D873" s="113" t="str">
        <f>IFERROR(INDEX(Product_Structure[SuperCategory Name ENG],MATCH(Товары[[#This Row],[SubGroup]],Product_Structure[Subgroup],0)),"")</f>
        <v>Watering (mobile, sprinkler system&amp;MDS, Ponds)</v>
      </c>
      <c r="E8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3" s="113" t="str">
        <f>IFERROR(INDEX(Product_Structure[Product group],MATCH(Товары[[#This Row],[SubGroup]],Product_Structure[Subgroup],0)),"")</f>
        <v>WMT_C</v>
      </c>
      <c r="G873" s="113" t="str">
        <f>IFERROR(INDEX(Product_Structure[Product group name ENG],MATCH(Товары[[#This Row],[SubGroup]],Product_Structure[Subgroup],0)),"")</f>
        <v>Watering Mobile Trolleys/ hose reels</v>
      </c>
      <c r="H873" s="113" t="str">
        <f>IFERROR(INDEX(Product_Structure[Generic Name (long)3],MATCH(Товары[[#This Row],[SubGroup]],Product_Structure[Subgroup],0)),"")</f>
        <v>Тележки и катушки для шлангов</v>
      </c>
      <c r="I873" s="36">
        <v>9015</v>
      </c>
      <c r="J873" s="36" t="str">
        <f>IFERROR(INDEX(Product_Structure[Generic Name (long)],MATCH(Товары[[#This Row],[SubGroup]],Product_Structure[Subgroup],0)),"")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Row],[SubGroup]],DIY!$B:$C,2,FALSE),0)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3" t="str">
        <f>IFERROR(INDEX(Product_Structure[SuperCategory],MATCH(Товары[[#This Row],[SubGroup]],Product_Structure[Subgroup],0)),"")</f>
        <v>W</v>
      </c>
      <c r="D874" s="113" t="str">
        <f>IFERROR(INDEX(Product_Structure[SuperCategory Name ENG],MATCH(Товары[[#This Row],[SubGroup]],Product_Structure[Subgroup],0)),"")</f>
        <v>Watering (mobile, sprinkler system&amp;MDS, Ponds)</v>
      </c>
      <c r="E8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4" s="113" t="str">
        <f>IFERROR(INDEX(Product_Structure[Product group],MATCH(Товары[[#This Row],[SubGroup]],Product_Structure[Subgroup],0)),"")</f>
        <v>WMT_C</v>
      </c>
      <c r="G874" s="113" t="str">
        <f>IFERROR(INDEX(Product_Structure[Product group name ENG],MATCH(Товары[[#This Row],[SubGroup]],Product_Structure[Subgroup],0)),"")</f>
        <v>Watering Mobile Trolleys/ hose reels</v>
      </c>
      <c r="H874" s="113" t="str">
        <f>IFERROR(INDEX(Product_Structure[Generic Name (long)3],MATCH(Товары[[#This Row],[SubGroup]],Product_Structure[Subgroup],0)),"")</f>
        <v>Тележки и катушки для шлангов</v>
      </c>
      <c r="I874" s="36">
        <v>9015</v>
      </c>
      <c r="J874" s="36" t="str">
        <f>IFERROR(INDEX(Product_Structure[Generic Name (long)],MATCH(Товары[[#This Row],[SubGroup]],Product_Structure[Subgroup],0)),"")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Row],[SubGroup]],DIY!$B:$C,2,FALSE),0)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3" t="str">
        <f>IFERROR(INDEX(Product_Structure[SuperCategory],MATCH(Товары[[#This Row],[SubGroup]],Product_Structure[Subgroup],0)),"")</f>
        <v>W</v>
      </c>
      <c r="D875" s="113" t="str">
        <f>IFERROR(INDEX(Product_Structure[SuperCategory Name ENG],MATCH(Товары[[#This Row],[SubGroup]],Product_Structure[Subgroup],0)),"")</f>
        <v>Watering (mobile, sprinkler system&amp;MDS, Ponds)</v>
      </c>
      <c r="E8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5" s="113" t="str">
        <f>IFERROR(INDEX(Product_Structure[Product group],MATCH(Товары[[#This Row],[SubGroup]],Product_Structure[Subgroup],0)),"")</f>
        <v>WMT_C</v>
      </c>
      <c r="G875" s="113" t="str">
        <f>IFERROR(INDEX(Product_Structure[Product group name ENG],MATCH(Товары[[#This Row],[SubGroup]],Product_Structure[Subgroup],0)),"")</f>
        <v>Watering Mobile Trolleys/ hose reels</v>
      </c>
      <c r="H875" s="113" t="str">
        <f>IFERROR(INDEX(Product_Structure[Generic Name (long)3],MATCH(Товары[[#This Row],[SubGroup]],Product_Structure[Subgroup],0)),"")</f>
        <v>Тележки и катушки для шлангов</v>
      </c>
      <c r="I875" s="36">
        <v>9015</v>
      </c>
      <c r="J875" s="36" t="str">
        <f>IFERROR(INDEX(Product_Structure[Generic Name (long)],MATCH(Товары[[#This Row],[SubGroup]],Product_Structure[Subgroup],0)),"")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Row],[SubGroup]],DIY!$B:$C,2,FALSE),0)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3" t="str">
        <f>IFERROR(INDEX(Product_Structure[SuperCategory],MATCH(Товары[[#This Row],[SubGroup]],Product_Structure[Subgroup],0)),"")</f>
        <v>W</v>
      </c>
      <c r="D876" s="113" t="str">
        <f>IFERROR(INDEX(Product_Structure[SuperCategory Name ENG],MATCH(Товары[[#This Row],[SubGroup]],Product_Structure[Subgroup],0)),"")</f>
        <v>Watering (mobile, sprinkler system&amp;MDS, Ponds)</v>
      </c>
      <c r="E8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6" s="113" t="str">
        <f>IFERROR(INDEX(Product_Structure[Product group],MATCH(Товары[[#This Row],[SubGroup]],Product_Structure[Subgroup],0)),"")</f>
        <v>WMT_C</v>
      </c>
      <c r="G876" s="113" t="str">
        <f>IFERROR(INDEX(Product_Structure[Product group name ENG],MATCH(Товары[[#This Row],[SubGroup]],Product_Structure[Subgroup],0)),"")</f>
        <v>Watering Mobile Trolleys/ hose reels</v>
      </c>
      <c r="H876" s="113" t="str">
        <f>IFERROR(INDEX(Product_Structure[Generic Name (long)3],MATCH(Товары[[#This Row],[SubGroup]],Product_Structure[Subgroup],0)),"")</f>
        <v>Тележки и катушки для шлангов</v>
      </c>
      <c r="I876" s="36">
        <v>9015</v>
      </c>
      <c r="J876" s="36" t="str">
        <f>IFERROR(INDEX(Product_Structure[Generic Name (long)],MATCH(Товары[[#This Row],[SubGroup]],Product_Structure[Subgroup],0)),"")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Row],[SubGroup]],DIY!$B:$C,2,FALSE),0)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3" t="str">
        <f>IFERROR(INDEX(Product_Structure[SuperCategory],MATCH(Товары[[#This Row],[SubGroup]],Product_Structure[Subgroup],0)),"")</f>
        <v>W</v>
      </c>
      <c r="D877" s="113" t="str">
        <f>IFERROR(INDEX(Product_Structure[SuperCategory Name ENG],MATCH(Товары[[#This Row],[SubGroup]],Product_Structure[Subgroup],0)),"")</f>
        <v>Watering (mobile, sprinkler system&amp;MDS, Ponds)</v>
      </c>
      <c r="E8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7" s="113" t="str">
        <f>IFERROR(INDEX(Product_Structure[Product group],MATCH(Товары[[#This Row],[SubGroup]],Product_Structure[Subgroup],0)),"")</f>
        <v>WMH_C</v>
      </c>
      <c r="G877" s="113" t="str">
        <f>IFERROR(INDEX(Product_Structure[Product group name ENG],MATCH(Товары[[#This Row],[SubGroup]],Product_Structure[Subgroup],0)),"")</f>
        <v>Watering Mobile Hoses</v>
      </c>
      <c r="H877" s="113" t="str">
        <f>IFERROR(INDEX(Product_Structure[Generic Name (long)3],MATCH(Товары[[#This Row],[SubGroup]],Product_Structure[Subgroup],0)),"")</f>
        <v>Садовые шланги</v>
      </c>
      <c r="I877" s="36">
        <v>9014</v>
      </c>
      <c r="J877" s="36" t="str">
        <f>IFERROR(INDEX(Product_Structure[Generic Name (long)],MATCH(Товары[[#This Row],[SubGroup]],Product_Structure[Subgroup],0)),"")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Row],[SubGroup]],DIY!$B:$C,2,FALSE),0)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3" t="str">
        <f>IFERROR(INDEX(Product_Structure[SuperCategory],MATCH(Товары[[#This Row],[SubGroup]],Product_Structure[Subgroup],0)),"")</f>
        <v>W</v>
      </c>
      <c r="D878" s="113" t="str">
        <f>IFERROR(INDEX(Product_Structure[SuperCategory Name ENG],MATCH(Товары[[#This Row],[SubGroup]],Product_Structure[Subgroup],0)),"")</f>
        <v>Watering (mobile, sprinkler system&amp;MDS, Ponds)</v>
      </c>
      <c r="E8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8" s="113" t="str">
        <f>IFERROR(INDEX(Product_Structure[Product group],MATCH(Товары[[#This Row],[SubGroup]],Product_Structure[Subgroup],0)),"")</f>
        <v>WMH_C</v>
      </c>
      <c r="G878" s="113" t="str">
        <f>IFERROR(INDEX(Product_Structure[Product group name ENG],MATCH(Товары[[#This Row],[SubGroup]],Product_Structure[Subgroup],0)),"")</f>
        <v>Watering Mobile Hoses</v>
      </c>
      <c r="H878" s="113" t="str">
        <f>IFERROR(INDEX(Product_Structure[Generic Name (long)3],MATCH(Товары[[#This Row],[SubGroup]],Product_Structure[Subgroup],0)),"")</f>
        <v>Садовые шланги</v>
      </c>
      <c r="I878" s="36">
        <v>9014</v>
      </c>
      <c r="J878" s="36" t="str">
        <f>IFERROR(INDEX(Product_Structure[Generic Name (long)],MATCH(Товары[[#This Row],[SubGroup]],Product_Structure[Subgroup],0)),"")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Row],[SubGroup]],DIY!$B:$C,2,FALSE),0)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3" t="str">
        <f>IFERROR(INDEX(Product_Structure[SuperCategory],MATCH(Товары[[#This Row],[SubGroup]],Product_Structure[Subgroup],0)),"")</f>
        <v>W</v>
      </c>
      <c r="D879" s="113" t="str">
        <f>IFERROR(INDEX(Product_Structure[SuperCategory Name ENG],MATCH(Товары[[#This Row],[SubGroup]],Product_Structure[Subgroup],0)),"")</f>
        <v>Watering (mobile, sprinkler system&amp;MDS, Ponds)</v>
      </c>
      <c r="E8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79" s="113" t="str">
        <f>IFERROR(INDEX(Product_Structure[Product group],MATCH(Товары[[#This Row],[SubGroup]],Product_Structure[Subgroup],0)),"")</f>
        <v>WMO_C</v>
      </c>
      <c r="G879" s="113" t="str">
        <f>IFERROR(INDEX(Product_Structure[Product group name ENG],MATCH(Товары[[#This Row],[SubGroup]],Product_Structure[Subgroup],0)),"")</f>
        <v>Watering Mobile OGS</v>
      </c>
      <c r="H879" s="113" t="str">
        <f>IFERROR(INDEX(Product_Structure[Generic Name (long)3],MATCH(Товары[[#This Row],[SubGroup]],Product_Structure[Subgroup],0)),"")</f>
        <v>Комплекты фитингов</v>
      </c>
      <c r="I879" s="36">
        <v>9012</v>
      </c>
      <c r="J879" s="36" t="str">
        <f>IFERROR(INDEX(Product_Structure[Generic Name (long)],MATCH(Товары[[#This Row],[SubGroup]],Product_Structure[Subgroup],0)),"")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Row],[SubGroup]],DIY!$B:$C,2,FALSE),0)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3" t="str">
        <f>IFERROR(INDEX(Product_Structure[SuperCategory],MATCH(Товары[[#This Row],[SubGroup]],Product_Structure[Subgroup],0)),"")</f>
        <v>W</v>
      </c>
      <c r="D880" s="113" t="str">
        <f>IFERROR(INDEX(Product_Structure[SuperCategory Name ENG],MATCH(Товары[[#This Row],[SubGroup]],Product_Structure[Subgroup],0)),"")</f>
        <v>Watering (mobile, sprinkler system&amp;MDS, Ponds)</v>
      </c>
      <c r="E8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0" s="113" t="str">
        <f>IFERROR(INDEX(Product_Structure[Product group],MATCH(Товары[[#This Row],[SubGroup]],Product_Structure[Subgroup],0)),"")</f>
        <v>WMA_C</v>
      </c>
      <c r="G880" s="113" t="str">
        <f>IFERROR(INDEX(Product_Structure[Product group name ENG],MATCH(Товары[[#This Row],[SubGroup]],Product_Structure[Subgroup],0)),"")</f>
        <v>Watering Mobile Attachments</v>
      </c>
      <c r="H880" s="113" t="str">
        <f>IFERROR(INDEX(Product_Structure[Generic Name (long)3],MATCH(Товары[[#This Row],[SubGroup]],Product_Structure[Subgroup],0)),"")</f>
        <v>Наконечники для полива</v>
      </c>
      <c r="I880" s="36">
        <v>9022</v>
      </c>
      <c r="J880" s="36" t="str">
        <f>IFERROR(INDEX(Product_Structure[Generic Name (long)],MATCH(Товары[[#This Row],[SubGroup]],Product_Structure[Subgroup],0)),"")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Row],[SubGroup]],DIY!$B:$C,2,FALSE),0)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3" t="str">
        <f>IFERROR(INDEX(Product_Structure[SuperCategory],MATCH(Товары[[#This Row],[SubGroup]],Product_Structure[Subgroup],0)),"")</f>
        <v>W</v>
      </c>
      <c r="D881" s="113" t="str">
        <f>IFERROR(INDEX(Product_Structure[SuperCategory Name ENG],MATCH(Товары[[#This Row],[SubGroup]],Product_Structure[Subgroup],0)),"")</f>
        <v>Watering (mobile, sprinkler system&amp;MDS, Ponds)</v>
      </c>
      <c r="E8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1" s="113" t="str">
        <f>IFERROR(INDEX(Product_Structure[Product group],MATCH(Товары[[#This Row],[SubGroup]],Product_Structure[Subgroup],0)),"")</f>
        <v>WMA_C</v>
      </c>
      <c r="G881" s="113" t="str">
        <f>IFERROR(INDEX(Product_Structure[Product group name ENG],MATCH(Товары[[#This Row],[SubGroup]],Product_Structure[Subgroup],0)),"")</f>
        <v>Watering Mobile Attachments</v>
      </c>
      <c r="H881" s="113" t="str">
        <f>IFERROR(INDEX(Product_Structure[Generic Name (long)3],MATCH(Товары[[#This Row],[SubGroup]],Product_Structure[Subgroup],0)),"")</f>
        <v>Наконечники для полива</v>
      </c>
      <c r="I881" s="36">
        <v>9022</v>
      </c>
      <c r="J881" s="36" t="str">
        <f>IFERROR(INDEX(Product_Structure[Generic Name (long)],MATCH(Товары[[#This Row],[SubGroup]],Product_Structure[Subgroup],0)),"")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Row],[SubGroup]],DIY!$B:$C,2,FALSE),0)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3" t="str">
        <f>IFERROR(INDEX(Product_Structure[SuperCategory],MATCH(Товары[[#This Row],[SubGroup]],Product_Structure[Subgroup],0)),"")</f>
        <v>W</v>
      </c>
      <c r="D882" s="113" t="str">
        <f>IFERROR(INDEX(Product_Structure[SuperCategory Name ENG],MATCH(Товары[[#This Row],[SubGroup]],Product_Structure[Subgroup],0)),"")</f>
        <v>Watering (mobile, sprinkler system&amp;MDS, Ponds)</v>
      </c>
      <c r="E8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2" s="113" t="str">
        <f>IFERROR(INDEX(Product_Structure[Product group],MATCH(Товары[[#This Row],[SubGroup]],Product_Structure[Subgroup],0)),"")</f>
        <v>WMA_C</v>
      </c>
      <c r="G882" s="113" t="str">
        <f>IFERROR(INDEX(Product_Structure[Product group name ENG],MATCH(Товары[[#This Row],[SubGroup]],Product_Structure[Subgroup],0)),"")</f>
        <v>Watering Mobile Attachments</v>
      </c>
      <c r="H882" s="113" t="str">
        <f>IFERROR(INDEX(Product_Structure[Generic Name (long)3],MATCH(Товары[[#This Row],[SubGroup]],Product_Structure[Subgroup],0)),"")</f>
        <v>Наконечники для полива</v>
      </c>
      <c r="I882" s="36">
        <v>9022</v>
      </c>
      <c r="J882" s="36" t="str">
        <f>IFERROR(INDEX(Product_Structure[Generic Name (long)],MATCH(Товары[[#This Row],[SubGroup]],Product_Structure[Subgroup],0)),"")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Row],[SubGroup]],DIY!$B:$C,2,FALSE),0)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3" t="str">
        <f>IFERROR(INDEX(Product_Structure[SuperCategory],MATCH(Товары[[#This Row],[SubGroup]],Product_Structure[Subgroup],0)),"")</f>
        <v>W</v>
      </c>
      <c r="D883" s="113" t="str">
        <f>IFERROR(INDEX(Product_Structure[SuperCategory Name ENG],MATCH(Товары[[#This Row],[SubGroup]],Product_Structure[Subgroup],0)),"")</f>
        <v>Watering (mobile, sprinkler system&amp;MDS, Ponds)</v>
      </c>
      <c r="E8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3" s="113" t="str">
        <f>IFERROR(INDEX(Product_Structure[Product group],MATCH(Товары[[#This Row],[SubGroup]],Product_Structure[Subgroup],0)),"")</f>
        <v>WMO_C</v>
      </c>
      <c r="G883" s="113" t="str">
        <f>IFERROR(INDEX(Product_Structure[Product group name ENG],MATCH(Товары[[#This Row],[SubGroup]],Product_Structure[Subgroup],0)),"")</f>
        <v>Watering Mobile OGS</v>
      </c>
      <c r="H883" s="113" t="str">
        <f>IFERROR(INDEX(Product_Structure[Generic Name (long)3],MATCH(Товары[[#This Row],[SubGroup]],Product_Structure[Subgroup],0)),"")</f>
        <v>Комплекты фитингов</v>
      </c>
      <c r="I883" s="36">
        <v>9012</v>
      </c>
      <c r="J883" s="36" t="str">
        <f>IFERROR(INDEX(Product_Structure[Generic Name (long)],MATCH(Товары[[#This Row],[SubGroup]],Product_Structure[Subgroup],0)),"")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Row],[SubGroup]],DIY!$B:$C,2,FALSE),0)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3" t="str">
        <f>IFERROR(INDEX(Product_Structure[SuperCategory],MATCH(Товары[[#This Row],[SubGroup]],Product_Structure[Subgroup],0)),"")</f>
        <v>W</v>
      </c>
      <c r="D884" s="113" t="str">
        <f>IFERROR(INDEX(Product_Structure[SuperCategory Name ENG],MATCH(Товары[[#This Row],[SubGroup]],Product_Structure[Subgroup],0)),"")</f>
        <v>Watering (mobile, sprinkler system&amp;MDS, Ponds)</v>
      </c>
      <c r="E8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4" s="113" t="str">
        <f>IFERROR(INDEX(Product_Structure[Product group],MATCH(Товары[[#This Row],[SubGroup]],Product_Structure[Subgroup],0)),"")</f>
        <v>WMO_C</v>
      </c>
      <c r="G884" s="113" t="str">
        <f>IFERROR(INDEX(Product_Structure[Product group name ENG],MATCH(Товары[[#This Row],[SubGroup]],Product_Structure[Subgroup],0)),"")</f>
        <v>Watering Mobile OGS</v>
      </c>
      <c r="H884" s="113" t="str">
        <f>IFERROR(INDEX(Product_Structure[Generic Name (long)3],MATCH(Товары[[#This Row],[SubGroup]],Product_Structure[Subgroup],0)),"")</f>
        <v>Комплекты фитингов</v>
      </c>
      <c r="I884" s="36">
        <v>9012</v>
      </c>
      <c r="J884" s="36" t="str">
        <f>IFERROR(INDEX(Product_Structure[Generic Name (long)],MATCH(Товары[[#This Row],[SubGroup]],Product_Structure[Subgroup],0)),"")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Row],[SubGroup]],DIY!$B:$C,2,FALSE),0)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3" t="str">
        <f>IFERROR(INDEX(Product_Structure[SuperCategory],MATCH(Товары[[#This Row],[SubGroup]],Product_Structure[Subgroup],0)),"")</f>
        <v>W</v>
      </c>
      <c r="D885" s="113" t="str">
        <f>IFERROR(INDEX(Product_Structure[SuperCategory Name ENG],MATCH(Товары[[#This Row],[SubGroup]],Product_Structure[Subgroup],0)),"")</f>
        <v>Watering (mobile, sprinkler system&amp;MDS, Ponds)</v>
      </c>
      <c r="E8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5" s="113" t="str">
        <f>IFERROR(INDEX(Product_Structure[Product group],MATCH(Товары[[#This Row],[SubGroup]],Product_Structure[Subgroup],0)),"")</f>
        <v>WMT_C</v>
      </c>
      <c r="G885" s="113" t="str">
        <f>IFERROR(INDEX(Product_Structure[Product group name ENG],MATCH(Товары[[#This Row],[SubGroup]],Product_Structure[Subgroup],0)),"")</f>
        <v>Watering Mobile Trolleys/ hose reels</v>
      </c>
      <c r="H885" s="113" t="str">
        <f>IFERROR(INDEX(Product_Structure[Generic Name (long)3],MATCH(Товары[[#This Row],[SubGroup]],Product_Structure[Subgroup],0)),"")</f>
        <v>Тележки и катушки для шлангов</v>
      </c>
      <c r="I885" s="36">
        <v>9015</v>
      </c>
      <c r="J885" s="36" t="str">
        <f>IFERROR(INDEX(Product_Structure[Generic Name (long)],MATCH(Товары[[#This Row],[SubGroup]],Product_Structure[Subgroup],0)),"")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Row],[SubGroup]],DIY!$B:$C,2,FALSE),0)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3" t="str">
        <f>IFERROR(INDEX(Product_Structure[SuperCategory],MATCH(Товары[[#This Row],[SubGroup]],Product_Structure[Subgroup],0)),"")</f>
        <v>W</v>
      </c>
      <c r="D886" s="113" t="str">
        <f>IFERROR(INDEX(Product_Structure[SuperCategory Name ENG],MATCH(Товары[[#This Row],[SubGroup]],Product_Structure[Subgroup],0)),"")</f>
        <v>Watering (mobile, sprinkler system&amp;MDS, Ponds)</v>
      </c>
      <c r="E8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6" s="113" t="str">
        <f>IFERROR(INDEX(Product_Structure[Product group],MATCH(Товары[[#This Row],[SubGroup]],Product_Structure[Subgroup],0)),"")</f>
        <v>WMT_C</v>
      </c>
      <c r="G886" s="113" t="str">
        <f>IFERROR(INDEX(Product_Structure[Product group name ENG],MATCH(Товары[[#This Row],[SubGroup]],Product_Structure[Subgroup],0)),"")</f>
        <v>Watering Mobile Trolleys/ hose reels</v>
      </c>
      <c r="H886" s="113" t="str">
        <f>IFERROR(INDEX(Product_Structure[Generic Name (long)3],MATCH(Товары[[#This Row],[SubGroup]],Product_Structure[Subgroup],0)),"")</f>
        <v>Тележки и катушки для шлангов</v>
      </c>
      <c r="I886" s="36">
        <v>9015</v>
      </c>
      <c r="J886" s="36" t="str">
        <f>IFERROR(INDEX(Product_Structure[Generic Name (long)],MATCH(Товары[[#This Row],[SubGroup]],Product_Structure[Subgroup],0)),"")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Row],[SubGroup]],DIY!$B:$C,2,FALSE),0)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3" t="str">
        <f>IFERROR(INDEX(Product_Structure[SuperCategory],MATCH(Товары[[#This Row],[SubGroup]],Product_Structure[Subgroup],0)),"")</f>
        <v>W</v>
      </c>
      <c r="D887" s="113" t="str">
        <f>IFERROR(INDEX(Product_Structure[SuperCategory Name ENG],MATCH(Товары[[#This Row],[SubGroup]],Product_Structure[Subgroup],0)),"")</f>
        <v>Watering (mobile, sprinkler system&amp;MDS, Ponds)</v>
      </c>
      <c r="E8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7" s="113" t="str">
        <f>IFERROR(INDEX(Product_Structure[Product group],MATCH(Товары[[#This Row],[SubGroup]],Product_Structure[Subgroup],0)),"")</f>
        <v>WMT_C</v>
      </c>
      <c r="G887" s="113" t="str">
        <f>IFERROR(INDEX(Product_Structure[Product group name ENG],MATCH(Товары[[#This Row],[SubGroup]],Product_Structure[Subgroup],0)),"")</f>
        <v>Watering Mobile Trolleys/ hose reels</v>
      </c>
      <c r="H887" s="113" t="str">
        <f>IFERROR(INDEX(Product_Structure[Generic Name (long)3],MATCH(Товары[[#This Row],[SubGroup]],Product_Structure[Subgroup],0)),"")</f>
        <v>Тележки и катушки для шлангов</v>
      </c>
      <c r="I887" s="36">
        <v>9015</v>
      </c>
      <c r="J887" s="36" t="str">
        <f>IFERROR(INDEX(Product_Structure[Generic Name (long)],MATCH(Товары[[#This Row],[SubGroup]],Product_Structure[Subgroup],0)),"")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Row],[SubGroup]],DIY!$B:$C,2,FALSE),0)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3" t="str">
        <f>IFERROR(INDEX(Product_Structure[SuperCategory],MATCH(Товары[[#This Row],[SubGroup]],Product_Structure[Subgroup],0)),"")</f>
        <v>W</v>
      </c>
      <c r="D888" s="113" t="str">
        <f>IFERROR(INDEX(Product_Structure[SuperCategory Name ENG],MATCH(Товары[[#This Row],[SubGroup]],Product_Structure[Subgroup],0)),"")</f>
        <v>Watering (mobile, sprinkler system&amp;MDS, Ponds)</v>
      </c>
      <c r="E8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8" s="113" t="str">
        <f>IFERROR(INDEX(Product_Structure[Product group],MATCH(Товары[[#This Row],[SubGroup]],Product_Structure[Subgroup],0)),"")</f>
        <v>WMT_C</v>
      </c>
      <c r="G888" s="113" t="str">
        <f>IFERROR(INDEX(Product_Structure[Product group name ENG],MATCH(Товары[[#This Row],[SubGroup]],Product_Structure[Subgroup],0)),"")</f>
        <v>Watering Mobile Trolleys/ hose reels</v>
      </c>
      <c r="H888" s="113" t="str">
        <f>IFERROR(INDEX(Product_Structure[Generic Name (long)3],MATCH(Товары[[#This Row],[SubGroup]],Product_Structure[Subgroup],0)),"")</f>
        <v>Тележки и катушки для шлангов</v>
      </c>
      <c r="I888" s="36">
        <v>9015</v>
      </c>
      <c r="J888" s="36" t="str">
        <f>IFERROR(INDEX(Product_Structure[Generic Name (long)],MATCH(Товары[[#This Row],[SubGroup]],Product_Structure[Subgroup],0)),"")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Row],[SubGroup]],DIY!$B:$C,2,FALSE),0)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3" t="str">
        <f>IFERROR(INDEX(Product_Structure[SuperCategory],MATCH(Товары[[#This Row],[SubGroup]],Product_Structure[Subgroup],0)),"")</f>
        <v>W</v>
      </c>
      <c r="D889" s="113" t="str">
        <f>IFERROR(INDEX(Product_Structure[SuperCategory Name ENG],MATCH(Товары[[#This Row],[SubGroup]],Product_Structure[Subgroup],0)),"")</f>
        <v>Watering (mobile, sprinkler system&amp;MDS, Ponds)</v>
      </c>
      <c r="E8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89" s="113" t="str">
        <f>IFERROR(INDEX(Product_Structure[Product group],MATCH(Товары[[#This Row],[SubGroup]],Product_Structure[Subgroup],0)),"")</f>
        <v>WMT_C</v>
      </c>
      <c r="G889" s="113" t="str">
        <f>IFERROR(INDEX(Product_Structure[Product group name ENG],MATCH(Товары[[#This Row],[SubGroup]],Product_Structure[Subgroup],0)),"")</f>
        <v>Watering Mobile Trolleys/ hose reels</v>
      </c>
      <c r="H889" s="113" t="str">
        <f>IFERROR(INDEX(Product_Structure[Generic Name (long)3],MATCH(Товары[[#This Row],[SubGroup]],Product_Structure[Subgroup],0)),"")</f>
        <v>Тележки и катушки для шлангов</v>
      </c>
      <c r="I889" s="36">
        <v>9015</v>
      </c>
      <c r="J889" s="36" t="str">
        <f>IFERROR(INDEX(Product_Structure[Generic Name (long)],MATCH(Товары[[#This Row],[SubGroup]],Product_Structure[Subgroup],0)),"")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Row],[SubGroup]],DIY!$B:$C,2,FALSE),0)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3" t="str">
        <f>IFERROR(INDEX(Product_Structure[SuperCategory],MATCH(Товары[[#This Row],[SubGroup]],Product_Structure[Subgroup],0)),"")</f>
        <v>W</v>
      </c>
      <c r="D890" s="113" t="str">
        <f>IFERROR(INDEX(Product_Structure[SuperCategory Name ENG],MATCH(Товары[[#This Row],[SubGroup]],Product_Structure[Subgroup],0)),"")</f>
        <v>Watering (mobile, sprinkler system&amp;MDS, Ponds)</v>
      </c>
      <c r="E8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0" s="113" t="str">
        <f>IFERROR(INDEX(Product_Structure[Product group],MATCH(Товары[[#This Row],[SubGroup]],Product_Structure[Subgroup],0)),"")</f>
        <v>WMA_C</v>
      </c>
      <c r="G890" s="113" t="str">
        <f>IFERROR(INDEX(Product_Structure[Product group name ENG],MATCH(Товары[[#This Row],[SubGroup]],Product_Structure[Subgroup],0)),"")</f>
        <v>Watering Mobile Attachments</v>
      </c>
      <c r="H890" s="113" t="str">
        <f>IFERROR(INDEX(Product_Structure[Generic Name (long)3],MATCH(Товары[[#This Row],[SubGroup]],Product_Structure[Subgroup],0)),"")</f>
        <v>Наконечники для полива</v>
      </c>
      <c r="I890" s="36">
        <v>9022</v>
      </c>
      <c r="J890" s="36" t="str">
        <f>IFERROR(INDEX(Product_Structure[Generic Name (long)],MATCH(Товары[[#This Row],[SubGroup]],Product_Structure[Subgroup],0)),"")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Row],[SubGroup]],DIY!$B:$C,2,FALSE),0)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3" t="str">
        <f>IFERROR(INDEX(Product_Structure[SuperCategory],MATCH(Товары[[#This Row],[SubGroup]],Product_Structure[Subgroup],0)),"")</f>
        <v>W</v>
      </c>
      <c r="D891" s="113" t="str">
        <f>IFERROR(INDEX(Product_Structure[SuperCategory Name ENG],MATCH(Товары[[#This Row],[SubGroup]],Product_Structure[Subgroup],0)),"")</f>
        <v>Watering (mobile, sprinkler system&amp;MDS, Ponds)</v>
      </c>
      <c r="E8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1" s="113" t="str">
        <f>IFERROR(INDEX(Product_Structure[Product group],MATCH(Товары[[#This Row],[SubGroup]],Product_Structure[Subgroup],0)),"")</f>
        <v>WMA_C</v>
      </c>
      <c r="G891" s="113" t="str">
        <f>IFERROR(INDEX(Product_Structure[Product group name ENG],MATCH(Товары[[#This Row],[SubGroup]],Product_Structure[Subgroup],0)),"")</f>
        <v>Watering Mobile Attachments</v>
      </c>
      <c r="H891" s="113" t="str">
        <f>IFERROR(INDEX(Product_Structure[Generic Name (long)3],MATCH(Товары[[#This Row],[SubGroup]],Product_Structure[Subgroup],0)),"")</f>
        <v>Наконечники для полива</v>
      </c>
      <c r="I891" s="36">
        <v>9022</v>
      </c>
      <c r="J891" s="36" t="str">
        <f>IFERROR(INDEX(Product_Structure[Generic Name (long)],MATCH(Товары[[#This Row],[SubGroup]],Product_Structure[Subgroup],0)),"")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Row],[SubGroup]],DIY!$B:$C,2,FALSE),0)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3" t="str">
        <f>IFERROR(INDEX(Product_Structure[SuperCategory],MATCH(Товары[[#This Row],[SubGroup]],Product_Structure[Subgroup],0)),"")</f>
        <v>W</v>
      </c>
      <c r="D892" s="113" t="str">
        <f>IFERROR(INDEX(Product_Structure[SuperCategory Name ENG],MATCH(Товары[[#This Row],[SubGroup]],Product_Structure[Subgroup],0)),"")</f>
        <v>Watering (mobile, sprinkler system&amp;MDS, Ponds)</v>
      </c>
      <c r="E8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2" s="113" t="str">
        <f>IFERROR(INDEX(Product_Structure[Product group],MATCH(Товары[[#This Row],[SubGroup]],Product_Structure[Subgroup],0)),"")</f>
        <v>WMA_C</v>
      </c>
      <c r="G892" s="113" t="str">
        <f>IFERROR(INDEX(Product_Structure[Product group name ENG],MATCH(Товары[[#This Row],[SubGroup]],Product_Structure[Subgroup],0)),"")</f>
        <v>Watering Mobile Attachments</v>
      </c>
      <c r="H892" s="113" t="str">
        <f>IFERROR(INDEX(Product_Structure[Generic Name (long)3],MATCH(Товары[[#This Row],[SubGroup]],Product_Structure[Subgroup],0)),"")</f>
        <v>Наконечники для полива</v>
      </c>
      <c r="I892" s="36">
        <v>9022</v>
      </c>
      <c r="J892" s="36" t="str">
        <f>IFERROR(INDEX(Product_Structure[Generic Name (long)],MATCH(Товары[[#This Row],[SubGroup]],Product_Structure[Subgroup],0)),"")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Row],[SubGroup]],DIY!$B:$C,2,FALSE),0)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3" t="str">
        <f>IFERROR(INDEX(Product_Structure[SuperCategory],MATCH(Товары[[#This Row],[SubGroup]],Product_Structure[Subgroup],0)),"")</f>
        <v>W</v>
      </c>
      <c r="D893" s="113" t="str">
        <f>IFERROR(INDEX(Product_Structure[SuperCategory Name ENG],MATCH(Товары[[#This Row],[SubGroup]],Product_Structure[Subgroup],0)),"")</f>
        <v>Watering (mobile, sprinkler system&amp;MDS, Ponds)</v>
      </c>
      <c r="E8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3" s="113" t="str">
        <f>IFERROR(INDEX(Product_Structure[Product group],MATCH(Товары[[#This Row],[SubGroup]],Product_Structure[Subgroup],0)),"")</f>
        <v>WMA_C</v>
      </c>
      <c r="G893" s="113" t="str">
        <f>IFERROR(INDEX(Product_Structure[Product group name ENG],MATCH(Товары[[#This Row],[SubGroup]],Product_Structure[Subgroup],0)),"")</f>
        <v>Watering Mobile Attachments</v>
      </c>
      <c r="H893" s="113" t="str">
        <f>IFERROR(INDEX(Product_Structure[Generic Name (long)3],MATCH(Товары[[#This Row],[SubGroup]],Product_Structure[Subgroup],0)),"")</f>
        <v>Наконечники для полива</v>
      </c>
      <c r="I893" s="36">
        <v>9022</v>
      </c>
      <c r="J893" s="36" t="str">
        <f>IFERROR(INDEX(Product_Structure[Generic Name (long)],MATCH(Товары[[#This Row],[SubGroup]],Product_Structure[Subgroup],0)),"")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Row],[SubGroup]],DIY!$B:$C,2,FALSE),0)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3" t="str">
        <f>IFERROR(INDEX(Product_Structure[SuperCategory],MATCH(Товары[[#This Row],[SubGroup]],Product_Structure[Subgroup],0)),"")</f>
        <v>W</v>
      </c>
      <c r="D894" s="113" t="str">
        <f>IFERROR(INDEX(Product_Structure[SuperCategory Name ENG],MATCH(Товары[[#This Row],[SubGroup]],Product_Structure[Subgroup],0)),"")</f>
        <v>Watering (mobile, sprinkler system&amp;MDS, Ponds)</v>
      </c>
      <c r="E8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4" s="113" t="str">
        <f>IFERROR(INDEX(Product_Structure[Product group],MATCH(Товары[[#This Row],[SubGroup]],Product_Structure[Subgroup],0)),"")</f>
        <v>WMA_C</v>
      </c>
      <c r="G894" s="113" t="str">
        <f>IFERROR(INDEX(Product_Structure[Product group name ENG],MATCH(Товары[[#This Row],[SubGroup]],Product_Structure[Subgroup],0)),"")</f>
        <v>Watering Mobile Attachments</v>
      </c>
      <c r="H894" s="113" t="str">
        <f>IFERROR(INDEX(Product_Structure[Generic Name (long)3],MATCH(Товары[[#This Row],[SubGroup]],Product_Structure[Subgroup],0)),"")</f>
        <v>Наконечники для полива</v>
      </c>
      <c r="I894" s="36">
        <v>9161</v>
      </c>
      <c r="J894" s="36" t="str">
        <f>IFERROR(INDEX(Product_Structure[Generic Name (long)],MATCH(Товары[[#This Row],[SubGroup]],Product_Structure[Subgroup],0)),"")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Row],[SubGroup]],DIY!$B:$C,2,FALSE),0)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3" t="str">
        <f>IFERROR(INDEX(Product_Structure[SuperCategory],MATCH(Товары[[#This Row],[SubGroup]],Product_Structure[Subgroup],0)),"")</f>
        <v>W</v>
      </c>
      <c r="D895" s="113" t="str">
        <f>IFERROR(INDEX(Product_Structure[SuperCategory Name ENG],MATCH(Товары[[#This Row],[SubGroup]],Product_Structure[Subgroup],0)),"")</f>
        <v>Watering (mobile, sprinkler system&amp;MDS, Ponds)</v>
      </c>
      <c r="E8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5" s="113" t="str">
        <f>IFERROR(INDEX(Product_Structure[Product group],MATCH(Товары[[#This Row],[SubGroup]],Product_Structure[Subgroup],0)),"")</f>
        <v>WMA_C</v>
      </c>
      <c r="G895" s="113" t="str">
        <f>IFERROR(INDEX(Product_Structure[Product group name ENG],MATCH(Товары[[#This Row],[SubGroup]],Product_Structure[Subgroup],0)),"")</f>
        <v>Watering Mobile Attachments</v>
      </c>
      <c r="H895" s="113" t="str">
        <f>IFERROR(INDEX(Product_Structure[Generic Name (long)3],MATCH(Товары[[#This Row],[SubGroup]],Product_Structure[Subgroup],0)),"")</f>
        <v>Наконечники для полива</v>
      </c>
      <c r="I895" s="36">
        <v>9161</v>
      </c>
      <c r="J895" s="36" t="str">
        <f>IFERROR(INDEX(Product_Structure[Generic Name (long)],MATCH(Товары[[#This Row],[SubGroup]],Product_Structure[Subgroup],0)),"")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Row],[SubGroup]],DIY!$B:$C,2,FALSE),0)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3" t="str">
        <f>IFERROR(INDEX(Product_Structure[SuperCategory],MATCH(Товары[[#This Row],[SubGroup]],Product_Structure[Subgroup],0)),"")</f>
        <v>W</v>
      </c>
      <c r="D896" s="113" t="str">
        <f>IFERROR(INDEX(Product_Structure[SuperCategory Name ENG],MATCH(Товары[[#This Row],[SubGroup]],Product_Structure[Subgroup],0)),"")</f>
        <v>Watering (mobile, sprinkler system&amp;MDS, Ponds)</v>
      </c>
      <c r="E8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6" s="113" t="str">
        <f>IFERROR(INDEX(Product_Structure[Product group],MATCH(Товары[[#This Row],[SubGroup]],Product_Structure[Subgroup],0)),"")</f>
        <v>WMA_C</v>
      </c>
      <c r="G896" s="113" t="str">
        <f>IFERROR(INDEX(Product_Structure[Product group name ENG],MATCH(Товары[[#This Row],[SubGroup]],Product_Structure[Subgroup],0)),"")</f>
        <v>Watering Mobile Attachments</v>
      </c>
      <c r="H896" s="113" t="str">
        <f>IFERROR(INDEX(Product_Structure[Generic Name (long)3],MATCH(Товары[[#This Row],[SubGroup]],Product_Structure[Subgroup],0)),"")</f>
        <v>Наконечники для полива</v>
      </c>
      <c r="I896" s="36">
        <v>9161</v>
      </c>
      <c r="J896" s="36" t="str">
        <f>IFERROR(INDEX(Product_Structure[Generic Name (long)],MATCH(Товары[[#This Row],[SubGroup]],Product_Structure[Subgroup],0)),"")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Row],[SubGroup]],DIY!$B:$C,2,FALSE),0)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3" t="str">
        <f>IFERROR(INDEX(Product_Structure[SuperCategory],MATCH(Товары[[#This Row],[SubGroup]],Product_Structure[Subgroup],0)),"")</f>
        <v>W</v>
      </c>
      <c r="D897" s="113" t="str">
        <f>IFERROR(INDEX(Product_Structure[SuperCategory Name ENG],MATCH(Товары[[#This Row],[SubGroup]],Product_Structure[Subgroup],0)),"")</f>
        <v>Watering (mobile, sprinkler system&amp;MDS, Ponds)</v>
      </c>
      <c r="E8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7" s="113" t="str">
        <f>IFERROR(INDEX(Product_Structure[Product group],MATCH(Товары[[#This Row],[SubGroup]],Product_Structure[Subgroup],0)),"")</f>
        <v>WMA_C</v>
      </c>
      <c r="G897" s="113" t="str">
        <f>IFERROR(INDEX(Product_Structure[Product group name ENG],MATCH(Товары[[#This Row],[SubGroup]],Product_Structure[Subgroup],0)),"")</f>
        <v>Watering Mobile Attachments</v>
      </c>
      <c r="H897" s="113" t="str">
        <f>IFERROR(INDEX(Product_Structure[Generic Name (long)3],MATCH(Товары[[#This Row],[SubGroup]],Product_Structure[Subgroup],0)),"")</f>
        <v>Наконечники для полива</v>
      </c>
      <c r="I897" s="36">
        <v>9161</v>
      </c>
      <c r="J897" s="36" t="str">
        <f>IFERROR(INDEX(Product_Structure[Generic Name (long)],MATCH(Товары[[#This Row],[SubGroup]],Product_Structure[Subgroup],0)),"")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Row],[SubGroup]],DIY!$B:$C,2,FALSE),0)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3" t="str">
        <f>IFERROR(INDEX(Product_Structure[SuperCategory],MATCH(Товары[[#This Row],[SubGroup]],Product_Structure[Subgroup],0)),"")</f>
        <v>W</v>
      </c>
      <c r="D898" s="113" t="str">
        <f>IFERROR(INDEX(Product_Structure[SuperCategory Name ENG],MATCH(Товары[[#This Row],[SubGroup]],Product_Structure[Subgroup],0)),"")</f>
        <v>Watering (mobile, sprinkler system&amp;MDS, Ponds)</v>
      </c>
      <c r="E8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8" s="113" t="str">
        <f>IFERROR(INDEX(Product_Structure[Product group],MATCH(Товары[[#This Row],[SubGroup]],Product_Structure[Subgroup],0)),"")</f>
        <v>WMA_C</v>
      </c>
      <c r="G898" s="113" t="str">
        <f>IFERROR(INDEX(Product_Structure[Product group name ENG],MATCH(Товары[[#This Row],[SubGroup]],Product_Structure[Subgroup],0)),"")</f>
        <v>Watering Mobile Attachments</v>
      </c>
      <c r="H898" s="113" t="str">
        <f>IFERROR(INDEX(Product_Structure[Generic Name (long)3],MATCH(Товары[[#This Row],[SubGroup]],Product_Structure[Subgroup],0)),"")</f>
        <v>Наконечники для полива</v>
      </c>
      <c r="I898" s="36">
        <v>9161</v>
      </c>
      <c r="J898" s="36" t="str">
        <f>IFERROR(INDEX(Product_Structure[Generic Name (long)],MATCH(Товары[[#This Row],[SubGroup]],Product_Structure[Subgroup],0)),"")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Row],[SubGroup]],DIY!$B:$C,2,FALSE),0)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3" t="str">
        <f>IFERROR(INDEX(Product_Structure[SuperCategory],MATCH(Товары[[#This Row],[SubGroup]],Product_Structure[Subgroup],0)),"")</f>
        <v>W</v>
      </c>
      <c r="D899" s="113" t="str">
        <f>IFERROR(INDEX(Product_Structure[SuperCategory Name ENG],MATCH(Товары[[#This Row],[SubGroup]],Product_Structure[Subgroup],0)),"")</f>
        <v>Watering (mobile, sprinkler system&amp;MDS, Ponds)</v>
      </c>
      <c r="E8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99" s="113" t="str">
        <f>IFERROR(INDEX(Product_Structure[Product group],MATCH(Товары[[#This Row],[SubGroup]],Product_Structure[Subgroup],0)),"")</f>
        <v>WMA_C</v>
      </c>
      <c r="G899" s="113" t="str">
        <f>IFERROR(INDEX(Product_Structure[Product group name ENG],MATCH(Товары[[#This Row],[SubGroup]],Product_Structure[Subgroup],0)),"")</f>
        <v>Watering Mobile Attachments</v>
      </c>
      <c r="H899" s="113" t="str">
        <f>IFERROR(INDEX(Product_Structure[Generic Name (long)3],MATCH(Товары[[#This Row],[SubGroup]],Product_Structure[Subgroup],0)),"")</f>
        <v>Наконечники для полива</v>
      </c>
      <c r="I899" s="36">
        <v>9161</v>
      </c>
      <c r="J899" s="36" t="str">
        <f>IFERROR(INDEX(Product_Structure[Generic Name (long)],MATCH(Товары[[#This Row],[SubGroup]],Product_Structure[Subgroup],0)),"")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Row],[SubGroup]],DIY!$B:$C,2,FALSE),0)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3" t="str">
        <f>IFERROR(INDEX(Product_Structure[SuperCategory],MATCH(Товары[[#This Row],[SubGroup]],Product_Structure[Subgroup],0)),"")</f>
        <v>W</v>
      </c>
      <c r="D900" s="113" t="str">
        <f>IFERROR(INDEX(Product_Structure[SuperCategory Name ENG],MATCH(Товары[[#This Row],[SubGroup]],Product_Structure[Subgroup],0)),"")</f>
        <v>Watering (mobile, sprinkler system&amp;MDS, Ponds)</v>
      </c>
      <c r="E9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0" s="113" t="str">
        <f>IFERROR(INDEX(Product_Structure[Product group],MATCH(Товары[[#This Row],[SubGroup]],Product_Structure[Subgroup],0)),"")</f>
        <v>WMA_C</v>
      </c>
      <c r="G900" s="113" t="str">
        <f>IFERROR(INDEX(Product_Structure[Product group name ENG],MATCH(Товары[[#This Row],[SubGroup]],Product_Structure[Subgroup],0)),"")</f>
        <v>Watering Mobile Attachments</v>
      </c>
      <c r="H900" s="113" t="str">
        <f>IFERROR(INDEX(Product_Structure[Generic Name (long)3],MATCH(Товары[[#This Row],[SubGroup]],Product_Structure[Subgroup],0)),"")</f>
        <v>Наконечники для полива</v>
      </c>
      <c r="I900" s="36">
        <v>9161</v>
      </c>
      <c r="J900" s="36" t="str">
        <f>IFERROR(INDEX(Product_Structure[Generic Name (long)],MATCH(Товары[[#This Row],[SubGroup]],Product_Structure[Subgroup],0)),"")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Row],[SubGroup]],DIY!$B:$C,2,FALSE),0)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3" t="str">
        <f>IFERROR(INDEX(Product_Structure[SuperCategory],MATCH(Товары[[#This Row],[SubGroup]],Product_Structure[Subgroup],0)),"")</f>
        <v>W</v>
      </c>
      <c r="D901" s="113" t="str">
        <f>IFERROR(INDEX(Product_Structure[SuperCategory Name ENG],MATCH(Товары[[#This Row],[SubGroup]],Product_Structure[Subgroup],0)),"")</f>
        <v>Watering (mobile, sprinkler system&amp;MDS, Ponds)</v>
      </c>
      <c r="E9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1" s="113" t="str">
        <f>IFERROR(INDEX(Product_Structure[Product group],MATCH(Товары[[#This Row],[SubGroup]],Product_Structure[Subgroup],0)),"")</f>
        <v>WMA_C</v>
      </c>
      <c r="G901" s="113" t="str">
        <f>IFERROR(INDEX(Product_Structure[Product group name ENG],MATCH(Товары[[#This Row],[SubGroup]],Product_Structure[Subgroup],0)),"")</f>
        <v>Watering Mobile Attachments</v>
      </c>
      <c r="H901" s="113" t="str">
        <f>IFERROR(INDEX(Product_Structure[Generic Name (long)3],MATCH(Товары[[#This Row],[SubGroup]],Product_Structure[Subgroup],0)),"")</f>
        <v>Наконечники для полива</v>
      </c>
      <c r="I901" s="36">
        <v>9161</v>
      </c>
      <c r="J901" s="36" t="str">
        <f>IFERROR(INDEX(Product_Structure[Generic Name (long)],MATCH(Товары[[#This Row],[SubGroup]],Product_Structure[Subgroup],0)),"")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Row],[SubGroup]],DIY!$B:$C,2,FALSE),0)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3" t="str">
        <f>IFERROR(INDEX(Product_Structure[SuperCategory],MATCH(Товары[[#This Row],[SubGroup]],Product_Structure[Subgroup],0)),"")</f>
        <v>W</v>
      </c>
      <c r="D902" s="113" t="str">
        <f>IFERROR(INDEX(Product_Structure[SuperCategory Name ENG],MATCH(Товары[[#This Row],[SubGroup]],Product_Structure[Subgroup],0)),"")</f>
        <v>Watering (mobile, sprinkler system&amp;MDS, Ponds)</v>
      </c>
      <c r="E9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2" s="113" t="str">
        <f>IFERROR(INDEX(Product_Structure[Product group],MATCH(Товары[[#This Row],[SubGroup]],Product_Structure[Subgroup],0)),"")</f>
        <v>WMA_C</v>
      </c>
      <c r="G902" s="113" t="str">
        <f>IFERROR(INDEX(Product_Structure[Product group name ENG],MATCH(Товары[[#This Row],[SubGroup]],Product_Structure[Subgroup],0)),"")</f>
        <v>Watering Mobile Attachments</v>
      </c>
      <c r="H902" s="113" t="str">
        <f>IFERROR(INDEX(Product_Structure[Generic Name (long)3],MATCH(Товары[[#This Row],[SubGroup]],Product_Structure[Subgroup],0)),"")</f>
        <v>Наконечники для полива</v>
      </c>
      <c r="I902" s="36">
        <v>9161</v>
      </c>
      <c r="J902" s="36" t="str">
        <f>IFERROR(INDEX(Product_Structure[Generic Name (long)],MATCH(Товары[[#This Row],[SubGroup]],Product_Structure[Subgroup],0)),"")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Row],[SubGroup]],DIY!$B:$C,2,FALSE),0)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3" t="str">
        <f>IFERROR(INDEX(Product_Structure[SuperCategory],MATCH(Товары[[#This Row],[SubGroup]],Product_Structure[Subgroup],0)),"")</f>
        <v>W</v>
      </c>
      <c r="D903" s="113" t="str">
        <f>IFERROR(INDEX(Product_Structure[SuperCategory Name ENG],MATCH(Товары[[#This Row],[SubGroup]],Product_Structure[Subgroup],0)),"")</f>
        <v>Watering (mobile, sprinkler system&amp;MDS, Ponds)</v>
      </c>
      <c r="E9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3" s="113" t="str">
        <f>IFERROR(INDEX(Product_Structure[Product group],MATCH(Товары[[#This Row],[SubGroup]],Product_Structure[Subgroup],0)),"")</f>
        <v>WMA_C</v>
      </c>
      <c r="G903" s="113" t="str">
        <f>IFERROR(INDEX(Product_Structure[Product group name ENG],MATCH(Товары[[#This Row],[SubGroup]],Product_Structure[Subgroup],0)),"")</f>
        <v>Watering Mobile Attachments</v>
      </c>
      <c r="H903" s="113" t="str">
        <f>IFERROR(INDEX(Product_Structure[Generic Name (long)3],MATCH(Товары[[#This Row],[SubGroup]],Product_Structure[Subgroup],0)),"")</f>
        <v>Наконечники для полива</v>
      </c>
      <c r="I903" s="36">
        <v>9161</v>
      </c>
      <c r="J903" s="36" t="str">
        <f>IFERROR(INDEX(Product_Structure[Generic Name (long)],MATCH(Товары[[#This Row],[SubGroup]],Product_Structure[Subgroup],0)),"")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Row],[SubGroup]],DIY!$B:$C,2,FALSE),0)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3" t="str">
        <f>IFERROR(INDEX(Product_Structure[SuperCategory],MATCH(Товары[[#This Row],[SubGroup]],Product_Structure[Subgroup],0)),"")</f>
        <v>W</v>
      </c>
      <c r="D904" s="113" t="str">
        <f>IFERROR(INDEX(Product_Structure[SuperCategory Name ENG],MATCH(Товары[[#This Row],[SubGroup]],Product_Structure[Subgroup],0)),"")</f>
        <v>Watering (mobile, sprinkler system&amp;MDS, Ponds)</v>
      </c>
      <c r="E9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4" s="113" t="str">
        <f>IFERROR(INDEX(Product_Structure[Product group],MATCH(Товары[[#This Row],[SubGroup]],Product_Structure[Subgroup],0)),"")</f>
        <v>WMA_C</v>
      </c>
      <c r="G904" s="113" t="str">
        <f>IFERROR(INDEX(Product_Structure[Product group name ENG],MATCH(Товары[[#This Row],[SubGroup]],Product_Structure[Subgroup],0)),"")</f>
        <v>Watering Mobile Attachments</v>
      </c>
      <c r="H904" s="113" t="str">
        <f>IFERROR(INDEX(Product_Structure[Generic Name (long)3],MATCH(Товары[[#This Row],[SubGroup]],Product_Structure[Subgroup],0)),"")</f>
        <v>Наконечники для полива</v>
      </c>
      <c r="I904" s="36">
        <v>9161</v>
      </c>
      <c r="J904" s="36" t="str">
        <f>IFERROR(INDEX(Product_Structure[Generic Name (long)],MATCH(Товары[[#This Row],[SubGroup]],Product_Structure[Subgroup],0)),"")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Row],[SubGroup]],DIY!$B:$C,2,FALSE),0)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3" t="str">
        <f>IFERROR(INDEX(Product_Structure[SuperCategory],MATCH(Товары[[#This Row],[SubGroup]],Product_Structure[Subgroup],0)),"")</f>
        <v>W</v>
      </c>
      <c r="D905" s="113" t="str">
        <f>IFERROR(INDEX(Product_Structure[SuperCategory Name ENG],MATCH(Товары[[#This Row],[SubGroup]],Product_Structure[Subgroup],0)),"")</f>
        <v>Watering (mobile, sprinkler system&amp;MDS, Ponds)</v>
      </c>
      <c r="E9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5" s="113" t="str">
        <f>IFERROR(INDEX(Product_Structure[Product group],MATCH(Товары[[#This Row],[SubGroup]],Product_Structure[Subgroup],0)),"")</f>
        <v>WMA_C</v>
      </c>
      <c r="G905" s="113" t="str">
        <f>IFERROR(INDEX(Product_Structure[Product group name ENG],MATCH(Товары[[#This Row],[SubGroup]],Product_Structure[Subgroup],0)),"")</f>
        <v>Watering Mobile Attachments</v>
      </c>
      <c r="H905" s="113" t="str">
        <f>IFERROR(INDEX(Product_Structure[Generic Name (long)3],MATCH(Товары[[#This Row],[SubGroup]],Product_Structure[Subgroup],0)),"")</f>
        <v>Наконечники для полива</v>
      </c>
      <c r="I905" s="36">
        <v>9161</v>
      </c>
      <c r="J905" s="36" t="str">
        <f>IFERROR(INDEX(Product_Structure[Generic Name (long)],MATCH(Товары[[#This Row],[SubGroup]],Product_Structure[Subgroup],0)),"")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Row],[SubGroup]],DIY!$B:$C,2,FALSE),0)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3" t="str">
        <f>IFERROR(INDEX(Product_Structure[SuperCategory],MATCH(Товары[[#This Row],[SubGroup]],Product_Structure[Subgroup],0)),"")</f>
        <v>W</v>
      </c>
      <c r="D906" s="113" t="str">
        <f>IFERROR(INDEX(Product_Structure[SuperCategory Name ENG],MATCH(Товары[[#This Row],[SubGroup]],Product_Structure[Subgroup],0)),"")</f>
        <v>Watering (mobile, sprinkler system&amp;MDS, Ponds)</v>
      </c>
      <c r="E9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6" s="113" t="str">
        <f>IFERROR(INDEX(Product_Structure[Product group],MATCH(Товары[[#This Row],[SubGroup]],Product_Structure[Subgroup],0)),"")</f>
        <v>WMA_C</v>
      </c>
      <c r="G906" s="113" t="str">
        <f>IFERROR(INDEX(Product_Structure[Product group name ENG],MATCH(Товары[[#This Row],[SubGroup]],Product_Structure[Subgroup],0)),"")</f>
        <v>Watering Mobile Attachments</v>
      </c>
      <c r="H906" s="113" t="str">
        <f>IFERROR(INDEX(Product_Structure[Generic Name (long)3],MATCH(Товары[[#This Row],[SubGroup]],Product_Structure[Subgroup],0)),"")</f>
        <v>Наконечники для полива</v>
      </c>
      <c r="I906" s="36">
        <v>9161</v>
      </c>
      <c r="J906" s="36" t="str">
        <f>IFERROR(INDEX(Product_Structure[Generic Name (long)],MATCH(Товары[[#This Row],[SubGroup]],Product_Structure[Subgroup],0)),"")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Row],[SubGroup]],DIY!$B:$C,2,FALSE),0)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3" t="str">
        <f>IFERROR(INDEX(Product_Structure[SuperCategory],MATCH(Товары[[#This Row],[SubGroup]],Product_Structure[Subgroup],0)),"")</f>
        <v>W</v>
      </c>
      <c r="D907" s="113" t="str">
        <f>IFERROR(INDEX(Product_Structure[SuperCategory Name ENG],MATCH(Товары[[#This Row],[SubGroup]],Product_Structure[Subgroup],0)),"")</f>
        <v>Watering (mobile, sprinkler system&amp;MDS, Ponds)</v>
      </c>
      <c r="E9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7" s="113" t="str">
        <f>IFERROR(INDEX(Product_Structure[Product group],MATCH(Товары[[#This Row],[SubGroup]],Product_Structure[Subgroup],0)),"")</f>
        <v>WMA_C</v>
      </c>
      <c r="G907" s="113" t="str">
        <f>IFERROR(INDEX(Product_Structure[Product group name ENG],MATCH(Товары[[#This Row],[SubGroup]],Product_Structure[Subgroup],0)),"")</f>
        <v>Watering Mobile Attachments</v>
      </c>
      <c r="H907" s="113" t="str">
        <f>IFERROR(INDEX(Product_Structure[Generic Name (long)3],MATCH(Товары[[#This Row],[SubGroup]],Product_Structure[Subgroup],0)),"")</f>
        <v>Наконечники для полива</v>
      </c>
      <c r="I907" s="36">
        <v>9161</v>
      </c>
      <c r="J907" s="36" t="str">
        <f>IFERROR(INDEX(Product_Structure[Generic Name (long)],MATCH(Товары[[#This Row],[SubGroup]],Product_Structure[Subgroup],0)),"")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Row],[SubGroup]],DIY!$B:$C,2,FALSE),0)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3" t="str">
        <f>IFERROR(INDEX(Product_Structure[SuperCategory],MATCH(Товары[[#This Row],[SubGroup]],Product_Structure[Subgroup],0)),"")</f>
        <v>W</v>
      </c>
      <c r="D908" s="113" t="str">
        <f>IFERROR(INDEX(Product_Structure[SuperCategory Name ENG],MATCH(Товары[[#This Row],[SubGroup]],Product_Structure[Subgroup],0)),"")</f>
        <v>Watering (mobile, sprinkler system&amp;MDS, Ponds)</v>
      </c>
      <c r="E9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8" s="113" t="str">
        <f>IFERROR(INDEX(Product_Structure[Product group],MATCH(Товары[[#This Row],[SubGroup]],Product_Structure[Subgroup],0)),"")</f>
        <v>WMA_C</v>
      </c>
      <c r="G908" s="113" t="str">
        <f>IFERROR(INDEX(Product_Structure[Product group name ENG],MATCH(Товары[[#This Row],[SubGroup]],Product_Structure[Subgroup],0)),"")</f>
        <v>Watering Mobile Attachments</v>
      </c>
      <c r="H908" s="113" t="str">
        <f>IFERROR(INDEX(Product_Structure[Generic Name (long)3],MATCH(Товары[[#This Row],[SubGroup]],Product_Structure[Subgroup],0)),"")</f>
        <v>Наконечники для полива</v>
      </c>
      <c r="I908" s="36">
        <v>9161</v>
      </c>
      <c r="J908" s="36" t="str">
        <f>IFERROR(INDEX(Product_Structure[Generic Name (long)],MATCH(Товары[[#This Row],[SubGroup]],Product_Structure[Subgroup],0)),"")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Row],[SubGroup]],DIY!$B:$C,2,FALSE),0)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3" t="str">
        <f>IFERROR(INDEX(Product_Structure[SuperCategory],MATCH(Товары[[#This Row],[SubGroup]],Product_Structure[Subgroup],0)),"")</f>
        <v>W</v>
      </c>
      <c r="D909" s="113" t="str">
        <f>IFERROR(INDEX(Product_Structure[SuperCategory Name ENG],MATCH(Товары[[#This Row],[SubGroup]],Product_Structure[Subgroup],0)),"")</f>
        <v>Watering (mobile, sprinkler system&amp;MDS, Ponds)</v>
      </c>
      <c r="E9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09" s="113" t="str">
        <f>IFERROR(INDEX(Product_Structure[Product group],MATCH(Товары[[#This Row],[SubGroup]],Product_Structure[Subgroup],0)),"")</f>
        <v>WMA_C</v>
      </c>
      <c r="G909" s="113" t="str">
        <f>IFERROR(INDEX(Product_Structure[Product group name ENG],MATCH(Товары[[#This Row],[SubGroup]],Product_Structure[Subgroup],0)),"")</f>
        <v>Watering Mobile Attachments</v>
      </c>
      <c r="H909" s="113" t="str">
        <f>IFERROR(INDEX(Product_Structure[Generic Name (long)3],MATCH(Товары[[#This Row],[SubGroup]],Product_Structure[Subgroup],0)),"")</f>
        <v>Наконечники для полива</v>
      </c>
      <c r="I909" s="36">
        <v>9161</v>
      </c>
      <c r="J909" s="36" t="str">
        <f>IFERROR(INDEX(Product_Structure[Generic Name (long)],MATCH(Товары[[#This Row],[SubGroup]],Product_Structure[Subgroup],0)),"")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Row],[SubGroup]],DIY!$B:$C,2,FALSE),0)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3" t="str">
        <f>IFERROR(INDEX(Product_Structure[SuperCategory],MATCH(Товары[[#This Row],[SubGroup]],Product_Structure[Subgroup],0)),"")</f>
        <v>W</v>
      </c>
      <c r="D910" s="113" t="str">
        <f>IFERROR(INDEX(Product_Structure[SuperCategory Name ENG],MATCH(Товары[[#This Row],[SubGroup]],Product_Structure[Subgroup],0)),"")</f>
        <v>Watering (mobile, sprinkler system&amp;MDS, Ponds)</v>
      </c>
      <c r="E9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0" s="113" t="str">
        <f>IFERROR(INDEX(Product_Structure[Product group],MATCH(Товары[[#This Row],[SubGroup]],Product_Structure[Subgroup],0)),"")</f>
        <v>WMA_C</v>
      </c>
      <c r="G910" s="113" t="str">
        <f>IFERROR(INDEX(Product_Structure[Product group name ENG],MATCH(Товары[[#This Row],[SubGroup]],Product_Structure[Subgroup],0)),"")</f>
        <v>Watering Mobile Attachments</v>
      </c>
      <c r="H910" s="113" t="str">
        <f>IFERROR(INDEX(Product_Structure[Generic Name (long)3],MATCH(Товары[[#This Row],[SubGroup]],Product_Structure[Subgroup],0)),"")</f>
        <v>Наконечники для полива</v>
      </c>
      <c r="I910" s="36">
        <v>9161</v>
      </c>
      <c r="J910" s="36" t="str">
        <f>IFERROR(INDEX(Product_Structure[Generic Name (long)],MATCH(Товары[[#This Row],[SubGroup]],Product_Structure[Subgroup],0)),"")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Row],[SubGroup]],DIY!$B:$C,2,FALSE),0)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3" t="str">
        <f>IFERROR(INDEX(Product_Structure[SuperCategory],MATCH(Товары[[#This Row],[SubGroup]],Product_Structure[Subgroup],0)),"")</f>
        <v>W</v>
      </c>
      <c r="D911" s="113" t="str">
        <f>IFERROR(INDEX(Product_Structure[SuperCategory Name ENG],MATCH(Товары[[#This Row],[SubGroup]],Product_Structure[Subgroup],0)),"")</f>
        <v>Watering (mobile, sprinkler system&amp;MDS, Ponds)</v>
      </c>
      <c r="E9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1" s="113" t="str">
        <f>IFERROR(INDEX(Product_Structure[Product group],MATCH(Товары[[#This Row],[SubGroup]],Product_Structure[Subgroup],0)),"")</f>
        <v>WMA_C</v>
      </c>
      <c r="G911" s="113" t="str">
        <f>IFERROR(INDEX(Product_Structure[Product group name ENG],MATCH(Товары[[#This Row],[SubGroup]],Product_Structure[Subgroup],0)),"")</f>
        <v>Watering Mobile Attachments</v>
      </c>
      <c r="H911" s="113" t="str">
        <f>IFERROR(INDEX(Product_Structure[Generic Name (long)3],MATCH(Товары[[#This Row],[SubGroup]],Product_Structure[Subgroup],0)),"")</f>
        <v>Наконечники для полива</v>
      </c>
      <c r="I911" s="36">
        <v>9161</v>
      </c>
      <c r="J911" s="36" t="str">
        <f>IFERROR(INDEX(Product_Structure[Generic Name (long)],MATCH(Товары[[#This Row],[SubGroup]],Product_Structure[Subgroup],0)),"")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Row],[SubGroup]],DIY!$B:$C,2,FALSE),0)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3" t="str">
        <f>IFERROR(INDEX(Product_Structure[SuperCategory],MATCH(Товары[[#This Row],[SubGroup]],Product_Structure[Subgroup],0)),"")</f>
        <v>W</v>
      </c>
      <c r="D912" s="113" t="str">
        <f>IFERROR(INDEX(Product_Structure[SuperCategory Name ENG],MATCH(Товары[[#This Row],[SubGroup]],Product_Structure[Subgroup],0)),"")</f>
        <v>Watering (mobile, sprinkler system&amp;MDS, Ponds)</v>
      </c>
      <c r="E9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2" s="113" t="str">
        <f>IFERROR(INDEX(Product_Structure[Product group],MATCH(Товары[[#This Row],[SubGroup]],Product_Structure[Subgroup],0)),"")</f>
        <v>WMA_C</v>
      </c>
      <c r="G912" s="113" t="str">
        <f>IFERROR(INDEX(Product_Structure[Product group name ENG],MATCH(Товары[[#This Row],[SubGroup]],Product_Structure[Subgroup],0)),"")</f>
        <v>Watering Mobile Attachments</v>
      </c>
      <c r="H912" s="113" t="str">
        <f>IFERROR(INDEX(Product_Structure[Generic Name (long)3],MATCH(Товары[[#This Row],[SubGroup]],Product_Structure[Subgroup],0)),"")</f>
        <v>Наконечники для полива</v>
      </c>
      <c r="I912" s="36">
        <v>9161</v>
      </c>
      <c r="J912" s="36" t="str">
        <f>IFERROR(INDEX(Product_Structure[Generic Name (long)],MATCH(Товары[[#This Row],[SubGroup]],Product_Structure[Subgroup],0)),"")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Row],[SubGroup]],DIY!$B:$C,2,FALSE),0)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3" t="str">
        <f>IFERROR(INDEX(Product_Structure[SuperCategory],MATCH(Товары[[#This Row],[SubGroup]],Product_Structure[Subgroup],0)),"")</f>
        <v>W</v>
      </c>
      <c r="D913" s="113" t="str">
        <f>IFERROR(INDEX(Product_Structure[SuperCategory Name ENG],MATCH(Товары[[#This Row],[SubGroup]],Product_Structure[Subgroup],0)),"")</f>
        <v>Watering (mobile, sprinkler system&amp;MDS, Ponds)</v>
      </c>
      <c r="E9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3" s="113" t="str">
        <f>IFERROR(INDEX(Product_Structure[Product group],MATCH(Товары[[#This Row],[SubGroup]],Product_Structure[Subgroup],0)),"")</f>
        <v>WMA_C</v>
      </c>
      <c r="G913" s="113" t="str">
        <f>IFERROR(INDEX(Product_Structure[Product group name ENG],MATCH(Товары[[#This Row],[SubGroup]],Product_Structure[Subgroup],0)),"")</f>
        <v>Watering Mobile Attachments</v>
      </c>
      <c r="H913" s="113" t="str">
        <f>IFERROR(INDEX(Product_Structure[Generic Name (long)3],MATCH(Товары[[#This Row],[SubGroup]],Product_Structure[Subgroup],0)),"")</f>
        <v>Наконечники для полива</v>
      </c>
      <c r="I913" s="36">
        <v>9161</v>
      </c>
      <c r="J913" s="36" t="str">
        <f>IFERROR(INDEX(Product_Structure[Generic Name (long)],MATCH(Товары[[#This Row],[SubGroup]],Product_Structure[Subgroup],0)),"")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Row],[SubGroup]],DIY!$B:$C,2,FALSE),0)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3" t="str">
        <f>IFERROR(INDEX(Product_Structure[SuperCategory],MATCH(Товары[[#This Row],[SubGroup]],Product_Structure[Subgroup],0)),"")</f>
        <v>W</v>
      </c>
      <c r="D914" s="113" t="str">
        <f>IFERROR(INDEX(Product_Structure[SuperCategory Name ENG],MATCH(Товары[[#This Row],[SubGroup]],Product_Structure[Subgroup],0)),"")</f>
        <v>Watering (mobile, sprinkler system&amp;MDS, Ponds)</v>
      </c>
      <c r="E9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4" s="113" t="str">
        <f>IFERROR(INDEX(Product_Structure[Product group],MATCH(Товары[[#This Row],[SubGroup]],Product_Structure[Subgroup],0)),"")</f>
        <v>WMA_C</v>
      </c>
      <c r="G914" s="113" t="str">
        <f>IFERROR(INDEX(Product_Structure[Product group name ENG],MATCH(Товары[[#This Row],[SubGroup]],Product_Structure[Subgroup],0)),"")</f>
        <v>Watering Mobile Attachments</v>
      </c>
      <c r="H914" s="113" t="str">
        <f>IFERROR(INDEX(Product_Structure[Generic Name (long)3],MATCH(Товары[[#This Row],[SubGroup]],Product_Structure[Subgroup],0)),"")</f>
        <v>Наконечники для полива</v>
      </c>
      <c r="I914" s="36">
        <v>9161</v>
      </c>
      <c r="J914" s="36" t="str">
        <f>IFERROR(INDEX(Product_Structure[Generic Name (long)],MATCH(Товары[[#This Row],[SubGroup]],Product_Structure[Subgroup],0)),"")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Row],[SubGroup]],DIY!$B:$C,2,FALSE),0)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3" t="str">
        <f>IFERROR(INDEX(Product_Structure[SuperCategory],MATCH(Товары[[#This Row],[SubGroup]],Product_Structure[Subgroup],0)),"")</f>
        <v>W</v>
      </c>
      <c r="D915" s="113" t="str">
        <f>IFERROR(INDEX(Product_Structure[SuperCategory Name ENG],MATCH(Товары[[#This Row],[SubGroup]],Product_Structure[Subgroup],0)),"")</f>
        <v>Watering (mobile, sprinkler system&amp;MDS, Ponds)</v>
      </c>
      <c r="E9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5" s="113" t="str">
        <f>IFERROR(INDEX(Product_Structure[Product group],MATCH(Товары[[#This Row],[SubGroup]],Product_Structure[Subgroup],0)),"")</f>
        <v>WMA_C</v>
      </c>
      <c r="G915" s="113" t="str">
        <f>IFERROR(INDEX(Product_Structure[Product group name ENG],MATCH(Товары[[#This Row],[SubGroup]],Product_Structure[Subgroup],0)),"")</f>
        <v>Watering Mobile Attachments</v>
      </c>
      <c r="H915" s="113" t="str">
        <f>IFERROR(INDEX(Product_Structure[Generic Name (long)3],MATCH(Товары[[#This Row],[SubGroup]],Product_Structure[Subgroup],0)),"")</f>
        <v>Наконечники для полива</v>
      </c>
      <c r="I915" s="36">
        <v>9161</v>
      </c>
      <c r="J915" s="36" t="str">
        <f>IFERROR(INDEX(Product_Structure[Generic Name (long)],MATCH(Товары[[#This Row],[SubGroup]],Product_Structure[Subgroup],0)),"")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Row],[SubGroup]],DIY!$B:$C,2,FALSE),0)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3" t="str">
        <f>IFERROR(INDEX(Product_Structure[SuperCategory],MATCH(Товары[[#This Row],[SubGroup]],Product_Structure[Subgroup],0)),"")</f>
        <v>W</v>
      </c>
      <c r="D916" s="113" t="str">
        <f>IFERROR(INDEX(Product_Structure[SuperCategory Name ENG],MATCH(Товары[[#This Row],[SubGroup]],Product_Structure[Subgroup],0)),"")</f>
        <v>Watering (mobile, sprinkler system&amp;MDS, Ponds)</v>
      </c>
      <c r="E9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6" s="113" t="str">
        <f>IFERROR(INDEX(Product_Structure[Product group],MATCH(Товары[[#This Row],[SubGroup]],Product_Structure[Subgroup],0)),"")</f>
        <v>WMA_C</v>
      </c>
      <c r="G916" s="113" t="str">
        <f>IFERROR(INDEX(Product_Structure[Product group name ENG],MATCH(Товары[[#This Row],[SubGroup]],Product_Structure[Subgroup],0)),"")</f>
        <v>Watering Mobile Attachments</v>
      </c>
      <c r="H916" s="113" t="str">
        <f>IFERROR(INDEX(Product_Structure[Generic Name (long)3],MATCH(Товары[[#This Row],[SubGroup]],Product_Structure[Subgroup],0)),"")</f>
        <v>Наконечники для полива</v>
      </c>
      <c r="I916" s="36">
        <v>9161</v>
      </c>
      <c r="J916" s="36" t="str">
        <f>IFERROR(INDEX(Product_Structure[Generic Name (long)],MATCH(Товары[[#This Row],[SubGroup]],Product_Structure[Subgroup],0)),"")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Row],[SubGroup]],DIY!$B:$C,2,FALSE),0)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3" t="str">
        <f>IFERROR(INDEX(Product_Structure[SuperCategory],MATCH(Товары[[#This Row],[SubGroup]],Product_Structure[Subgroup],0)),"")</f>
        <v>W</v>
      </c>
      <c r="D917" s="113" t="str">
        <f>IFERROR(INDEX(Product_Structure[SuperCategory Name ENG],MATCH(Товары[[#This Row],[SubGroup]],Product_Structure[Subgroup],0)),"")</f>
        <v>Watering (mobile, sprinkler system&amp;MDS, Ponds)</v>
      </c>
      <c r="E9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7" s="113" t="str">
        <f>IFERROR(INDEX(Product_Structure[Product group],MATCH(Товары[[#This Row],[SubGroup]],Product_Structure[Subgroup],0)),"")</f>
        <v>WMA_C</v>
      </c>
      <c r="G917" s="113" t="str">
        <f>IFERROR(INDEX(Product_Structure[Product group name ENG],MATCH(Товары[[#This Row],[SubGroup]],Product_Structure[Subgroup],0)),"")</f>
        <v>Watering Mobile Attachments</v>
      </c>
      <c r="H917" s="113" t="str">
        <f>IFERROR(INDEX(Product_Structure[Generic Name (long)3],MATCH(Товары[[#This Row],[SubGroup]],Product_Structure[Subgroup],0)),"")</f>
        <v>Наконечники для полива</v>
      </c>
      <c r="I917" s="36">
        <v>9022</v>
      </c>
      <c r="J917" s="36" t="str">
        <f>IFERROR(INDEX(Product_Structure[Generic Name (long)],MATCH(Товары[[#This Row],[SubGroup]],Product_Structure[Subgroup],0)),"")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Row],[SubGroup]],DIY!$B:$C,2,FALSE),0)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3" t="str">
        <f>IFERROR(INDEX(Product_Structure[SuperCategory],MATCH(Товары[[#This Row],[SubGroup]],Product_Structure[Subgroup],0)),"")</f>
        <v>W</v>
      </c>
      <c r="D918" s="113" t="str">
        <f>IFERROR(INDEX(Product_Structure[SuperCategory Name ENG],MATCH(Товары[[#This Row],[SubGroup]],Product_Structure[Subgroup],0)),"")</f>
        <v>Watering (mobile, sprinkler system&amp;MDS, Ponds)</v>
      </c>
      <c r="E9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8" s="113" t="str">
        <f>IFERROR(INDEX(Product_Structure[Product group],MATCH(Товары[[#This Row],[SubGroup]],Product_Structure[Subgroup],0)),"")</f>
        <v>WMA_C</v>
      </c>
      <c r="G918" s="113" t="str">
        <f>IFERROR(INDEX(Product_Structure[Product group name ENG],MATCH(Товары[[#This Row],[SubGroup]],Product_Structure[Subgroup],0)),"")</f>
        <v>Watering Mobile Attachments</v>
      </c>
      <c r="H918" s="113" t="str">
        <f>IFERROR(INDEX(Product_Structure[Generic Name (long)3],MATCH(Товары[[#This Row],[SubGroup]],Product_Structure[Subgroup],0)),"")</f>
        <v>Наконечники для полива</v>
      </c>
      <c r="I918" s="36">
        <v>9022</v>
      </c>
      <c r="J918" s="36" t="str">
        <f>IFERROR(INDEX(Product_Structure[Generic Name (long)],MATCH(Товары[[#This Row],[SubGroup]],Product_Structure[Subgroup],0)),"")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Row],[SubGroup]],DIY!$B:$C,2,FALSE),0)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3" t="str">
        <f>IFERROR(INDEX(Product_Structure[SuperCategory],MATCH(Товары[[#This Row],[SubGroup]],Product_Structure[Subgroup],0)),"")</f>
        <v>W</v>
      </c>
      <c r="D919" s="113" t="str">
        <f>IFERROR(INDEX(Product_Structure[SuperCategory Name ENG],MATCH(Товары[[#This Row],[SubGroup]],Product_Structure[Subgroup],0)),"")</f>
        <v>Watering (mobile, sprinkler system&amp;MDS, Ponds)</v>
      </c>
      <c r="E9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19" s="113" t="str">
        <f>IFERROR(INDEX(Product_Structure[Product group],MATCH(Товары[[#This Row],[SubGroup]],Product_Structure[Subgroup],0)),"")</f>
        <v>WMA_C</v>
      </c>
      <c r="G919" s="113" t="str">
        <f>IFERROR(INDEX(Product_Structure[Product group name ENG],MATCH(Товары[[#This Row],[SubGroup]],Product_Structure[Subgroup],0)),"")</f>
        <v>Watering Mobile Attachments</v>
      </c>
      <c r="H919" s="113" t="str">
        <f>IFERROR(INDEX(Product_Structure[Generic Name (long)3],MATCH(Товары[[#This Row],[SubGroup]],Product_Structure[Subgroup],0)),"")</f>
        <v>Наконечники для полива</v>
      </c>
      <c r="I919" s="36">
        <v>9022</v>
      </c>
      <c r="J919" s="36" t="str">
        <f>IFERROR(INDEX(Product_Structure[Generic Name (long)],MATCH(Товары[[#This Row],[SubGroup]],Product_Structure[Subgroup],0)),"")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Row],[SubGroup]],DIY!$B:$C,2,FALSE),0)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3" t="str">
        <f>IFERROR(INDEX(Product_Structure[SuperCategory],MATCH(Товары[[#This Row],[SubGroup]],Product_Structure[Subgroup],0)),"")</f>
        <v>W</v>
      </c>
      <c r="D920" s="113" t="str">
        <f>IFERROR(INDEX(Product_Structure[SuperCategory Name ENG],MATCH(Товары[[#This Row],[SubGroup]],Product_Structure[Subgroup],0)),"")</f>
        <v>Watering (mobile, sprinkler system&amp;MDS, Ponds)</v>
      </c>
      <c r="E9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0" s="113" t="str">
        <f>IFERROR(INDEX(Product_Structure[Product group],MATCH(Товары[[#This Row],[SubGroup]],Product_Structure[Subgroup],0)),"")</f>
        <v>WMA_C</v>
      </c>
      <c r="G920" s="113" t="str">
        <f>IFERROR(INDEX(Product_Structure[Product group name ENG],MATCH(Товары[[#This Row],[SubGroup]],Product_Structure[Subgroup],0)),"")</f>
        <v>Watering Mobile Attachments</v>
      </c>
      <c r="H920" s="113" t="str">
        <f>IFERROR(INDEX(Product_Structure[Generic Name (long)3],MATCH(Товары[[#This Row],[SubGroup]],Product_Structure[Subgroup],0)),"")</f>
        <v>Наконечники для полива</v>
      </c>
      <c r="I920" s="36">
        <v>9022</v>
      </c>
      <c r="J920" s="36" t="str">
        <f>IFERROR(INDEX(Product_Structure[Generic Name (long)],MATCH(Товары[[#This Row],[SubGroup]],Product_Structure[Subgroup],0)),"")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Row],[SubGroup]],DIY!$B:$C,2,FALSE),0)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3" t="str">
        <f>IFERROR(INDEX(Product_Structure[SuperCategory],MATCH(Товары[[#This Row],[SubGroup]],Product_Structure[Subgroup],0)),"")</f>
        <v>W</v>
      </c>
      <c r="D921" s="113" t="str">
        <f>IFERROR(INDEX(Product_Structure[SuperCategory Name ENG],MATCH(Товары[[#This Row],[SubGroup]],Product_Structure[Subgroup],0)),"")</f>
        <v>Watering (mobile, sprinkler system&amp;MDS, Ponds)</v>
      </c>
      <c r="E9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1" s="113" t="str">
        <f>IFERROR(INDEX(Product_Structure[Product group],MATCH(Товары[[#This Row],[SubGroup]],Product_Structure[Subgroup],0)),"")</f>
        <v>WMA_C</v>
      </c>
      <c r="G921" s="113" t="str">
        <f>IFERROR(INDEX(Product_Structure[Product group name ENG],MATCH(Товары[[#This Row],[SubGroup]],Product_Structure[Subgroup],0)),"")</f>
        <v>Watering Mobile Attachments</v>
      </c>
      <c r="H921" s="113" t="str">
        <f>IFERROR(INDEX(Product_Structure[Generic Name (long)3],MATCH(Товары[[#This Row],[SubGroup]],Product_Structure[Subgroup],0)),"")</f>
        <v>Наконечники для полива</v>
      </c>
      <c r="I921" s="36">
        <v>9022</v>
      </c>
      <c r="J921" s="36" t="str">
        <f>IFERROR(INDEX(Product_Structure[Generic Name (long)],MATCH(Товары[[#This Row],[SubGroup]],Product_Structure[Subgroup],0)),"")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Row],[SubGroup]],DIY!$B:$C,2,FALSE),0)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3" t="str">
        <f>IFERROR(INDEX(Product_Structure[SuperCategory],MATCH(Товары[[#This Row],[SubGroup]],Product_Structure[Subgroup],0)),"")</f>
        <v>W</v>
      </c>
      <c r="D922" s="113" t="str">
        <f>IFERROR(INDEX(Product_Structure[SuperCategory Name ENG],MATCH(Товары[[#This Row],[SubGroup]],Product_Structure[Subgroup],0)),"")</f>
        <v>Watering (mobile, sprinkler system&amp;MDS, Ponds)</v>
      </c>
      <c r="E9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2" s="113" t="str">
        <f>IFERROR(INDEX(Product_Structure[Product group],MATCH(Товары[[#This Row],[SubGroup]],Product_Structure[Subgroup],0)),"")</f>
        <v>WMA_C</v>
      </c>
      <c r="G922" s="113" t="str">
        <f>IFERROR(INDEX(Product_Structure[Product group name ENG],MATCH(Товары[[#This Row],[SubGroup]],Product_Structure[Subgroup],0)),"")</f>
        <v>Watering Mobile Attachments</v>
      </c>
      <c r="H922" s="113" t="str">
        <f>IFERROR(INDEX(Product_Structure[Generic Name (long)3],MATCH(Товары[[#This Row],[SubGroup]],Product_Structure[Subgroup],0)),"")</f>
        <v>Наконечники для полива</v>
      </c>
      <c r="I922" s="36">
        <v>9022</v>
      </c>
      <c r="J922" s="36" t="str">
        <f>IFERROR(INDEX(Product_Structure[Generic Name (long)],MATCH(Товары[[#This Row],[SubGroup]],Product_Structure[Subgroup],0)),"")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Row],[SubGroup]],DIY!$B:$C,2,FALSE),0)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3" t="str">
        <f>IFERROR(INDEX(Product_Structure[SuperCategory],MATCH(Товары[[#This Row],[SubGroup]],Product_Structure[Subgroup],0)),"")</f>
        <v>W</v>
      </c>
      <c r="D923" s="113" t="str">
        <f>IFERROR(INDEX(Product_Structure[SuperCategory Name ENG],MATCH(Товары[[#This Row],[SubGroup]],Product_Structure[Subgroup],0)),"")</f>
        <v>Watering (mobile, sprinkler system&amp;MDS, Ponds)</v>
      </c>
      <c r="E9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3" s="113" t="str">
        <f>IFERROR(INDEX(Product_Structure[Product group],MATCH(Товары[[#This Row],[SubGroup]],Product_Structure[Subgroup],0)),"")</f>
        <v>WMA_C</v>
      </c>
      <c r="G923" s="113" t="str">
        <f>IFERROR(INDEX(Product_Structure[Product group name ENG],MATCH(Товары[[#This Row],[SubGroup]],Product_Structure[Subgroup],0)),"")</f>
        <v>Watering Mobile Attachments</v>
      </c>
      <c r="H923" s="113" t="str">
        <f>IFERROR(INDEX(Product_Structure[Generic Name (long)3],MATCH(Товары[[#This Row],[SubGroup]],Product_Structure[Subgroup],0)),"")</f>
        <v>Наконечники для полива</v>
      </c>
      <c r="I923" s="36">
        <v>9022</v>
      </c>
      <c r="J923" s="36" t="str">
        <f>IFERROR(INDEX(Product_Structure[Generic Name (long)],MATCH(Товары[[#This Row],[SubGroup]],Product_Structure[Subgroup],0)),"")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Row],[SubGroup]],DIY!$B:$C,2,FALSE),0)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3" t="str">
        <f>IFERROR(INDEX(Product_Structure[SuperCategory],MATCH(Товары[[#This Row],[SubGroup]],Product_Structure[Subgroup],0)),"")</f>
        <v>W</v>
      </c>
      <c r="D924" s="113" t="str">
        <f>IFERROR(INDEX(Product_Structure[SuperCategory Name ENG],MATCH(Товары[[#This Row],[SubGroup]],Product_Structure[Subgroup],0)),"")</f>
        <v>Watering (mobile, sprinkler system&amp;MDS, Ponds)</v>
      </c>
      <c r="E9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4" s="113" t="str">
        <f>IFERROR(INDEX(Product_Structure[Product group],MATCH(Товары[[#This Row],[SubGroup]],Product_Structure[Subgroup],0)),"")</f>
        <v>WMA_C</v>
      </c>
      <c r="G924" s="113" t="str">
        <f>IFERROR(INDEX(Product_Structure[Product group name ENG],MATCH(Товары[[#This Row],[SubGroup]],Product_Structure[Subgroup],0)),"")</f>
        <v>Watering Mobile Attachments</v>
      </c>
      <c r="H924" s="113" t="str">
        <f>IFERROR(INDEX(Product_Structure[Generic Name (long)3],MATCH(Товары[[#This Row],[SubGroup]],Product_Structure[Subgroup],0)),"")</f>
        <v>Наконечники для полива</v>
      </c>
      <c r="I924" s="36">
        <v>9022</v>
      </c>
      <c r="J924" s="36" t="str">
        <f>IFERROR(INDEX(Product_Structure[Generic Name (long)],MATCH(Товары[[#This Row],[SubGroup]],Product_Structure[Subgroup],0)),"")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Row],[SubGroup]],DIY!$B:$C,2,FALSE),0)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3" t="str">
        <f>IFERROR(INDEX(Product_Structure[SuperCategory],MATCH(Товары[[#This Row],[SubGroup]],Product_Structure[Subgroup],0)),"")</f>
        <v>W</v>
      </c>
      <c r="D925" s="113" t="str">
        <f>IFERROR(INDEX(Product_Structure[SuperCategory Name ENG],MATCH(Товары[[#This Row],[SubGroup]],Product_Structure[Subgroup],0)),"")</f>
        <v>Watering (mobile, sprinkler system&amp;MDS, Ponds)</v>
      </c>
      <c r="E9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5" s="113" t="str">
        <f>IFERROR(INDEX(Product_Structure[Product group],MATCH(Товары[[#This Row],[SubGroup]],Product_Structure[Subgroup],0)),"")</f>
        <v>WMA_C</v>
      </c>
      <c r="G925" s="113" t="str">
        <f>IFERROR(INDEX(Product_Structure[Product group name ENG],MATCH(Товары[[#This Row],[SubGroup]],Product_Structure[Subgroup],0)),"")</f>
        <v>Watering Mobile Attachments</v>
      </c>
      <c r="H925" s="113" t="str">
        <f>IFERROR(INDEX(Product_Structure[Generic Name (long)3],MATCH(Товары[[#This Row],[SubGroup]],Product_Structure[Subgroup],0)),"")</f>
        <v>Наконечники для полива</v>
      </c>
      <c r="I925" s="36">
        <v>9022</v>
      </c>
      <c r="J925" s="36" t="str">
        <f>IFERROR(INDEX(Product_Structure[Generic Name (long)],MATCH(Товары[[#This Row],[SubGroup]],Product_Structure[Subgroup],0)),"")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Row],[SubGroup]],DIY!$B:$C,2,FALSE),0)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3" t="str">
        <f>IFERROR(INDEX(Product_Structure[SuperCategory],MATCH(Товары[[#This Row],[SubGroup]],Product_Structure[Subgroup],0)),"")</f>
        <v>W</v>
      </c>
      <c r="D926" s="113" t="str">
        <f>IFERROR(INDEX(Product_Structure[SuperCategory Name ENG],MATCH(Товары[[#This Row],[SubGroup]],Product_Structure[Subgroup],0)),"")</f>
        <v>Watering (mobile, sprinkler system&amp;MDS, Ponds)</v>
      </c>
      <c r="E9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6" s="113" t="str">
        <f>IFERROR(INDEX(Product_Structure[Product group],MATCH(Товары[[#This Row],[SubGroup]],Product_Structure[Subgroup],0)),"")</f>
        <v>WMA_C</v>
      </c>
      <c r="G926" s="113" t="str">
        <f>IFERROR(INDEX(Product_Structure[Product group name ENG],MATCH(Товары[[#This Row],[SubGroup]],Product_Structure[Subgroup],0)),"")</f>
        <v>Watering Mobile Attachments</v>
      </c>
      <c r="H926" s="113" t="str">
        <f>IFERROR(INDEX(Product_Structure[Generic Name (long)3],MATCH(Товары[[#This Row],[SubGroup]],Product_Structure[Subgroup],0)),"")</f>
        <v>Наконечники для полива</v>
      </c>
      <c r="I926" s="36">
        <v>9022</v>
      </c>
      <c r="J926" s="36" t="str">
        <f>IFERROR(INDEX(Product_Structure[Generic Name (long)],MATCH(Товары[[#This Row],[SubGroup]],Product_Structure[Subgroup],0)),"")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Row],[SubGroup]],DIY!$B:$C,2,FALSE),0)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3" t="str">
        <f>IFERROR(INDEX(Product_Structure[SuperCategory],MATCH(Товары[[#This Row],[SubGroup]],Product_Structure[Subgroup],0)),"")</f>
        <v>W</v>
      </c>
      <c r="D927" s="113" t="str">
        <f>IFERROR(INDEX(Product_Structure[SuperCategory Name ENG],MATCH(Товары[[#This Row],[SubGroup]],Product_Structure[Subgroup],0)),"")</f>
        <v>Watering (mobile, sprinkler system&amp;MDS, Ponds)</v>
      </c>
      <c r="E9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7" s="113" t="str">
        <f>IFERROR(INDEX(Product_Structure[Product group],MATCH(Товары[[#This Row],[SubGroup]],Product_Structure[Subgroup],0)),"")</f>
        <v>WMA_C</v>
      </c>
      <c r="G927" s="113" t="str">
        <f>IFERROR(INDEX(Product_Structure[Product group name ENG],MATCH(Товары[[#This Row],[SubGroup]],Product_Structure[Subgroup],0)),"")</f>
        <v>Watering Mobile Attachments</v>
      </c>
      <c r="H927" s="113" t="str">
        <f>IFERROR(INDEX(Product_Structure[Generic Name (long)3],MATCH(Товары[[#This Row],[SubGroup]],Product_Structure[Subgroup],0)),"")</f>
        <v>Наконечники для полива</v>
      </c>
      <c r="I927" s="36">
        <v>9022</v>
      </c>
      <c r="J927" s="36" t="str">
        <f>IFERROR(INDEX(Product_Structure[Generic Name (long)],MATCH(Товары[[#This Row],[SubGroup]],Product_Structure[Subgroup],0)),"")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Row],[SubGroup]],DIY!$B:$C,2,FALSE),0)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3" t="str">
        <f>IFERROR(INDEX(Product_Structure[SuperCategory],MATCH(Товары[[#This Row],[SubGroup]],Product_Structure[Subgroup],0)),"")</f>
        <v>W</v>
      </c>
      <c r="D928" s="113" t="str">
        <f>IFERROR(INDEX(Product_Structure[SuperCategory Name ENG],MATCH(Товары[[#This Row],[SubGroup]],Product_Structure[Subgroup],0)),"")</f>
        <v>Watering (mobile, sprinkler system&amp;MDS, Ponds)</v>
      </c>
      <c r="E9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8" s="113" t="str">
        <f>IFERROR(INDEX(Product_Structure[Product group],MATCH(Товары[[#This Row],[SubGroup]],Product_Structure[Subgroup],0)),"")</f>
        <v>WMA_C</v>
      </c>
      <c r="G928" s="113" t="str">
        <f>IFERROR(INDEX(Product_Structure[Product group name ENG],MATCH(Товары[[#This Row],[SubGroup]],Product_Structure[Subgroup],0)),"")</f>
        <v>Watering Mobile Attachments</v>
      </c>
      <c r="H928" s="113" t="str">
        <f>IFERROR(INDEX(Product_Structure[Generic Name (long)3],MATCH(Товары[[#This Row],[SubGroup]],Product_Structure[Subgroup],0)),"")</f>
        <v>Наконечники для полива</v>
      </c>
      <c r="I928" s="36">
        <v>9022</v>
      </c>
      <c r="J928" s="36" t="str">
        <f>IFERROR(INDEX(Product_Structure[Generic Name (long)],MATCH(Товары[[#This Row],[SubGroup]],Product_Structure[Subgroup],0)),"")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Row],[SubGroup]],DIY!$B:$C,2,FALSE),0)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3" t="str">
        <f>IFERROR(INDEX(Product_Structure[SuperCategory],MATCH(Товары[[#This Row],[SubGroup]],Product_Structure[Subgroup],0)),"")</f>
        <v>W</v>
      </c>
      <c r="D929" s="113" t="str">
        <f>IFERROR(INDEX(Product_Structure[SuperCategory Name ENG],MATCH(Товары[[#This Row],[SubGroup]],Product_Structure[Subgroup],0)),"")</f>
        <v>Watering (mobile, sprinkler system&amp;MDS, Ponds)</v>
      </c>
      <c r="E9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29" s="113" t="str">
        <f>IFERROR(INDEX(Product_Structure[Product group],MATCH(Товары[[#This Row],[SubGroup]],Product_Structure[Subgroup],0)),"")</f>
        <v>WMA_C</v>
      </c>
      <c r="G929" s="113" t="str">
        <f>IFERROR(INDEX(Product_Structure[Product group name ENG],MATCH(Товары[[#This Row],[SubGroup]],Product_Structure[Subgroup],0)),"")</f>
        <v>Watering Mobile Attachments</v>
      </c>
      <c r="H929" s="113" t="str">
        <f>IFERROR(INDEX(Product_Structure[Generic Name (long)3],MATCH(Товары[[#This Row],[SubGroup]],Product_Structure[Subgroup],0)),"")</f>
        <v>Наконечники для полива</v>
      </c>
      <c r="I929" s="36">
        <v>9022</v>
      </c>
      <c r="J929" s="36" t="str">
        <f>IFERROR(INDEX(Product_Structure[Generic Name (long)],MATCH(Товары[[#This Row],[SubGroup]],Product_Structure[Subgroup],0)),"")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Row],[SubGroup]],DIY!$B:$C,2,FALSE),0)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3" t="str">
        <f>IFERROR(INDEX(Product_Structure[SuperCategory],MATCH(Товары[[#This Row],[SubGroup]],Product_Structure[Subgroup],0)),"")</f>
        <v>W</v>
      </c>
      <c r="D930" s="113" t="str">
        <f>IFERROR(INDEX(Product_Structure[SuperCategory Name ENG],MATCH(Товары[[#This Row],[SubGroup]],Product_Structure[Subgroup],0)),"")</f>
        <v>Watering (mobile, sprinkler system&amp;MDS, Ponds)</v>
      </c>
      <c r="E9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0" s="113" t="str">
        <f>IFERROR(INDEX(Product_Structure[Product group],MATCH(Товары[[#This Row],[SubGroup]],Product_Structure[Subgroup],0)),"")</f>
        <v>WMA_C</v>
      </c>
      <c r="G930" s="113" t="str">
        <f>IFERROR(INDEX(Product_Structure[Product group name ENG],MATCH(Товары[[#This Row],[SubGroup]],Product_Structure[Subgroup],0)),"")</f>
        <v>Watering Mobile Attachments</v>
      </c>
      <c r="H930" s="113" t="str">
        <f>IFERROR(INDEX(Product_Structure[Generic Name (long)3],MATCH(Товары[[#This Row],[SubGroup]],Product_Structure[Subgroup],0)),"")</f>
        <v>Наконечники для полива</v>
      </c>
      <c r="I930" s="36">
        <v>9022</v>
      </c>
      <c r="J930" s="36" t="str">
        <f>IFERROR(INDEX(Product_Structure[Generic Name (long)],MATCH(Товары[[#This Row],[SubGroup]],Product_Structure[Subgroup],0)),"")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Row],[SubGroup]],DIY!$B:$C,2,FALSE),0)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3" t="str">
        <f>IFERROR(INDEX(Product_Structure[SuperCategory],MATCH(Товары[[#This Row],[SubGroup]],Product_Structure[Subgroup],0)),"")</f>
        <v>W</v>
      </c>
      <c r="D931" s="113" t="str">
        <f>IFERROR(INDEX(Product_Structure[SuperCategory Name ENG],MATCH(Товары[[#This Row],[SubGroup]],Product_Structure[Subgroup],0)),"")</f>
        <v>Watering (mobile, sprinkler system&amp;MDS, Ponds)</v>
      </c>
      <c r="E9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1" s="113" t="str">
        <f>IFERROR(INDEX(Product_Structure[Product group],MATCH(Товары[[#This Row],[SubGroup]],Product_Structure[Subgroup],0)),"")</f>
        <v>WMA_C</v>
      </c>
      <c r="G931" s="113" t="str">
        <f>IFERROR(INDEX(Product_Structure[Product group name ENG],MATCH(Товары[[#This Row],[SubGroup]],Product_Structure[Subgroup],0)),"")</f>
        <v>Watering Mobile Attachments</v>
      </c>
      <c r="H931" s="113" t="str">
        <f>IFERROR(INDEX(Product_Structure[Generic Name (long)3],MATCH(Товары[[#This Row],[SubGroup]],Product_Structure[Subgroup],0)),"")</f>
        <v>Наконечники для полива</v>
      </c>
      <c r="I931" s="36">
        <v>9022</v>
      </c>
      <c r="J931" s="36" t="str">
        <f>IFERROR(INDEX(Product_Structure[Generic Name (long)],MATCH(Товары[[#This Row],[SubGroup]],Product_Structure[Subgroup],0)),"")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Row],[SubGroup]],DIY!$B:$C,2,FALSE),0)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3" t="str">
        <f>IFERROR(INDEX(Product_Structure[SuperCategory],MATCH(Товары[[#This Row],[SubGroup]],Product_Structure[Subgroup],0)),"")</f>
        <v>W</v>
      </c>
      <c r="D932" s="113" t="str">
        <f>IFERROR(INDEX(Product_Structure[SuperCategory Name ENG],MATCH(Товары[[#This Row],[SubGroup]],Product_Structure[Subgroup],0)),"")</f>
        <v>Watering (mobile, sprinkler system&amp;MDS, Ponds)</v>
      </c>
      <c r="E9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2" s="113" t="str">
        <f>IFERROR(INDEX(Product_Structure[Product group],MATCH(Товары[[#This Row],[SubGroup]],Product_Structure[Subgroup],0)),"")</f>
        <v>WMA_C</v>
      </c>
      <c r="G932" s="113" t="str">
        <f>IFERROR(INDEX(Product_Structure[Product group name ENG],MATCH(Товары[[#This Row],[SubGroup]],Product_Structure[Subgroup],0)),"")</f>
        <v>Watering Mobile Attachments</v>
      </c>
      <c r="H932" s="113" t="str">
        <f>IFERROR(INDEX(Product_Structure[Generic Name (long)3],MATCH(Товары[[#This Row],[SubGroup]],Product_Structure[Subgroup],0)),"")</f>
        <v>Наконечники для полива</v>
      </c>
      <c r="I932" s="36">
        <v>9022</v>
      </c>
      <c r="J932" s="36" t="str">
        <f>IFERROR(INDEX(Product_Structure[Generic Name (long)],MATCH(Товары[[#This Row],[SubGroup]],Product_Structure[Subgroup],0)),"")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Row],[SubGroup]],DIY!$B:$C,2,FALSE),0)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3" t="str">
        <f>IFERROR(INDEX(Product_Structure[SuperCategory],MATCH(Товары[[#This Row],[SubGroup]],Product_Structure[Subgroup],0)),"")</f>
        <v>W</v>
      </c>
      <c r="D933" s="113" t="str">
        <f>IFERROR(INDEX(Product_Structure[SuperCategory Name ENG],MATCH(Товары[[#This Row],[SubGroup]],Product_Structure[Subgroup],0)),"")</f>
        <v>Watering (mobile, sprinkler system&amp;MDS, Ponds)</v>
      </c>
      <c r="E9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3" s="113" t="str">
        <f>IFERROR(INDEX(Product_Structure[Product group],MATCH(Товары[[#This Row],[SubGroup]],Product_Structure[Subgroup],0)),"")</f>
        <v>WMA_C</v>
      </c>
      <c r="G933" s="113" t="str">
        <f>IFERROR(INDEX(Product_Structure[Product group name ENG],MATCH(Товары[[#This Row],[SubGroup]],Product_Structure[Subgroup],0)),"")</f>
        <v>Watering Mobile Attachments</v>
      </c>
      <c r="H933" s="113" t="str">
        <f>IFERROR(INDEX(Product_Structure[Generic Name (long)3],MATCH(Товары[[#This Row],[SubGroup]],Product_Structure[Subgroup],0)),"")</f>
        <v>Наконечники для полива</v>
      </c>
      <c r="I933" s="36">
        <v>9022</v>
      </c>
      <c r="J933" s="36" t="str">
        <f>IFERROR(INDEX(Product_Structure[Generic Name (long)],MATCH(Товары[[#This Row],[SubGroup]],Product_Structure[Subgroup],0)),"")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Row],[SubGroup]],DIY!$B:$C,2,FALSE),0)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3" t="str">
        <f>IFERROR(INDEX(Product_Structure[SuperCategory],MATCH(Товары[[#This Row],[SubGroup]],Product_Structure[Subgroup],0)),"")</f>
        <v>W</v>
      </c>
      <c r="D934" s="113" t="str">
        <f>IFERROR(INDEX(Product_Structure[SuperCategory Name ENG],MATCH(Товары[[#This Row],[SubGroup]],Product_Structure[Subgroup],0)),"")</f>
        <v>Watering (mobile, sprinkler system&amp;MDS, Ponds)</v>
      </c>
      <c r="E9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4" s="113" t="str">
        <f>IFERROR(INDEX(Product_Structure[Product group],MATCH(Товары[[#This Row],[SubGroup]],Product_Structure[Subgroup],0)),"")</f>
        <v>WMA_C</v>
      </c>
      <c r="G934" s="113" t="str">
        <f>IFERROR(INDEX(Product_Structure[Product group name ENG],MATCH(Товары[[#This Row],[SubGroup]],Product_Structure[Subgroup],0)),"")</f>
        <v>Watering Mobile Attachments</v>
      </c>
      <c r="H934" s="113" t="str">
        <f>IFERROR(INDEX(Product_Structure[Generic Name (long)3],MATCH(Товары[[#This Row],[SubGroup]],Product_Structure[Subgroup],0)),"")</f>
        <v>Наконечники для полива</v>
      </c>
      <c r="I934" s="36">
        <v>9022</v>
      </c>
      <c r="J934" s="36" t="str">
        <f>IFERROR(INDEX(Product_Structure[Generic Name (long)],MATCH(Товары[[#This Row],[SubGroup]],Product_Structure[Subgroup],0)),"")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Row],[SubGroup]],DIY!$B:$C,2,FALSE),0)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3" t="str">
        <f>IFERROR(INDEX(Product_Structure[SuperCategory],MATCH(Товары[[#This Row],[SubGroup]],Product_Structure[Subgroup],0)),"")</f>
        <v>W</v>
      </c>
      <c r="D935" s="113" t="str">
        <f>IFERROR(INDEX(Product_Structure[SuperCategory Name ENG],MATCH(Товары[[#This Row],[SubGroup]],Product_Structure[Subgroup],0)),"")</f>
        <v>Watering (mobile, sprinkler system&amp;MDS, Ponds)</v>
      </c>
      <c r="E9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5" s="113" t="str">
        <f>IFERROR(INDEX(Product_Structure[Product group],MATCH(Товары[[#This Row],[SubGroup]],Product_Structure[Subgroup],0)),"")</f>
        <v>WMA_C</v>
      </c>
      <c r="G935" s="113" t="str">
        <f>IFERROR(INDEX(Product_Structure[Product group name ENG],MATCH(Товары[[#This Row],[SubGroup]],Product_Structure[Subgroup],0)),"")</f>
        <v>Watering Mobile Attachments</v>
      </c>
      <c r="H935" s="113" t="str">
        <f>IFERROR(INDEX(Product_Structure[Generic Name (long)3],MATCH(Товары[[#This Row],[SubGroup]],Product_Structure[Subgroup],0)),"")</f>
        <v>Наконечники для полива</v>
      </c>
      <c r="I935" s="36">
        <v>9022</v>
      </c>
      <c r="J935" s="36" t="str">
        <f>IFERROR(INDEX(Product_Structure[Generic Name (long)],MATCH(Товары[[#This Row],[SubGroup]],Product_Structure[Subgroup],0)),"")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Row],[SubGroup]],DIY!$B:$C,2,FALSE),0)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3" t="str">
        <f>IFERROR(INDEX(Product_Structure[SuperCategory],MATCH(Товары[[#This Row],[SubGroup]],Product_Structure[Subgroup],0)),"")</f>
        <v>W</v>
      </c>
      <c r="D936" s="113" t="str">
        <f>IFERROR(INDEX(Product_Structure[SuperCategory Name ENG],MATCH(Товары[[#This Row],[SubGroup]],Product_Structure[Subgroup],0)),"")</f>
        <v>Watering (mobile, sprinkler system&amp;MDS, Ponds)</v>
      </c>
      <c r="E9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6" s="113" t="str">
        <f>IFERROR(INDEX(Product_Structure[Product group],MATCH(Товары[[#This Row],[SubGroup]],Product_Structure[Subgroup],0)),"")</f>
        <v>WMA_C</v>
      </c>
      <c r="G936" s="113" t="str">
        <f>IFERROR(INDEX(Product_Structure[Product group name ENG],MATCH(Товары[[#This Row],[SubGroup]],Product_Structure[Subgroup],0)),"")</f>
        <v>Watering Mobile Attachments</v>
      </c>
      <c r="H936" s="113" t="str">
        <f>IFERROR(INDEX(Product_Structure[Generic Name (long)3],MATCH(Товары[[#This Row],[SubGroup]],Product_Structure[Subgroup],0)),"")</f>
        <v>Наконечники для полива</v>
      </c>
      <c r="I936" s="36">
        <v>9022</v>
      </c>
      <c r="J936" s="36" t="str">
        <f>IFERROR(INDEX(Product_Structure[Generic Name (long)],MATCH(Товары[[#This Row],[SubGroup]],Product_Structure[Subgroup],0)),"")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Row],[SubGroup]],DIY!$B:$C,2,FALSE),0)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3" t="str">
        <f>IFERROR(INDEX(Product_Structure[SuperCategory],MATCH(Товары[[#This Row],[SubGroup]],Product_Structure[Subgroup],0)),"")</f>
        <v>W</v>
      </c>
      <c r="D937" s="113" t="str">
        <f>IFERROR(INDEX(Product_Structure[SuperCategory Name ENG],MATCH(Товары[[#This Row],[SubGroup]],Product_Structure[Subgroup],0)),"")</f>
        <v>Watering (mobile, sprinkler system&amp;MDS, Ponds)</v>
      </c>
      <c r="E9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7" s="113" t="str">
        <f>IFERROR(INDEX(Product_Structure[Product group],MATCH(Товары[[#This Row],[SubGroup]],Product_Structure[Subgroup],0)),"")</f>
        <v>WMA_C</v>
      </c>
      <c r="G937" s="113" t="str">
        <f>IFERROR(INDEX(Product_Structure[Product group name ENG],MATCH(Товары[[#This Row],[SubGroup]],Product_Structure[Subgroup],0)),"")</f>
        <v>Watering Mobile Attachments</v>
      </c>
      <c r="H937" s="113" t="str">
        <f>IFERROR(INDEX(Product_Structure[Generic Name (long)3],MATCH(Товары[[#This Row],[SubGroup]],Product_Structure[Subgroup],0)),"")</f>
        <v>Наконечники для полива</v>
      </c>
      <c r="I937" s="36">
        <v>9022</v>
      </c>
      <c r="J937" s="36" t="str">
        <f>IFERROR(INDEX(Product_Structure[Generic Name (long)],MATCH(Товары[[#This Row],[SubGroup]],Product_Structure[Subgroup],0)),"")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Row],[SubGroup]],DIY!$B:$C,2,FALSE),0)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3" t="str">
        <f>IFERROR(INDEX(Product_Structure[SuperCategory],MATCH(Товары[[#This Row],[SubGroup]],Product_Structure[Subgroup],0)),"")</f>
        <v>W</v>
      </c>
      <c r="D938" s="113" t="str">
        <f>IFERROR(INDEX(Product_Structure[SuperCategory Name ENG],MATCH(Товары[[#This Row],[SubGroup]],Product_Structure[Subgroup],0)),"")</f>
        <v>Watering (mobile, sprinkler system&amp;MDS, Ponds)</v>
      </c>
      <c r="E9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8" s="113" t="str">
        <f>IFERROR(INDEX(Product_Structure[Product group],MATCH(Товары[[#This Row],[SubGroup]],Product_Structure[Subgroup],0)),"")</f>
        <v>WMA_C</v>
      </c>
      <c r="G938" s="113" t="str">
        <f>IFERROR(INDEX(Product_Structure[Product group name ENG],MATCH(Товары[[#This Row],[SubGroup]],Product_Structure[Subgroup],0)),"")</f>
        <v>Watering Mobile Attachments</v>
      </c>
      <c r="H938" s="113" t="str">
        <f>IFERROR(INDEX(Product_Structure[Generic Name (long)3],MATCH(Товары[[#This Row],[SubGroup]],Product_Structure[Subgroup],0)),"")</f>
        <v>Наконечники для полива</v>
      </c>
      <c r="I938" s="36">
        <v>9022</v>
      </c>
      <c r="J938" s="36" t="str">
        <f>IFERROR(INDEX(Product_Structure[Generic Name (long)],MATCH(Товары[[#This Row],[SubGroup]],Product_Structure[Subgroup],0)),"")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Row],[SubGroup]],DIY!$B:$C,2,FALSE),0)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3" t="str">
        <f>IFERROR(INDEX(Product_Structure[SuperCategory],MATCH(Товары[[#This Row],[SubGroup]],Product_Structure[Subgroup],0)),"")</f>
        <v>W</v>
      </c>
      <c r="D939" s="113" t="str">
        <f>IFERROR(INDEX(Product_Structure[SuperCategory Name ENG],MATCH(Товары[[#This Row],[SubGroup]],Product_Structure[Subgroup],0)),"")</f>
        <v>Watering (mobile, sprinkler system&amp;MDS, Ponds)</v>
      </c>
      <c r="E9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39" s="113" t="str">
        <f>IFERROR(INDEX(Product_Structure[Product group],MATCH(Товары[[#This Row],[SubGroup]],Product_Structure[Subgroup],0)),"")</f>
        <v>WMA_C</v>
      </c>
      <c r="G939" s="113" t="str">
        <f>IFERROR(INDEX(Product_Structure[Product group name ENG],MATCH(Товары[[#This Row],[SubGroup]],Product_Structure[Subgroup],0)),"")</f>
        <v>Watering Mobile Attachments</v>
      </c>
      <c r="H939" s="113" t="str">
        <f>IFERROR(INDEX(Product_Structure[Generic Name (long)3],MATCH(Товары[[#This Row],[SubGroup]],Product_Structure[Subgroup],0)),"")</f>
        <v>Наконечники для полива</v>
      </c>
      <c r="I939" s="36">
        <v>9022</v>
      </c>
      <c r="J939" s="36" t="str">
        <f>IFERROR(INDEX(Product_Structure[Generic Name (long)],MATCH(Товары[[#This Row],[SubGroup]],Product_Structure[Subgroup],0)),"")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Row],[SubGroup]],DIY!$B:$C,2,FALSE),0)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3" t="str">
        <f>IFERROR(INDEX(Product_Structure[SuperCategory],MATCH(Товары[[#This Row],[SubGroup]],Product_Structure[Subgroup],0)),"")</f>
        <v>W</v>
      </c>
      <c r="D940" s="113" t="str">
        <f>IFERROR(INDEX(Product_Structure[SuperCategory Name ENG],MATCH(Товары[[#This Row],[SubGroup]],Product_Structure[Subgroup],0)),"")</f>
        <v>Watering (mobile, sprinkler system&amp;MDS, Ponds)</v>
      </c>
      <c r="E9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0" s="113" t="str">
        <f>IFERROR(INDEX(Product_Structure[Product group],MATCH(Товары[[#This Row],[SubGroup]],Product_Structure[Subgroup],0)),"")</f>
        <v>WMA_C</v>
      </c>
      <c r="G940" s="113" t="str">
        <f>IFERROR(INDEX(Product_Structure[Product group name ENG],MATCH(Товары[[#This Row],[SubGroup]],Product_Structure[Subgroup],0)),"")</f>
        <v>Watering Mobile Attachments</v>
      </c>
      <c r="H940" s="113" t="str">
        <f>IFERROR(INDEX(Product_Structure[Generic Name (long)3],MATCH(Товары[[#This Row],[SubGroup]],Product_Structure[Subgroup],0)),"")</f>
        <v>Наконечники для полива</v>
      </c>
      <c r="I940" s="36">
        <v>9022</v>
      </c>
      <c r="J940" s="36" t="str">
        <f>IFERROR(INDEX(Product_Structure[Generic Name (long)],MATCH(Товары[[#This Row],[SubGroup]],Product_Structure[Subgroup],0)),"")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Row],[SubGroup]],DIY!$B:$C,2,FALSE),0)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3" t="str">
        <f>IFERROR(INDEX(Product_Structure[SuperCategory],MATCH(Товары[[#This Row],[SubGroup]],Product_Structure[Subgroup],0)),"")</f>
        <v>W</v>
      </c>
      <c r="D941" s="113" t="str">
        <f>IFERROR(INDEX(Product_Structure[SuperCategory Name ENG],MATCH(Товары[[#This Row],[SubGroup]],Product_Structure[Subgroup],0)),"")</f>
        <v>Watering (mobile, sprinkler system&amp;MDS, Ponds)</v>
      </c>
      <c r="E9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1" s="113" t="str">
        <f>IFERROR(INDEX(Product_Structure[Product group],MATCH(Товары[[#This Row],[SubGroup]],Product_Structure[Subgroup],0)),"")</f>
        <v>WMA_C</v>
      </c>
      <c r="G941" s="113" t="str">
        <f>IFERROR(INDEX(Product_Structure[Product group name ENG],MATCH(Товары[[#This Row],[SubGroup]],Product_Structure[Subgroup],0)),"")</f>
        <v>Watering Mobile Attachments</v>
      </c>
      <c r="H941" s="113" t="str">
        <f>IFERROR(INDEX(Product_Structure[Generic Name (long)3],MATCH(Товары[[#This Row],[SubGroup]],Product_Structure[Subgroup],0)),"")</f>
        <v>Наконечники для полива</v>
      </c>
      <c r="I941" s="36">
        <v>9022</v>
      </c>
      <c r="J941" s="36" t="str">
        <f>IFERROR(INDEX(Product_Structure[Generic Name (long)],MATCH(Товары[[#This Row],[SubGroup]],Product_Structure[Subgroup],0)),"")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Row],[SubGroup]],DIY!$B:$C,2,FALSE),0)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3" t="str">
        <f>IFERROR(INDEX(Product_Structure[SuperCategory],MATCH(Товары[[#This Row],[SubGroup]],Product_Structure[Subgroup],0)),"")</f>
        <v>W</v>
      </c>
      <c r="D942" s="113" t="str">
        <f>IFERROR(INDEX(Product_Structure[SuperCategory Name ENG],MATCH(Товары[[#This Row],[SubGroup]],Product_Structure[Subgroup],0)),"")</f>
        <v>Watering (mobile, sprinkler system&amp;MDS, Ponds)</v>
      </c>
      <c r="E9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2" s="113" t="str">
        <f>IFERROR(INDEX(Product_Structure[Product group],MATCH(Товары[[#This Row],[SubGroup]],Product_Structure[Subgroup],0)),"")</f>
        <v>WMA_C</v>
      </c>
      <c r="G942" s="113" t="str">
        <f>IFERROR(INDEX(Product_Structure[Product group name ENG],MATCH(Товары[[#This Row],[SubGroup]],Product_Structure[Subgroup],0)),"")</f>
        <v>Watering Mobile Attachments</v>
      </c>
      <c r="H942" s="113" t="str">
        <f>IFERROR(INDEX(Product_Structure[Generic Name (long)3],MATCH(Товары[[#This Row],[SubGroup]],Product_Structure[Subgroup],0)),"")</f>
        <v>Наконечники для полива</v>
      </c>
      <c r="I942" s="36">
        <v>9022</v>
      </c>
      <c r="J942" s="36" t="str">
        <f>IFERROR(INDEX(Product_Structure[Generic Name (long)],MATCH(Товары[[#This Row],[SubGroup]],Product_Structure[Subgroup],0)),"")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Row],[SubGroup]],DIY!$B:$C,2,FALSE),0)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3" t="str">
        <f>IFERROR(INDEX(Product_Structure[SuperCategory],MATCH(Товары[[#This Row],[SubGroup]],Product_Structure[Subgroup],0)),"")</f>
        <v>W</v>
      </c>
      <c r="D943" s="113" t="str">
        <f>IFERROR(INDEX(Product_Structure[SuperCategory Name ENG],MATCH(Товары[[#This Row],[SubGroup]],Product_Structure[Subgroup],0)),"")</f>
        <v>Watering (mobile, sprinkler system&amp;MDS, Ponds)</v>
      </c>
      <c r="E9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3" s="113" t="str">
        <f>IFERROR(INDEX(Product_Structure[Product group],MATCH(Товары[[#This Row],[SubGroup]],Product_Structure[Subgroup],0)),"")</f>
        <v>WMA_C</v>
      </c>
      <c r="G943" s="113" t="str">
        <f>IFERROR(INDEX(Product_Structure[Product group name ENG],MATCH(Товары[[#This Row],[SubGroup]],Product_Structure[Subgroup],0)),"")</f>
        <v>Watering Mobile Attachments</v>
      </c>
      <c r="H943" s="113" t="str">
        <f>IFERROR(INDEX(Product_Structure[Generic Name (long)3],MATCH(Товары[[#This Row],[SubGroup]],Product_Structure[Subgroup],0)),"")</f>
        <v>Наконечники для полива</v>
      </c>
      <c r="I943" s="36">
        <v>9022</v>
      </c>
      <c r="J943" s="36" t="str">
        <f>IFERROR(INDEX(Product_Structure[Generic Name (long)],MATCH(Товары[[#This Row],[SubGroup]],Product_Structure[Subgroup],0)),"")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Row],[SubGroup]],DIY!$B:$C,2,FALSE),0)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3" t="str">
        <f>IFERROR(INDEX(Product_Structure[SuperCategory],MATCH(Товары[[#This Row],[SubGroup]],Product_Structure[Subgroup],0)),"")</f>
        <v>W</v>
      </c>
      <c r="D944" s="113" t="str">
        <f>IFERROR(INDEX(Product_Structure[SuperCategory Name ENG],MATCH(Товары[[#This Row],[SubGroup]],Product_Structure[Subgroup],0)),"")</f>
        <v>Watering (mobile, sprinkler system&amp;MDS, Ponds)</v>
      </c>
      <c r="E9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4" s="113" t="str">
        <f>IFERROR(INDEX(Product_Structure[Product group],MATCH(Товары[[#This Row],[SubGroup]],Product_Structure[Subgroup],0)),"")</f>
        <v>WMA_C</v>
      </c>
      <c r="G944" s="113" t="str">
        <f>IFERROR(INDEX(Product_Structure[Product group name ENG],MATCH(Товары[[#This Row],[SubGroup]],Product_Structure[Subgroup],0)),"")</f>
        <v>Watering Mobile Attachments</v>
      </c>
      <c r="H944" s="113" t="str">
        <f>IFERROR(INDEX(Product_Structure[Generic Name (long)3],MATCH(Товары[[#This Row],[SubGroup]],Product_Structure[Subgroup],0)),"")</f>
        <v>Наконечники для полива</v>
      </c>
      <c r="I944" s="36">
        <v>9022</v>
      </c>
      <c r="J944" s="36" t="str">
        <f>IFERROR(INDEX(Product_Structure[Generic Name (long)],MATCH(Товары[[#This Row],[SubGroup]],Product_Structure[Subgroup],0)),"")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Row],[SubGroup]],DIY!$B:$C,2,FALSE),0)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3" t="str">
        <f>IFERROR(INDEX(Product_Structure[SuperCategory],MATCH(Товары[[#This Row],[SubGroup]],Product_Structure[Subgroup],0)),"")</f>
        <v>W</v>
      </c>
      <c r="D945" s="113" t="str">
        <f>IFERROR(INDEX(Product_Structure[SuperCategory Name ENG],MATCH(Товары[[#This Row],[SubGroup]],Product_Structure[Subgroup],0)),"")</f>
        <v>Watering (mobile, sprinkler system&amp;MDS, Ponds)</v>
      </c>
      <c r="E9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5" s="113" t="str">
        <f>IFERROR(INDEX(Product_Structure[Product group],MATCH(Товары[[#This Row],[SubGroup]],Product_Structure[Subgroup],0)),"")</f>
        <v>WMA_C</v>
      </c>
      <c r="G945" s="113" t="str">
        <f>IFERROR(INDEX(Product_Structure[Product group name ENG],MATCH(Товары[[#This Row],[SubGroup]],Product_Structure[Subgroup],0)),"")</f>
        <v>Watering Mobile Attachments</v>
      </c>
      <c r="H945" s="113" t="str">
        <f>IFERROR(INDEX(Product_Structure[Generic Name (long)3],MATCH(Товары[[#This Row],[SubGroup]],Product_Structure[Subgroup],0)),"")</f>
        <v>Наконечники для полива</v>
      </c>
      <c r="I945" s="36">
        <v>9022</v>
      </c>
      <c r="J945" s="36" t="str">
        <f>IFERROR(INDEX(Product_Structure[Generic Name (long)],MATCH(Товары[[#This Row],[SubGroup]],Product_Structure[Subgroup],0)),"")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Row],[SubGroup]],DIY!$B:$C,2,FALSE),0)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3" t="str">
        <f>IFERROR(INDEX(Product_Structure[SuperCategory],MATCH(Товары[[#This Row],[SubGroup]],Product_Structure[Subgroup],0)),"")</f>
        <v>W</v>
      </c>
      <c r="D946" s="113" t="str">
        <f>IFERROR(INDEX(Product_Structure[SuperCategory Name ENG],MATCH(Товары[[#This Row],[SubGroup]],Product_Structure[Subgroup],0)),"")</f>
        <v>Watering (mobile, sprinkler system&amp;MDS, Ponds)</v>
      </c>
      <c r="E9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6" s="113" t="str">
        <f>IFERROR(INDEX(Product_Structure[Product group],MATCH(Товары[[#This Row],[SubGroup]],Product_Structure[Subgroup],0)),"")</f>
        <v>WMA_C</v>
      </c>
      <c r="G946" s="113" t="str">
        <f>IFERROR(INDEX(Product_Structure[Product group name ENG],MATCH(Товары[[#This Row],[SubGroup]],Product_Structure[Subgroup],0)),"")</f>
        <v>Watering Mobile Attachments</v>
      </c>
      <c r="H946" s="113" t="str">
        <f>IFERROR(INDEX(Product_Structure[Generic Name (long)3],MATCH(Товары[[#This Row],[SubGroup]],Product_Structure[Subgroup],0)),"")</f>
        <v>Наконечники для полива</v>
      </c>
      <c r="I946" s="36">
        <v>9022</v>
      </c>
      <c r="J946" s="36" t="str">
        <f>IFERROR(INDEX(Product_Structure[Generic Name (long)],MATCH(Товары[[#This Row],[SubGroup]],Product_Structure[Subgroup],0)),"")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Row],[SubGroup]],DIY!$B:$C,2,FALSE),0)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3" t="str">
        <f>IFERROR(INDEX(Product_Structure[SuperCategory],MATCH(Товары[[#This Row],[SubGroup]],Product_Structure[Subgroup],0)),"")</f>
        <v>W</v>
      </c>
      <c r="D947" s="113" t="str">
        <f>IFERROR(INDEX(Product_Structure[SuperCategory Name ENG],MATCH(Товары[[#This Row],[SubGroup]],Product_Structure[Subgroup],0)),"")</f>
        <v>Watering (mobile, sprinkler system&amp;MDS, Ponds)</v>
      </c>
      <c r="E9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7" s="113" t="str">
        <f>IFERROR(INDEX(Product_Structure[Product group],MATCH(Товары[[#This Row],[SubGroup]],Product_Structure[Subgroup],0)),"")</f>
        <v>WMA_C</v>
      </c>
      <c r="G947" s="113" t="str">
        <f>IFERROR(INDEX(Product_Structure[Product group name ENG],MATCH(Товары[[#This Row],[SubGroup]],Product_Structure[Subgroup],0)),"")</f>
        <v>Watering Mobile Attachments</v>
      </c>
      <c r="H947" s="113" t="str">
        <f>IFERROR(INDEX(Product_Structure[Generic Name (long)3],MATCH(Товары[[#This Row],[SubGroup]],Product_Structure[Subgroup],0)),"")</f>
        <v>Наконечники для полива</v>
      </c>
      <c r="I947" s="36">
        <v>9022</v>
      </c>
      <c r="J947" s="36" t="str">
        <f>IFERROR(INDEX(Product_Structure[Generic Name (long)],MATCH(Товары[[#This Row],[SubGroup]],Product_Structure[Subgroup],0)),"")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Row],[SubGroup]],DIY!$B:$C,2,FALSE),0)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3" t="str">
        <f>IFERROR(INDEX(Product_Structure[SuperCategory],MATCH(Товары[[#This Row],[SubGroup]],Product_Structure[Subgroup],0)),"")</f>
        <v>W</v>
      </c>
      <c r="D948" s="113" t="str">
        <f>IFERROR(INDEX(Product_Structure[SuperCategory Name ENG],MATCH(Товары[[#This Row],[SubGroup]],Product_Structure[Subgroup],0)),"")</f>
        <v>Watering (mobile, sprinkler system&amp;MDS, Ponds)</v>
      </c>
      <c r="E9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8" s="113" t="str">
        <f>IFERROR(INDEX(Product_Structure[Product group],MATCH(Товары[[#This Row],[SubGroup]],Product_Structure[Subgroup],0)),"")</f>
        <v>WMA_C</v>
      </c>
      <c r="G948" s="113" t="str">
        <f>IFERROR(INDEX(Product_Structure[Product group name ENG],MATCH(Товары[[#This Row],[SubGroup]],Product_Structure[Subgroup],0)),"")</f>
        <v>Watering Mobile Attachments</v>
      </c>
      <c r="H948" s="113" t="str">
        <f>IFERROR(INDEX(Product_Structure[Generic Name (long)3],MATCH(Товары[[#This Row],[SubGroup]],Product_Structure[Subgroup],0)),"")</f>
        <v>Наконечники для полива</v>
      </c>
      <c r="I948" s="36">
        <v>9022</v>
      </c>
      <c r="J948" s="36" t="str">
        <f>IFERROR(INDEX(Product_Structure[Generic Name (long)],MATCH(Товары[[#This Row],[SubGroup]],Product_Structure[Subgroup],0)),"")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Row],[SubGroup]],DIY!$B:$C,2,FALSE),0)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3" t="str">
        <f>IFERROR(INDEX(Product_Structure[SuperCategory],MATCH(Товары[[#This Row],[SubGroup]],Product_Structure[Subgroup],0)),"")</f>
        <v>W</v>
      </c>
      <c r="D949" s="113" t="str">
        <f>IFERROR(INDEX(Product_Structure[SuperCategory Name ENG],MATCH(Товары[[#This Row],[SubGroup]],Product_Structure[Subgroup],0)),"")</f>
        <v>Watering (mobile, sprinkler system&amp;MDS, Ponds)</v>
      </c>
      <c r="E9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49" s="113" t="str">
        <f>IFERROR(INDEX(Product_Structure[Product group],MATCH(Товары[[#This Row],[SubGroup]],Product_Structure[Subgroup],0)),"")</f>
        <v>WMA_C</v>
      </c>
      <c r="G949" s="113" t="str">
        <f>IFERROR(INDEX(Product_Structure[Product group name ENG],MATCH(Товары[[#This Row],[SubGroup]],Product_Structure[Subgroup],0)),"")</f>
        <v>Watering Mobile Attachments</v>
      </c>
      <c r="H949" s="113" t="str">
        <f>IFERROR(INDEX(Product_Structure[Generic Name (long)3],MATCH(Товары[[#This Row],[SubGroup]],Product_Structure[Subgroup],0)),"")</f>
        <v>Наконечники для полива</v>
      </c>
      <c r="I949" s="36">
        <v>9022</v>
      </c>
      <c r="J949" s="36" t="str">
        <f>IFERROR(INDEX(Product_Structure[Generic Name (long)],MATCH(Товары[[#This Row],[SubGroup]],Product_Structure[Subgroup],0)),"")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Row],[SubGroup]],DIY!$B:$C,2,FALSE),0)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3" t="str">
        <f>IFERROR(INDEX(Product_Structure[SuperCategory],MATCH(Товары[[#This Row],[SubGroup]],Product_Structure[Subgroup],0)),"")</f>
        <v>W</v>
      </c>
      <c r="D950" s="113" t="str">
        <f>IFERROR(INDEX(Product_Structure[SuperCategory Name ENG],MATCH(Товары[[#This Row],[SubGroup]],Product_Structure[Subgroup],0)),"")</f>
        <v>Watering (mobile, sprinkler system&amp;MDS, Ponds)</v>
      </c>
      <c r="E9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0" s="113" t="str">
        <f>IFERROR(INDEX(Product_Structure[Product group],MATCH(Товары[[#This Row],[SubGroup]],Product_Structure[Subgroup],0)),"")</f>
        <v>WMA_C</v>
      </c>
      <c r="G950" s="113" t="str">
        <f>IFERROR(INDEX(Product_Structure[Product group name ENG],MATCH(Товары[[#This Row],[SubGroup]],Product_Structure[Subgroup],0)),"")</f>
        <v>Watering Mobile Attachments</v>
      </c>
      <c r="H950" s="113" t="str">
        <f>IFERROR(INDEX(Product_Structure[Generic Name (long)3],MATCH(Товары[[#This Row],[SubGroup]],Product_Structure[Subgroup],0)),"")</f>
        <v>Наконечники для полива</v>
      </c>
      <c r="I950" s="36">
        <v>9022</v>
      </c>
      <c r="J950" s="36" t="str">
        <f>IFERROR(INDEX(Product_Structure[Generic Name (long)],MATCH(Товары[[#This Row],[SubGroup]],Product_Structure[Subgroup],0)),"")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Row],[SubGroup]],DIY!$B:$C,2,FALSE),0)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3" t="str">
        <f>IFERROR(INDEX(Product_Structure[SuperCategory],MATCH(Товары[[#This Row],[SubGroup]],Product_Structure[Subgroup],0)),"")</f>
        <v>W</v>
      </c>
      <c r="D951" s="113" t="str">
        <f>IFERROR(INDEX(Product_Structure[SuperCategory Name ENG],MATCH(Товары[[#This Row],[SubGroup]],Product_Structure[Subgroup],0)),"")</f>
        <v>Watering (mobile, sprinkler system&amp;MDS, Ponds)</v>
      </c>
      <c r="E9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1" s="113" t="str">
        <f>IFERROR(INDEX(Product_Structure[Product group],MATCH(Товары[[#This Row],[SubGroup]],Product_Structure[Subgroup],0)),"")</f>
        <v>WMA_C</v>
      </c>
      <c r="G951" s="113" t="str">
        <f>IFERROR(INDEX(Product_Structure[Product group name ENG],MATCH(Товары[[#This Row],[SubGroup]],Product_Structure[Subgroup],0)),"")</f>
        <v>Watering Mobile Attachments</v>
      </c>
      <c r="H951" s="113" t="str">
        <f>IFERROR(INDEX(Product_Structure[Generic Name (long)3],MATCH(Товары[[#This Row],[SubGroup]],Product_Structure[Subgroup],0)),"")</f>
        <v>Наконечники для полива</v>
      </c>
      <c r="I951" s="36">
        <v>9022</v>
      </c>
      <c r="J951" s="36" t="str">
        <f>IFERROR(INDEX(Product_Structure[Generic Name (long)],MATCH(Товары[[#This Row],[SubGroup]],Product_Structure[Subgroup],0)),"")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Row],[SubGroup]],DIY!$B:$C,2,FALSE),0)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3" t="str">
        <f>IFERROR(INDEX(Product_Structure[SuperCategory],MATCH(Товары[[#This Row],[SubGroup]],Product_Structure[Subgroup],0)),"")</f>
        <v>W</v>
      </c>
      <c r="D952" s="113" t="str">
        <f>IFERROR(INDEX(Product_Structure[SuperCategory Name ENG],MATCH(Товары[[#This Row],[SubGroup]],Product_Structure[Subgroup],0)),"")</f>
        <v>Watering (mobile, sprinkler system&amp;MDS, Ponds)</v>
      </c>
      <c r="E9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2" s="113" t="str">
        <f>IFERROR(INDEX(Product_Structure[Product group],MATCH(Товары[[#This Row],[SubGroup]],Product_Structure[Subgroup],0)),"")</f>
        <v>WMA_C</v>
      </c>
      <c r="G952" s="113" t="str">
        <f>IFERROR(INDEX(Product_Structure[Product group name ENG],MATCH(Товары[[#This Row],[SubGroup]],Product_Structure[Subgroup],0)),"")</f>
        <v>Watering Mobile Attachments</v>
      </c>
      <c r="H952" s="113" t="str">
        <f>IFERROR(INDEX(Product_Structure[Generic Name (long)3],MATCH(Товары[[#This Row],[SubGroup]],Product_Structure[Subgroup],0)),"")</f>
        <v>Наконечники для полива</v>
      </c>
      <c r="I952" s="36">
        <v>9022</v>
      </c>
      <c r="J952" s="36" t="str">
        <f>IFERROR(INDEX(Product_Structure[Generic Name (long)],MATCH(Товары[[#This Row],[SubGroup]],Product_Structure[Subgroup],0)),"")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Row],[SubGroup]],DIY!$B:$C,2,FALSE),0)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3" t="str">
        <f>IFERROR(INDEX(Product_Structure[SuperCategory],MATCH(Товары[[#This Row],[SubGroup]],Product_Structure[Subgroup],0)),"")</f>
        <v>W</v>
      </c>
      <c r="D953" s="113" t="str">
        <f>IFERROR(INDEX(Product_Structure[SuperCategory Name ENG],MATCH(Товары[[#This Row],[SubGroup]],Product_Structure[Subgroup],0)),"")</f>
        <v>Watering (mobile, sprinkler system&amp;MDS, Ponds)</v>
      </c>
      <c r="E9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3" s="113" t="str">
        <f>IFERROR(INDEX(Product_Structure[Product group],MATCH(Товары[[#This Row],[SubGroup]],Product_Structure[Subgroup],0)),"")</f>
        <v>WMA_C</v>
      </c>
      <c r="G953" s="113" t="str">
        <f>IFERROR(INDEX(Product_Structure[Product group name ENG],MATCH(Товары[[#This Row],[SubGroup]],Product_Structure[Subgroup],0)),"")</f>
        <v>Watering Mobile Attachments</v>
      </c>
      <c r="H953" s="113" t="str">
        <f>IFERROR(INDEX(Product_Structure[Generic Name (long)3],MATCH(Товары[[#This Row],[SubGroup]],Product_Structure[Subgroup],0)),"")</f>
        <v>Наконечники для полива</v>
      </c>
      <c r="I953" s="36">
        <v>9022</v>
      </c>
      <c r="J953" s="36" t="str">
        <f>IFERROR(INDEX(Product_Structure[Generic Name (long)],MATCH(Товары[[#This Row],[SubGroup]],Product_Structure[Subgroup],0)),"")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Row],[SubGroup]],DIY!$B:$C,2,FALSE),0)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3" t="str">
        <f>IFERROR(INDEX(Product_Structure[SuperCategory],MATCH(Товары[[#This Row],[SubGroup]],Product_Structure[Subgroup],0)),"")</f>
        <v>W</v>
      </c>
      <c r="D954" s="113" t="str">
        <f>IFERROR(INDEX(Product_Structure[SuperCategory Name ENG],MATCH(Товары[[#This Row],[SubGroup]],Product_Structure[Subgroup],0)),"")</f>
        <v>Watering (mobile, sprinkler system&amp;MDS, Ponds)</v>
      </c>
      <c r="E9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4" s="113" t="str">
        <f>IFERROR(INDEX(Product_Structure[Product group],MATCH(Товары[[#This Row],[SubGroup]],Product_Structure[Subgroup],0)),"")</f>
        <v>WMA_C</v>
      </c>
      <c r="G954" s="113" t="str">
        <f>IFERROR(INDEX(Product_Structure[Product group name ENG],MATCH(Товары[[#This Row],[SubGroup]],Product_Structure[Subgroup],0)),"")</f>
        <v>Watering Mobile Attachments</v>
      </c>
      <c r="H954" s="113" t="str">
        <f>IFERROR(INDEX(Product_Structure[Generic Name (long)3],MATCH(Товары[[#This Row],[SubGroup]],Product_Structure[Subgroup],0)),"")</f>
        <v>Наконечники для полива</v>
      </c>
      <c r="I954" s="36">
        <v>9022</v>
      </c>
      <c r="J954" s="36" t="str">
        <f>IFERROR(INDEX(Product_Structure[Generic Name (long)],MATCH(Товары[[#This Row],[SubGroup]],Product_Structure[Subgroup],0)),"")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Row],[SubGroup]],DIY!$B:$C,2,FALSE),0)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3" t="str">
        <f>IFERROR(INDEX(Product_Structure[SuperCategory],MATCH(Товары[[#This Row],[SubGroup]],Product_Structure[Subgroup],0)),"")</f>
        <v>W</v>
      </c>
      <c r="D955" s="113" t="str">
        <f>IFERROR(INDEX(Product_Structure[SuperCategory Name ENG],MATCH(Товары[[#This Row],[SubGroup]],Product_Structure[Subgroup],0)),"")</f>
        <v>Watering (mobile, sprinkler system&amp;MDS, Ponds)</v>
      </c>
      <c r="E9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5" s="113" t="str">
        <f>IFERROR(INDEX(Product_Structure[Product group],MATCH(Товары[[#This Row],[SubGroup]],Product_Structure[Subgroup],0)),"")</f>
        <v>WMA_C</v>
      </c>
      <c r="G955" s="113" t="str">
        <f>IFERROR(INDEX(Product_Structure[Product group name ENG],MATCH(Товары[[#This Row],[SubGroup]],Product_Structure[Subgroup],0)),"")</f>
        <v>Watering Mobile Attachments</v>
      </c>
      <c r="H955" s="113" t="str">
        <f>IFERROR(INDEX(Product_Structure[Generic Name (long)3],MATCH(Товары[[#This Row],[SubGroup]],Product_Structure[Subgroup],0)),"")</f>
        <v>Наконечники для полива</v>
      </c>
      <c r="I955" s="36">
        <v>9022</v>
      </c>
      <c r="J955" s="36" t="str">
        <f>IFERROR(INDEX(Product_Structure[Generic Name (long)],MATCH(Товары[[#This Row],[SubGroup]],Product_Structure[Subgroup],0)),"")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Row],[SubGroup]],DIY!$B:$C,2,FALSE),0)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3" t="str">
        <f>IFERROR(INDEX(Product_Structure[SuperCategory],MATCH(Товары[[#This Row],[SubGroup]],Product_Structure[Subgroup],0)),"")</f>
        <v>W</v>
      </c>
      <c r="D956" s="113" t="str">
        <f>IFERROR(INDEX(Product_Structure[SuperCategory Name ENG],MATCH(Товары[[#This Row],[SubGroup]],Product_Structure[Subgroup],0)),"")</f>
        <v>Watering (mobile, sprinkler system&amp;MDS, Ponds)</v>
      </c>
      <c r="E9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6" s="113" t="str">
        <f>IFERROR(INDEX(Product_Structure[Product group],MATCH(Товары[[#This Row],[SubGroup]],Product_Structure[Subgroup],0)),"")</f>
        <v>WMA_C</v>
      </c>
      <c r="G956" s="113" t="str">
        <f>IFERROR(INDEX(Product_Structure[Product group name ENG],MATCH(Товары[[#This Row],[SubGroup]],Product_Structure[Subgroup],0)),"")</f>
        <v>Watering Mobile Attachments</v>
      </c>
      <c r="H956" s="113" t="str">
        <f>IFERROR(INDEX(Product_Structure[Generic Name (long)3],MATCH(Товары[[#This Row],[SubGroup]],Product_Structure[Subgroup],0)),"")</f>
        <v>Наконечники для полива</v>
      </c>
      <c r="I956" s="36">
        <v>9022</v>
      </c>
      <c r="J956" s="36" t="str">
        <f>IFERROR(INDEX(Product_Structure[Generic Name (long)],MATCH(Товары[[#This Row],[SubGroup]],Product_Structure[Subgroup],0)),"")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Row],[SubGroup]],DIY!$B:$C,2,FALSE),0)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3" t="str">
        <f>IFERROR(INDEX(Product_Structure[SuperCategory],MATCH(Товары[[#This Row],[SubGroup]],Product_Structure[Subgroup],0)),"")</f>
        <v>W</v>
      </c>
      <c r="D957" s="113" t="str">
        <f>IFERROR(INDEX(Product_Structure[SuperCategory Name ENG],MATCH(Товары[[#This Row],[SubGroup]],Product_Structure[Subgroup],0)),"")</f>
        <v>Watering (mobile, sprinkler system&amp;MDS, Ponds)</v>
      </c>
      <c r="E9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7" s="113" t="str">
        <f>IFERROR(INDEX(Product_Structure[Product group],MATCH(Товары[[#This Row],[SubGroup]],Product_Structure[Subgroup],0)),"")</f>
        <v>WMA_C</v>
      </c>
      <c r="G957" s="113" t="str">
        <f>IFERROR(INDEX(Product_Structure[Product group name ENG],MATCH(Товары[[#This Row],[SubGroup]],Product_Structure[Subgroup],0)),"")</f>
        <v>Watering Mobile Attachments</v>
      </c>
      <c r="H957" s="113" t="str">
        <f>IFERROR(INDEX(Product_Structure[Generic Name (long)3],MATCH(Товары[[#This Row],[SubGroup]],Product_Structure[Subgroup],0)),"")</f>
        <v>Наконечники для полива</v>
      </c>
      <c r="I957" s="36">
        <v>9022</v>
      </c>
      <c r="J957" s="36" t="str">
        <f>IFERROR(INDEX(Product_Structure[Generic Name (long)],MATCH(Товары[[#This Row],[SubGroup]],Product_Structure[Subgroup],0)),"")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Row],[SubGroup]],DIY!$B:$C,2,FALSE),0)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3" t="str">
        <f>IFERROR(INDEX(Product_Structure[SuperCategory],MATCH(Товары[[#This Row],[SubGroup]],Product_Structure[Subgroup],0)),"")</f>
        <v>W</v>
      </c>
      <c r="D958" s="113" t="str">
        <f>IFERROR(INDEX(Product_Structure[SuperCategory Name ENG],MATCH(Товары[[#This Row],[SubGroup]],Product_Structure[Subgroup],0)),"")</f>
        <v>Watering (mobile, sprinkler system&amp;MDS, Ponds)</v>
      </c>
      <c r="E9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8" s="113" t="str">
        <f>IFERROR(INDEX(Product_Structure[Product group],MATCH(Товары[[#This Row],[SubGroup]],Product_Structure[Subgroup],0)),"")</f>
        <v>WMA_C</v>
      </c>
      <c r="G958" s="113" t="str">
        <f>IFERROR(INDEX(Product_Structure[Product group name ENG],MATCH(Товары[[#This Row],[SubGroup]],Product_Structure[Subgroup],0)),"")</f>
        <v>Watering Mobile Attachments</v>
      </c>
      <c r="H958" s="113" t="str">
        <f>IFERROR(INDEX(Product_Structure[Generic Name (long)3],MATCH(Товары[[#This Row],[SubGroup]],Product_Structure[Subgroup],0)),"")</f>
        <v>Наконечники для полива</v>
      </c>
      <c r="I958" s="36">
        <v>9022</v>
      </c>
      <c r="J958" s="36" t="str">
        <f>IFERROR(INDEX(Product_Structure[Generic Name (long)],MATCH(Товары[[#This Row],[SubGroup]],Product_Structure[Subgroup],0)),"")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Row],[SubGroup]],DIY!$B:$C,2,FALSE),0)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3" t="str">
        <f>IFERROR(INDEX(Product_Structure[SuperCategory],MATCH(Товары[[#This Row],[SubGroup]],Product_Structure[Subgroup],0)),"")</f>
        <v>W</v>
      </c>
      <c r="D959" s="113" t="str">
        <f>IFERROR(INDEX(Product_Structure[SuperCategory Name ENG],MATCH(Товары[[#This Row],[SubGroup]],Product_Structure[Subgroup],0)),"")</f>
        <v>Watering (mobile, sprinkler system&amp;MDS, Ponds)</v>
      </c>
      <c r="E9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59" s="113" t="str">
        <f>IFERROR(INDEX(Product_Structure[Product group],MATCH(Товары[[#This Row],[SubGroup]],Product_Structure[Subgroup],0)),"")</f>
        <v>WMA_C</v>
      </c>
      <c r="G959" s="113" t="str">
        <f>IFERROR(INDEX(Product_Structure[Product group name ENG],MATCH(Товары[[#This Row],[SubGroup]],Product_Structure[Subgroup],0)),"")</f>
        <v>Watering Mobile Attachments</v>
      </c>
      <c r="H959" s="113" t="str">
        <f>IFERROR(INDEX(Product_Structure[Generic Name (long)3],MATCH(Товары[[#This Row],[SubGroup]],Product_Structure[Subgroup],0)),"")</f>
        <v>Наконечники для полива</v>
      </c>
      <c r="I959" s="36">
        <v>9022</v>
      </c>
      <c r="J959" s="36" t="str">
        <f>IFERROR(INDEX(Product_Structure[Generic Name (long)],MATCH(Товары[[#This Row],[SubGroup]],Product_Structure[Subgroup],0)),"")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Row],[SubGroup]],DIY!$B:$C,2,FALSE),0)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3" t="str">
        <f>IFERROR(INDEX(Product_Structure[SuperCategory],MATCH(Товары[[#This Row],[SubGroup]],Product_Structure[Subgroup],0)),"")</f>
        <v>W</v>
      </c>
      <c r="D960" s="113" t="str">
        <f>IFERROR(INDEX(Product_Structure[SuperCategory Name ENG],MATCH(Товары[[#This Row],[SubGroup]],Product_Structure[Subgroup],0)),"")</f>
        <v>Watering (mobile, sprinkler system&amp;MDS, Ponds)</v>
      </c>
      <c r="E9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0" s="113" t="str">
        <f>IFERROR(INDEX(Product_Structure[Product group],MATCH(Товары[[#This Row],[SubGroup]],Product_Structure[Subgroup],0)),"")</f>
        <v>WMA_C</v>
      </c>
      <c r="G960" s="113" t="str">
        <f>IFERROR(INDEX(Product_Structure[Product group name ENG],MATCH(Товары[[#This Row],[SubGroup]],Product_Structure[Subgroup],0)),"")</f>
        <v>Watering Mobile Attachments</v>
      </c>
      <c r="H960" s="113" t="str">
        <f>IFERROR(INDEX(Product_Structure[Generic Name (long)3],MATCH(Товары[[#This Row],[SubGroup]],Product_Structure[Subgroup],0)),"")</f>
        <v>Наконечники для полива</v>
      </c>
      <c r="I960" s="36">
        <v>9022</v>
      </c>
      <c r="J960" s="36" t="str">
        <f>IFERROR(INDEX(Product_Structure[Generic Name (long)],MATCH(Товары[[#This Row],[SubGroup]],Product_Structure[Subgroup],0)),"")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Row],[SubGroup]],DIY!$B:$C,2,FALSE),0)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3" t="str">
        <f>IFERROR(INDEX(Product_Structure[SuperCategory],MATCH(Товары[[#This Row],[SubGroup]],Product_Structure[Subgroup],0)),"")</f>
        <v>W</v>
      </c>
      <c r="D961" s="113" t="str">
        <f>IFERROR(INDEX(Product_Structure[SuperCategory Name ENG],MATCH(Товары[[#This Row],[SubGroup]],Product_Structure[Subgroup],0)),"")</f>
        <v>Watering (mobile, sprinkler system&amp;MDS, Ponds)</v>
      </c>
      <c r="E9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1" s="113" t="str">
        <f>IFERROR(INDEX(Product_Structure[Product group],MATCH(Товары[[#This Row],[SubGroup]],Product_Structure[Subgroup],0)),"")</f>
        <v>WMA_C</v>
      </c>
      <c r="G961" s="113" t="str">
        <f>IFERROR(INDEX(Product_Structure[Product group name ENG],MATCH(Товары[[#This Row],[SubGroup]],Product_Structure[Subgroup],0)),"")</f>
        <v>Watering Mobile Attachments</v>
      </c>
      <c r="H961" s="113" t="str">
        <f>IFERROR(INDEX(Product_Structure[Generic Name (long)3],MATCH(Товары[[#This Row],[SubGroup]],Product_Structure[Subgroup],0)),"")</f>
        <v>Наконечники для полива</v>
      </c>
      <c r="I961" s="36">
        <v>9022</v>
      </c>
      <c r="J961" s="36" t="str">
        <f>IFERROR(INDEX(Product_Structure[Generic Name (long)],MATCH(Товары[[#This Row],[SubGroup]],Product_Structure[Subgroup],0)),"")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Row],[SubGroup]],DIY!$B:$C,2,FALSE),0)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3" t="str">
        <f>IFERROR(INDEX(Product_Structure[SuperCategory],MATCH(Товары[[#This Row],[SubGroup]],Product_Structure[Subgroup],0)),"")</f>
        <v>W</v>
      </c>
      <c r="D962" s="113" t="str">
        <f>IFERROR(INDEX(Product_Structure[SuperCategory Name ENG],MATCH(Товары[[#This Row],[SubGroup]],Product_Structure[Subgroup],0)),"")</f>
        <v>Watering (mobile, sprinkler system&amp;MDS, Ponds)</v>
      </c>
      <c r="E9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2" s="113" t="str">
        <f>IFERROR(INDEX(Product_Structure[Product group],MATCH(Товары[[#This Row],[SubGroup]],Product_Structure[Subgroup],0)),"")</f>
        <v>WMA_C</v>
      </c>
      <c r="G962" s="113" t="str">
        <f>IFERROR(INDEX(Product_Structure[Product group name ENG],MATCH(Товары[[#This Row],[SubGroup]],Product_Structure[Subgroup],0)),"")</f>
        <v>Watering Mobile Attachments</v>
      </c>
      <c r="H962" s="113" t="str">
        <f>IFERROR(INDEX(Product_Structure[Generic Name (long)3],MATCH(Товары[[#This Row],[SubGroup]],Product_Structure[Subgroup],0)),"")</f>
        <v>Наконечники для полива</v>
      </c>
      <c r="I962" s="36">
        <v>9022</v>
      </c>
      <c r="J962" s="36" t="str">
        <f>IFERROR(INDEX(Product_Structure[Generic Name (long)],MATCH(Товары[[#This Row],[SubGroup]],Product_Structure[Subgroup],0)),"")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Row],[SubGroup]],DIY!$B:$C,2,FALSE),0)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3" t="str">
        <f>IFERROR(INDEX(Product_Structure[SuperCategory],MATCH(Товары[[#This Row],[SubGroup]],Product_Structure[Subgroup],0)),"")</f>
        <v>W</v>
      </c>
      <c r="D963" s="113" t="str">
        <f>IFERROR(INDEX(Product_Structure[SuperCategory Name ENG],MATCH(Товары[[#This Row],[SubGroup]],Product_Structure[Subgroup],0)),"")</f>
        <v>Watering (mobile, sprinkler system&amp;MDS, Ponds)</v>
      </c>
      <c r="E9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3" s="113" t="str">
        <f>IFERROR(INDEX(Product_Structure[Product group],MATCH(Товары[[#This Row],[SubGroup]],Product_Structure[Subgroup],0)),"")</f>
        <v>WMA_C</v>
      </c>
      <c r="G963" s="113" t="str">
        <f>IFERROR(INDEX(Product_Structure[Product group name ENG],MATCH(Товары[[#This Row],[SubGroup]],Product_Structure[Subgroup],0)),"")</f>
        <v>Watering Mobile Attachments</v>
      </c>
      <c r="H963" s="113" t="str">
        <f>IFERROR(INDEX(Product_Structure[Generic Name (long)3],MATCH(Товары[[#This Row],[SubGroup]],Product_Structure[Subgroup],0)),"")</f>
        <v>Наконечники для полива</v>
      </c>
      <c r="I963" s="36">
        <v>9022</v>
      </c>
      <c r="J963" s="36" t="str">
        <f>IFERROR(INDEX(Product_Structure[Generic Name (long)],MATCH(Товары[[#This Row],[SubGroup]],Product_Structure[Subgroup],0)),"")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Row],[SubGroup]],DIY!$B:$C,2,FALSE),0)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3" t="str">
        <f>IFERROR(INDEX(Product_Structure[SuperCategory],MATCH(Товары[[#This Row],[SubGroup]],Product_Structure[Subgroup],0)),"")</f>
        <v>W</v>
      </c>
      <c r="D964" s="113" t="str">
        <f>IFERROR(INDEX(Product_Structure[SuperCategory Name ENG],MATCH(Товары[[#This Row],[SubGroup]],Product_Structure[Subgroup],0)),"")</f>
        <v>Watering (mobile, sprinkler system&amp;MDS, Ponds)</v>
      </c>
      <c r="E9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4" s="113" t="str">
        <f>IFERROR(INDEX(Product_Structure[Product group],MATCH(Товары[[#This Row],[SubGroup]],Product_Structure[Subgroup],0)),"")</f>
        <v>WMA_C</v>
      </c>
      <c r="G964" s="113" t="str">
        <f>IFERROR(INDEX(Product_Structure[Product group name ENG],MATCH(Товары[[#This Row],[SubGroup]],Product_Structure[Subgroup],0)),"")</f>
        <v>Watering Mobile Attachments</v>
      </c>
      <c r="H964" s="113" t="str">
        <f>IFERROR(INDEX(Product_Structure[Generic Name (long)3],MATCH(Товары[[#This Row],[SubGroup]],Product_Structure[Subgroup],0)),"")</f>
        <v>Наконечники для полива</v>
      </c>
      <c r="I964" s="36">
        <v>9022</v>
      </c>
      <c r="J964" s="36" t="str">
        <f>IFERROR(INDEX(Product_Structure[Generic Name (long)],MATCH(Товары[[#This Row],[SubGroup]],Product_Structure[Subgroup],0)),"")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Row],[SubGroup]],DIY!$B:$C,2,FALSE),0)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3" t="str">
        <f>IFERROR(INDEX(Product_Structure[SuperCategory],MATCH(Товары[[#This Row],[SubGroup]],Product_Structure[Subgroup],0)),"")</f>
        <v>W</v>
      </c>
      <c r="D965" s="113" t="str">
        <f>IFERROR(INDEX(Product_Structure[SuperCategory Name ENG],MATCH(Товары[[#This Row],[SubGroup]],Product_Structure[Subgroup],0)),"")</f>
        <v>Watering (mobile, sprinkler system&amp;MDS, Ponds)</v>
      </c>
      <c r="E9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5" s="113" t="str">
        <f>IFERROR(INDEX(Product_Structure[Product group],MATCH(Товары[[#This Row],[SubGroup]],Product_Structure[Subgroup],0)),"")</f>
        <v>WMA_C</v>
      </c>
      <c r="G965" s="113" t="str">
        <f>IFERROR(INDEX(Product_Structure[Product group name ENG],MATCH(Товары[[#This Row],[SubGroup]],Product_Structure[Subgroup],0)),"")</f>
        <v>Watering Mobile Attachments</v>
      </c>
      <c r="H965" s="113" t="str">
        <f>IFERROR(INDEX(Product_Structure[Generic Name (long)3],MATCH(Товары[[#This Row],[SubGroup]],Product_Structure[Subgroup],0)),"")</f>
        <v>Наконечники для полива</v>
      </c>
      <c r="I965" s="36">
        <v>9022</v>
      </c>
      <c r="J965" s="36" t="str">
        <f>IFERROR(INDEX(Product_Structure[Generic Name (long)],MATCH(Товары[[#This Row],[SubGroup]],Product_Structure[Subgroup],0)),"")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Row],[SubGroup]],DIY!$B:$C,2,FALSE),0)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3" t="str">
        <f>IFERROR(INDEX(Product_Structure[SuperCategory],MATCH(Товары[[#This Row],[SubGroup]],Product_Structure[Subgroup],0)),"")</f>
        <v>W</v>
      </c>
      <c r="D966" s="113" t="str">
        <f>IFERROR(INDEX(Product_Structure[SuperCategory Name ENG],MATCH(Товары[[#This Row],[SubGroup]],Product_Structure[Subgroup],0)),"")</f>
        <v>Watering (mobile, sprinkler system&amp;MDS, Ponds)</v>
      </c>
      <c r="E9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6" s="113" t="str">
        <f>IFERROR(INDEX(Product_Structure[Product group],MATCH(Товары[[#This Row],[SubGroup]],Product_Structure[Subgroup],0)),"")</f>
        <v>WMA_C</v>
      </c>
      <c r="G966" s="113" t="str">
        <f>IFERROR(INDEX(Product_Structure[Product group name ENG],MATCH(Товары[[#This Row],[SubGroup]],Product_Structure[Subgroup],0)),"")</f>
        <v>Watering Mobile Attachments</v>
      </c>
      <c r="H966" s="113" t="str">
        <f>IFERROR(INDEX(Product_Structure[Generic Name (long)3],MATCH(Товары[[#This Row],[SubGroup]],Product_Structure[Subgroup],0)),"")</f>
        <v>Наконечники для полива</v>
      </c>
      <c r="I966" s="36">
        <v>9022</v>
      </c>
      <c r="J966" s="36" t="str">
        <f>IFERROR(INDEX(Product_Structure[Generic Name (long)],MATCH(Товары[[#This Row],[SubGroup]],Product_Structure[Subgroup],0)),"")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Row],[SubGroup]],DIY!$B:$C,2,FALSE),0)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3" t="str">
        <f>IFERROR(INDEX(Product_Structure[SuperCategory],MATCH(Товары[[#This Row],[SubGroup]],Product_Structure[Subgroup],0)),"")</f>
        <v>W</v>
      </c>
      <c r="D967" s="113" t="str">
        <f>IFERROR(INDEX(Product_Structure[SuperCategory Name ENG],MATCH(Товары[[#This Row],[SubGroup]],Product_Structure[Subgroup],0)),"")</f>
        <v>Watering (mobile, sprinkler system&amp;MDS, Ponds)</v>
      </c>
      <c r="E9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7" s="113" t="str">
        <f>IFERROR(INDEX(Product_Structure[Product group],MATCH(Товары[[#This Row],[SubGroup]],Product_Structure[Subgroup],0)),"")</f>
        <v>WMA_C</v>
      </c>
      <c r="G967" s="113" t="str">
        <f>IFERROR(INDEX(Product_Structure[Product group name ENG],MATCH(Товары[[#This Row],[SubGroup]],Product_Structure[Subgroup],0)),"")</f>
        <v>Watering Mobile Attachments</v>
      </c>
      <c r="H967" s="113" t="str">
        <f>IFERROR(INDEX(Product_Structure[Generic Name (long)3],MATCH(Товары[[#This Row],[SubGroup]],Product_Structure[Subgroup],0)),"")</f>
        <v>Наконечники для полива</v>
      </c>
      <c r="I967" s="36">
        <v>9022</v>
      </c>
      <c r="J967" s="36" t="str">
        <f>IFERROR(INDEX(Product_Structure[Generic Name (long)],MATCH(Товары[[#This Row],[SubGroup]],Product_Structure[Subgroup],0)),"")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Row],[SubGroup]],DIY!$B:$C,2,FALSE),0)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3" t="str">
        <f>IFERROR(INDEX(Product_Structure[SuperCategory],MATCH(Товары[[#This Row],[SubGroup]],Product_Structure[Subgroup],0)),"")</f>
        <v>W</v>
      </c>
      <c r="D968" s="113" t="str">
        <f>IFERROR(INDEX(Product_Structure[SuperCategory Name ENG],MATCH(Товары[[#This Row],[SubGroup]],Product_Structure[Subgroup],0)),"")</f>
        <v>Watering (mobile, sprinkler system&amp;MDS, Ponds)</v>
      </c>
      <c r="E9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8" s="113" t="str">
        <f>IFERROR(INDEX(Product_Structure[Product group],MATCH(Товары[[#This Row],[SubGroup]],Product_Structure[Subgroup],0)),"")</f>
        <v>WMA_C</v>
      </c>
      <c r="G968" s="113" t="str">
        <f>IFERROR(INDEX(Product_Structure[Product group name ENG],MATCH(Товары[[#This Row],[SubGroup]],Product_Structure[Subgroup],0)),"")</f>
        <v>Watering Mobile Attachments</v>
      </c>
      <c r="H968" s="113" t="str">
        <f>IFERROR(INDEX(Product_Structure[Generic Name (long)3],MATCH(Товары[[#This Row],[SubGroup]],Product_Structure[Subgroup],0)),"")</f>
        <v>Наконечники для полива</v>
      </c>
      <c r="I968" s="36">
        <v>9022</v>
      </c>
      <c r="J968" s="36" t="str">
        <f>IFERROR(INDEX(Product_Structure[Generic Name (long)],MATCH(Товары[[#This Row],[SubGroup]],Product_Structure[Subgroup],0)),"")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Row],[SubGroup]],DIY!$B:$C,2,FALSE),0)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3" t="str">
        <f>IFERROR(INDEX(Product_Structure[SuperCategory],MATCH(Товары[[#This Row],[SubGroup]],Product_Structure[Subgroup],0)),"")</f>
        <v>W</v>
      </c>
      <c r="D969" s="113" t="str">
        <f>IFERROR(INDEX(Product_Structure[SuperCategory Name ENG],MATCH(Товары[[#This Row],[SubGroup]],Product_Structure[Subgroup],0)),"")</f>
        <v>Watering (mobile, sprinkler system&amp;MDS, Ponds)</v>
      </c>
      <c r="E9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69" s="113" t="str">
        <f>IFERROR(INDEX(Product_Structure[Product group],MATCH(Товары[[#This Row],[SubGroup]],Product_Structure[Subgroup],0)),"")</f>
        <v>WMH_C</v>
      </c>
      <c r="G969" s="113" t="str">
        <f>IFERROR(INDEX(Product_Structure[Product group name ENG],MATCH(Товары[[#This Row],[SubGroup]],Product_Structure[Subgroup],0)),"")</f>
        <v>Watering Mobile Hoses</v>
      </c>
      <c r="H969" s="113" t="str">
        <f>IFERROR(INDEX(Product_Structure[Generic Name (long)3],MATCH(Товары[[#This Row],[SubGroup]],Product_Structure[Subgroup],0)),"")</f>
        <v>Садовые шланги</v>
      </c>
      <c r="I969" s="36">
        <v>9014</v>
      </c>
      <c r="J969" s="36" t="str">
        <f>IFERROR(INDEX(Product_Structure[Generic Name (long)],MATCH(Товары[[#This Row],[SubGroup]],Product_Structure[Subgroup],0)),"")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Row],[SubGroup]],DIY!$B:$C,2,FALSE),0)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3" t="str">
        <f>IFERROR(INDEX(Product_Structure[SuperCategory],MATCH(Товары[[#This Row],[SubGroup]],Product_Structure[Subgroup],0)),"")</f>
        <v>W</v>
      </c>
      <c r="D970" s="113" t="str">
        <f>IFERROR(INDEX(Product_Structure[SuperCategory Name ENG],MATCH(Товары[[#This Row],[SubGroup]],Product_Structure[Subgroup],0)),"")</f>
        <v>Watering (mobile, sprinkler system&amp;MDS, Ponds)</v>
      </c>
      <c r="E9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0" s="113" t="str">
        <f>IFERROR(INDEX(Product_Structure[Product group],MATCH(Товары[[#This Row],[SubGroup]],Product_Structure[Subgroup],0)),"")</f>
        <v>WMH_C</v>
      </c>
      <c r="G970" s="113" t="str">
        <f>IFERROR(INDEX(Product_Structure[Product group name ENG],MATCH(Товары[[#This Row],[SubGroup]],Product_Structure[Subgroup],0)),"")</f>
        <v>Watering Mobile Hoses</v>
      </c>
      <c r="H970" s="113" t="str">
        <f>IFERROR(INDEX(Product_Structure[Generic Name (long)3],MATCH(Товары[[#This Row],[SubGroup]],Product_Structure[Subgroup],0)),"")</f>
        <v>Садовые шланги</v>
      </c>
      <c r="I970" s="36">
        <v>9014</v>
      </c>
      <c r="J970" s="36" t="str">
        <f>IFERROR(INDEX(Product_Structure[Generic Name (long)],MATCH(Товары[[#This Row],[SubGroup]],Product_Structure[Subgroup],0)),"")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Row],[SubGroup]],DIY!$B:$C,2,FALSE),0)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3" t="str">
        <f>IFERROR(INDEX(Product_Structure[SuperCategory],MATCH(Товары[[#This Row],[SubGroup]],Product_Structure[Subgroup],0)),"")</f>
        <v>W</v>
      </c>
      <c r="D971" s="113" t="str">
        <f>IFERROR(INDEX(Product_Structure[SuperCategory Name ENG],MATCH(Товары[[#This Row],[SubGroup]],Product_Structure[Subgroup],0)),"")</f>
        <v>Watering (mobile, sprinkler system&amp;MDS, Ponds)</v>
      </c>
      <c r="E9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1" s="113" t="str">
        <f>IFERROR(INDEX(Product_Structure[Product group],MATCH(Товары[[#This Row],[SubGroup]],Product_Structure[Subgroup],0)),"")</f>
        <v>WMH_C</v>
      </c>
      <c r="G971" s="113" t="str">
        <f>IFERROR(INDEX(Product_Structure[Product group name ENG],MATCH(Товары[[#This Row],[SubGroup]],Product_Structure[Subgroup],0)),"")</f>
        <v>Watering Mobile Hoses</v>
      </c>
      <c r="H971" s="113" t="str">
        <f>IFERROR(INDEX(Product_Structure[Generic Name (long)3],MATCH(Товары[[#This Row],[SubGroup]],Product_Structure[Subgroup],0)),"")</f>
        <v>Садовые шланги</v>
      </c>
      <c r="I971" s="36">
        <v>9014</v>
      </c>
      <c r="J971" s="36" t="str">
        <f>IFERROR(INDEX(Product_Structure[Generic Name (long)],MATCH(Товары[[#This Row],[SubGroup]],Product_Structure[Subgroup],0)),"")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Row],[SubGroup]],DIY!$B:$C,2,FALSE),0)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3" t="str">
        <f>IFERROR(INDEX(Product_Structure[SuperCategory],MATCH(Товары[[#This Row],[SubGroup]],Product_Structure[Subgroup],0)),"")</f>
        <v>W</v>
      </c>
      <c r="D972" s="113" t="str">
        <f>IFERROR(INDEX(Product_Structure[SuperCategory Name ENG],MATCH(Товары[[#This Row],[SubGroup]],Product_Structure[Subgroup],0)),"")</f>
        <v>Watering (mobile, sprinkler system&amp;MDS, Ponds)</v>
      </c>
      <c r="E9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2" s="113" t="str">
        <f>IFERROR(INDEX(Product_Structure[Product group],MATCH(Товары[[#This Row],[SubGroup]],Product_Structure[Subgroup],0)),"")</f>
        <v>WMH_C</v>
      </c>
      <c r="G972" s="113" t="str">
        <f>IFERROR(INDEX(Product_Structure[Product group name ENG],MATCH(Товары[[#This Row],[SubGroup]],Product_Structure[Subgroup],0)),"")</f>
        <v>Watering Mobile Hoses</v>
      </c>
      <c r="H972" s="113" t="str">
        <f>IFERROR(INDEX(Product_Structure[Generic Name (long)3],MATCH(Товары[[#This Row],[SubGroup]],Product_Structure[Subgroup],0)),"")</f>
        <v>Садовые шланги</v>
      </c>
      <c r="I972" s="36">
        <v>9014</v>
      </c>
      <c r="J972" s="36" t="str">
        <f>IFERROR(INDEX(Product_Structure[Generic Name (long)],MATCH(Товары[[#This Row],[SubGroup]],Product_Structure[Subgroup],0)),"")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Row],[SubGroup]],DIY!$B:$C,2,FALSE),0)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3" t="str">
        <f>IFERROR(INDEX(Product_Structure[SuperCategory],MATCH(Товары[[#This Row],[SubGroup]],Product_Structure[Subgroup],0)),"")</f>
        <v>W</v>
      </c>
      <c r="D973" s="113" t="str">
        <f>IFERROR(INDEX(Product_Structure[SuperCategory Name ENG],MATCH(Товары[[#This Row],[SubGroup]],Product_Structure[Subgroup],0)),"")</f>
        <v>Watering (mobile, sprinkler system&amp;MDS, Ponds)</v>
      </c>
      <c r="E9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3" s="113" t="str">
        <f>IFERROR(INDEX(Product_Structure[Product group],MATCH(Товары[[#This Row],[SubGroup]],Product_Structure[Subgroup],0)),"")</f>
        <v>WMH_C</v>
      </c>
      <c r="G973" s="113" t="str">
        <f>IFERROR(INDEX(Product_Structure[Product group name ENG],MATCH(Товары[[#This Row],[SubGroup]],Product_Structure[Subgroup],0)),"")</f>
        <v>Watering Mobile Hoses</v>
      </c>
      <c r="H973" s="113" t="str">
        <f>IFERROR(INDEX(Product_Structure[Generic Name (long)3],MATCH(Товары[[#This Row],[SubGroup]],Product_Structure[Subgroup],0)),"")</f>
        <v>Садовые шланги</v>
      </c>
      <c r="I973" s="36">
        <v>9014</v>
      </c>
      <c r="J973" s="36" t="str">
        <f>IFERROR(INDEX(Product_Structure[Generic Name (long)],MATCH(Товары[[#This Row],[SubGroup]],Product_Structure[Subgroup],0)),"")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Row],[SubGroup]],DIY!$B:$C,2,FALSE),0)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3" t="str">
        <f>IFERROR(INDEX(Product_Structure[SuperCategory],MATCH(Товары[[#This Row],[SubGroup]],Product_Structure[Subgroup],0)),"")</f>
        <v>W</v>
      </c>
      <c r="D974" s="113" t="str">
        <f>IFERROR(INDEX(Product_Structure[SuperCategory Name ENG],MATCH(Товары[[#This Row],[SubGroup]],Product_Structure[Subgroup],0)),"")</f>
        <v>Watering (mobile, sprinkler system&amp;MDS, Ponds)</v>
      </c>
      <c r="E9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4" s="113" t="str">
        <f>IFERROR(INDEX(Product_Structure[Product group],MATCH(Товары[[#This Row],[SubGroup]],Product_Structure[Subgroup],0)),"")</f>
        <v>WMH_C</v>
      </c>
      <c r="G974" s="113" t="str">
        <f>IFERROR(INDEX(Product_Structure[Product group name ENG],MATCH(Товары[[#This Row],[SubGroup]],Product_Structure[Subgroup],0)),"")</f>
        <v>Watering Mobile Hoses</v>
      </c>
      <c r="H974" s="113" t="str">
        <f>IFERROR(INDEX(Product_Structure[Generic Name (long)3],MATCH(Товары[[#This Row],[SubGroup]],Product_Structure[Subgroup],0)),"")</f>
        <v>Садовые шланги</v>
      </c>
      <c r="I974" s="36">
        <v>9014</v>
      </c>
      <c r="J974" s="36" t="str">
        <f>IFERROR(INDEX(Product_Structure[Generic Name (long)],MATCH(Товары[[#This Row],[SubGroup]],Product_Structure[Subgroup],0)),"")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Row],[SubGroup]],DIY!$B:$C,2,FALSE),0)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3" t="str">
        <f>IFERROR(INDEX(Product_Structure[SuperCategory],MATCH(Товары[[#This Row],[SubGroup]],Product_Structure[Subgroup],0)),"")</f>
        <v>W</v>
      </c>
      <c r="D975" s="113" t="str">
        <f>IFERROR(INDEX(Product_Structure[SuperCategory Name ENG],MATCH(Товары[[#This Row],[SubGroup]],Product_Structure[Subgroup],0)),"")</f>
        <v>Watering (mobile, sprinkler system&amp;MDS, Ponds)</v>
      </c>
      <c r="E9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5" s="113" t="str">
        <f>IFERROR(INDEX(Product_Structure[Product group],MATCH(Товары[[#This Row],[SubGroup]],Product_Structure[Subgroup],0)),"")</f>
        <v>WMH_C</v>
      </c>
      <c r="G975" s="113" t="str">
        <f>IFERROR(INDEX(Product_Structure[Product group name ENG],MATCH(Товары[[#This Row],[SubGroup]],Product_Structure[Subgroup],0)),"")</f>
        <v>Watering Mobile Hoses</v>
      </c>
      <c r="H975" s="113" t="str">
        <f>IFERROR(INDEX(Product_Structure[Generic Name (long)3],MATCH(Товары[[#This Row],[SubGroup]],Product_Structure[Subgroup],0)),"")</f>
        <v>Садовые шланги</v>
      </c>
      <c r="I975" s="36">
        <v>9014</v>
      </c>
      <c r="J975" s="36" t="str">
        <f>IFERROR(INDEX(Product_Structure[Generic Name (long)],MATCH(Товары[[#This Row],[SubGroup]],Product_Structure[Subgroup],0)),"")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Row],[SubGroup]],DIY!$B:$C,2,FALSE),0)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3" t="str">
        <f>IFERROR(INDEX(Product_Structure[SuperCategory],MATCH(Товары[[#This Row],[SubGroup]],Product_Structure[Subgroup],0)),"")</f>
        <v>W</v>
      </c>
      <c r="D976" s="113" t="str">
        <f>IFERROR(INDEX(Product_Structure[SuperCategory Name ENG],MATCH(Товары[[#This Row],[SubGroup]],Product_Structure[Subgroup],0)),"")</f>
        <v>Watering (mobile, sprinkler system&amp;MDS, Ponds)</v>
      </c>
      <c r="E9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6" s="113" t="str">
        <f>IFERROR(INDEX(Product_Structure[Product group],MATCH(Товары[[#This Row],[SubGroup]],Product_Structure[Subgroup],0)),"")</f>
        <v>WMH_C</v>
      </c>
      <c r="G976" s="113" t="str">
        <f>IFERROR(INDEX(Product_Structure[Product group name ENG],MATCH(Товары[[#This Row],[SubGroup]],Product_Structure[Subgroup],0)),"")</f>
        <v>Watering Mobile Hoses</v>
      </c>
      <c r="H976" s="113" t="str">
        <f>IFERROR(INDEX(Product_Structure[Generic Name (long)3],MATCH(Товары[[#This Row],[SubGroup]],Product_Structure[Subgroup],0)),"")</f>
        <v>Садовые шланги</v>
      </c>
      <c r="I976" s="36">
        <v>9014</v>
      </c>
      <c r="J976" s="36" t="str">
        <f>IFERROR(INDEX(Product_Structure[Generic Name (long)],MATCH(Товары[[#This Row],[SubGroup]],Product_Structure[Subgroup],0)),"")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Row],[SubGroup]],DIY!$B:$C,2,FALSE),0)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3" t="str">
        <f>IFERROR(INDEX(Product_Structure[SuperCategory],MATCH(Товары[[#This Row],[SubGroup]],Product_Structure[Subgroup],0)),"")</f>
        <v>W</v>
      </c>
      <c r="D977" s="113" t="str">
        <f>IFERROR(INDEX(Product_Structure[SuperCategory Name ENG],MATCH(Товары[[#This Row],[SubGroup]],Product_Structure[Subgroup],0)),"")</f>
        <v>Watering (mobile, sprinkler system&amp;MDS, Ponds)</v>
      </c>
      <c r="E9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7" s="113" t="str">
        <f>IFERROR(INDEX(Product_Structure[Product group],MATCH(Товары[[#This Row],[SubGroup]],Product_Structure[Subgroup],0)),"")</f>
        <v>WMH_C</v>
      </c>
      <c r="G977" s="113" t="str">
        <f>IFERROR(INDEX(Product_Structure[Product group name ENG],MATCH(Товары[[#This Row],[SubGroup]],Product_Structure[Subgroup],0)),"")</f>
        <v>Watering Mobile Hoses</v>
      </c>
      <c r="H977" s="113" t="str">
        <f>IFERROR(INDEX(Product_Structure[Generic Name (long)3],MATCH(Товары[[#This Row],[SubGroup]],Product_Structure[Subgroup],0)),"")</f>
        <v>Садовые шланги</v>
      </c>
      <c r="I977" s="36">
        <v>9014</v>
      </c>
      <c r="J977" s="36" t="str">
        <f>IFERROR(INDEX(Product_Structure[Generic Name (long)],MATCH(Товары[[#This Row],[SubGroup]],Product_Structure[Subgroup],0)),"")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Row],[SubGroup]],DIY!$B:$C,2,FALSE),0)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3" t="str">
        <f>IFERROR(INDEX(Product_Structure[SuperCategory],MATCH(Товары[[#This Row],[SubGroup]],Product_Structure[Subgroup],0)),"")</f>
        <v>W</v>
      </c>
      <c r="D978" s="113" t="str">
        <f>IFERROR(INDEX(Product_Structure[SuperCategory Name ENG],MATCH(Товары[[#This Row],[SubGroup]],Product_Structure[Subgroup],0)),"")</f>
        <v>Watering (mobile, sprinkler system&amp;MDS, Ponds)</v>
      </c>
      <c r="E9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8" s="113" t="str">
        <f>IFERROR(INDEX(Product_Structure[Product group],MATCH(Товары[[#This Row],[SubGroup]],Product_Structure[Subgroup],0)),"")</f>
        <v>WMH_C</v>
      </c>
      <c r="G978" s="113" t="str">
        <f>IFERROR(INDEX(Product_Structure[Product group name ENG],MATCH(Товары[[#This Row],[SubGroup]],Product_Structure[Subgroup],0)),"")</f>
        <v>Watering Mobile Hoses</v>
      </c>
      <c r="H978" s="113" t="str">
        <f>IFERROR(INDEX(Product_Structure[Generic Name (long)3],MATCH(Товары[[#This Row],[SubGroup]],Product_Structure[Subgroup],0)),"")</f>
        <v>Садовые шланги</v>
      </c>
      <c r="I978" s="36">
        <v>9014</v>
      </c>
      <c r="J978" s="36" t="str">
        <f>IFERROR(INDEX(Product_Structure[Generic Name (long)],MATCH(Товары[[#This Row],[SubGroup]],Product_Structure[Subgroup],0)),"")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Row],[SubGroup]],DIY!$B:$C,2,FALSE),0)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3" t="str">
        <f>IFERROR(INDEX(Product_Structure[SuperCategory],MATCH(Товары[[#This Row],[SubGroup]],Product_Structure[Subgroup],0)),"")</f>
        <v>W</v>
      </c>
      <c r="D979" s="113" t="str">
        <f>IFERROR(INDEX(Product_Structure[SuperCategory Name ENG],MATCH(Товары[[#This Row],[SubGroup]],Product_Structure[Subgroup],0)),"")</f>
        <v>Watering (mobile, sprinkler system&amp;MDS, Ponds)</v>
      </c>
      <c r="E9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79" s="113" t="str">
        <f>IFERROR(INDEX(Product_Structure[Product group],MATCH(Товары[[#This Row],[SubGroup]],Product_Structure[Subgroup],0)),"")</f>
        <v>WMH_C</v>
      </c>
      <c r="G979" s="113" t="str">
        <f>IFERROR(INDEX(Product_Structure[Product group name ENG],MATCH(Товары[[#This Row],[SubGroup]],Product_Structure[Subgroup],0)),"")</f>
        <v>Watering Mobile Hoses</v>
      </c>
      <c r="H979" s="113" t="str">
        <f>IFERROR(INDEX(Product_Structure[Generic Name (long)3],MATCH(Товары[[#This Row],[SubGroup]],Product_Structure[Subgroup],0)),"")</f>
        <v>Садовые шланги</v>
      </c>
      <c r="I979" s="36">
        <v>9014</v>
      </c>
      <c r="J979" s="36" t="str">
        <f>IFERROR(INDEX(Product_Structure[Generic Name (long)],MATCH(Товары[[#This Row],[SubGroup]],Product_Structure[Subgroup],0)),"")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Row],[SubGroup]],DIY!$B:$C,2,FALSE),0)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3" t="str">
        <f>IFERROR(INDEX(Product_Structure[SuperCategory],MATCH(Товары[[#This Row],[SubGroup]],Product_Structure[Subgroup],0)),"")</f>
        <v>W</v>
      </c>
      <c r="D980" s="113" t="str">
        <f>IFERROR(INDEX(Product_Structure[SuperCategory Name ENG],MATCH(Товары[[#This Row],[SubGroup]],Product_Structure[Subgroup],0)),"")</f>
        <v>Watering (mobile, sprinkler system&amp;MDS, Ponds)</v>
      </c>
      <c r="E9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0" s="113" t="str">
        <f>IFERROR(INDEX(Product_Structure[Product group],MATCH(Товары[[#This Row],[SubGroup]],Product_Structure[Subgroup],0)),"")</f>
        <v>WMH_C</v>
      </c>
      <c r="G980" s="113" t="str">
        <f>IFERROR(INDEX(Product_Structure[Product group name ENG],MATCH(Товары[[#This Row],[SubGroup]],Product_Structure[Subgroup],0)),"")</f>
        <v>Watering Mobile Hoses</v>
      </c>
      <c r="H980" s="113" t="str">
        <f>IFERROR(INDEX(Product_Structure[Generic Name (long)3],MATCH(Товары[[#This Row],[SubGroup]],Product_Structure[Subgroup],0)),"")</f>
        <v>Садовые шланги</v>
      </c>
      <c r="I980" s="36">
        <v>9014</v>
      </c>
      <c r="J980" s="36" t="str">
        <f>IFERROR(INDEX(Product_Structure[Generic Name (long)],MATCH(Товары[[#This Row],[SubGroup]],Product_Structure[Subgroup],0)),"")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Row],[SubGroup]],DIY!$B:$C,2,FALSE),0)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3" t="str">
        <f>IFERROR(INDEX(Product_Structure[SuperCategory],MATCH(Товары[[#This Row],[SubGroup]],Product_Structure[Subgroup],0)),"")</f>
        <v>W</v>
      </c>
      <c r="D981" s="113" t="str">
        <f>IFERROR(INDEX(Product_Structure[SuperCategory Name ENG],MATCH(Товары[[#This Row],[SubGroup]],Product_Structure[Subgroup],0)),"")</f>
        <v>Watering (mobile, sprinkler system&amp;MDS, Ponds)</v>
      </c>
      <c r="E9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1" s="113" t="str">
        <f>IFERROR(INDEX(Product_Structure[Product group],MATCH(Товары[[#This Row],[SubGroup]],Product_Structure[Subgroup],0)),"")</f>
        <v>WMH_C</v>
      </c>
      <c r="G981" s="113" t="str">
        <f>IFERROR(INDEX(Product_Structure[Product group name ENG],MATCH(Товары[[#This Row],[SubGroup]],Product_Structure[Subgroup],0)),"")</f>
        <v>Watering Mobile Hoses</v>
      </c>
      <c r="H981" s="113" t="str">
        <f>IFERROR(INDEX(Product_Structure[Generic Name (long)3],MATCH(Товары[[#This Row],[SubGroup]],Product_Structure[Subgroup],0)),"")</f>
        <v>Садовые шланги</v>
      </c>
      <c r="I981" s="36">
        <v>9014</v>
      </c>
      <c r="J981" s="36" t="str">
        <f>IFERROR(INDEX(Product_Structure[Generic Name (long)],MATCH(Товары[[#This Row],[SubGroup]],Product_Structure[Subgroup],0)),"")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Row],[SubGroup]],DIY!$B:$C,2,FALSE),0)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3" t="str">
        <f>IFERROR(INDEX(Product_Structure[SuperCategory],MATCH(Товары[[#This Row],[SubGroup]],Product_Structure[Subgroup],0)),"")</f>
        <v>W</v>
      </c>
      <c r="D982" s="113" t="str">
        <f>IFERROR(INDEX(Product_Structure[SuperCategory Name ENG],MATCH(Товары[[#This Row],[SubGroup]],Product_Structure[Subgroup],0)),"")</f>
        <v>Watering (mobile, sprinkler system&amp;MDS, Ponds)</v>
      </c>
      <c r="E9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2" s="113" t="str">
        <f>IFERROR(INDEX(Product_Structure[Product group],MATCH(Товары[[#This Row],[SubGroup]],Product_Structure[Subgroup],0)),"")</f>
        <v>WMH_C</v>
      </c>
      <c r="G982" s="113" t="str">
        <f>IFERROR(INDEX(Product_Structure[Product group name ENG],MATCH(Товары[[#This Row],[SubGroup]],Product_Structure[Subgroup],0)),"")</f>
        <v>Watering Mobile Hoses</v>
      </c>
      <c r="H982" s="113" t="str">
        <f>IFERROR(INDEX(Product_Structure[Generic Name (long)3],MATCH(Товары[[#This Row],[SubGroup]],Product_Structure[Subgroup],0)),"")</f>
        <v>Садовые шланги</v>
      </c>
      <c r="I982" s="36">
        <v>9014</v>
      </c>
      <c r="J982" s="36" t="str">
        <f>IFERROR(INDEX(Product_Structure[Generic Name (long)],MATCH(Товары[[#This Row],[SubGroup]],Product_Structure[Subgroup],0)),"")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Row],[SubGroup]],DIY!$B:$C,2,FALSE),0)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3" t="str">
        <f>IFERROR(INDEX(Product_Structure[SuperCategory],MATCH(Товары[[#This Row],[SubGroup]],Product_Structure[Subgroup],0)),"")</f>
        <v>W</v>
      </c>
      <c r="D983" s="113" t="str">
        <f>IFERROR(INDEX(Product_Structure[SuperCategory Name ENG],MATCH(Товары[[#This Row],[SubGroup]],Product_Structure[Subgroup],0)),"")</f>
        <v>Watering (mobile, sprinkler system&amp;MDS, Ponds)</v>
      </c>
      <c r="E9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3" s="113" t="str">
        <f>IFERROR(INDEX(Product_Structure[Product group],MATCH(Товары[[#This Row],[SubGroup]],Product_Structure[Subgroup],0)),"")</f>
        <v>WMH_C</v>
      </c>
      <c r="G983" s="113" t="str">
        <f>IFERROR(INDEX(Product_Structure[Product group name ENG],MATCH(Товары[[#This Row],[SubGroup]],Product_Structure[Subgroup],0)),"")</f>
        <v>Watering Mobile Hoses</v>
      </c>
      <c r="H983" s="113" t="str">
        <f>IFERROR(INDEX(Product_Structure[Generic Name (long)3],MATCH(Товары[[#This Row],[SubGroup]],Product_Structure[Subgroup],0)),"")</f>
        <v>Садовые шланги</v>
      </c>
      <c r="I983" s="36">
        <v>9014</v>
      </c>
      <c r="J983" s="36" t="str">
        <f>IFERROR(INDEX(Product_Structure[Generic Name (long)],MATCH(Товары[[#This Row],[SubGroup]],Product_Structure[Subgroup],0)),"")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Row],[SubGroup]],DIY!$B:$C,2,FALSE),0)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3" t="str">
        <f>IFERROR(INDEX(Product_Structure[SuperCategory],MATCH(Товары[[#This Row],[SubGroup]],Product_Structure[Subgroup],0)),"")</f>
        <v>W</v>
      </c>
      <c r="D984" s="113" t="str">
        <f>IFERROR(INDEX(Product_Structure[SuperCategory Name ENG],MATCH(Товары[[#This Row],[SubGroup]],Product_Structure[Subgroup],0)),"")</f>
        <v>Watering (mobile, sprinkler system&amp;MDS, Ponds)</v>
      </c>
      <c r="E9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4" s="113" t="str">
        <f>IFERROR(INDEX(Product_Structure[Product group],MATCH(Товары[[#This Row],[SubGroup]],Product_Structure[Subgroup],0)),"")</f>
        <v>WMH_C</v>
      </c>
      <c r="G984" s="113" t="str">
        <f>IFERROR(INDEX(Product_Structure[Product group name ENG],MATCH(Товары[[#This Row],[SubGroup]],Product_Structure[Subgroup],0)),"")</f>
        <v>Watering Mobile Hoses</v>
      </c>
      <c r="H984" s="113" t="str">
        <f>IFERROR(INDEX(Product_Structure[Generic Name (long)3],MATCH(Товары[[#This Row],[SubGroup]],Product_Structure[Subgroup],0)),"")</f>
        <v>Садовые шланги</v>
      </c>
      <c r="I984" s="36">
        <v>9014</v>
      </c>
      <c r="J984" s="36" t="str">
        <f>IFERROR(INDEX(Product_Structure[Generic Name (long)],MATCH(Товары[[#This Row],[SubGroup]],Product_Structure[Subgroup],0)),"")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Row],[SubGroup]],DIY!$B:$C,2,FALSE),0)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3" t="str">
        <f>IFERROR(INDEX(Product_Structure[SuperCategory],MATCH(Товары[[#This Row],[SubGroup]],Product_Structure[Subgroup],0)),"")</f>
        <v>W</v>
      </c>
      <c r="D985" s="113" t="str">
        <f>IFERROR(INDEX(Product_Structure[SuperCategory Name ENG],MATCH(Товары[[#This Row],[SubGroup]],Product_Structure[Subgroup],0)),"")</f>
        <v>Watering (mobile, sprinkler system&amp;MDS, Ponds)</v>
      </c>
      <c r="E9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5" s="113" t="str">
        <f>IFERROR(INDEX(Product_Structure[Product group],MATCH(Товары[[#This Row],[SubGroup]],Product_Structure[Subgroup],0)),"")</f>
        <v>WMH_C</v>
      </c>
      <c r="G985" s="113" t="str">
        <f>IFERROR(INDEX(Product_Structure[Product group name ENG],MATCH(Товары[[#This Row],[SubGroup]],Product_Structure[Subgroup],0)),"")</f>
        <v>Watering Mobile Hoses</v>
      </c>
      <c r="H985" s="113" t="str">
        <f>IFERROR(INDEX(Product_Structure[Generic Name (long)3],MATCH(Товары[[#This Row],[SubGroup]],Product_Structure[Subgroup],0)),"")</f>
        <v>Садовые шланги</v>
      </c>
      <c r="I985" s="36">
        <v>9014</v>
      </c>
      <c r="J985" s="36" t="str">
        <f>IFERROR(INDEX(Product_Structure[Generic Name (long)],MATCH(Товары[[#This Row],[SubGroup]],Product_Structure[Subgroup],0)),"")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Row],[SubGroup]],DIY!$B:$C,2,FALSE),0)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3" t="str">
        <f>IFERROR(INDEX(Product_Structure[SuperCategory],MATCH(Товары[[#This Row],[SubGroup]],Product_Structure[Subgroup],0)),"")</f>
        <v>W</v>
      </c>
      <c r="D986" s="113" t="str">
        <f>IFERROR(INDEX(Product_Structure[SuperCategory Name ENG],MATCH(Товары[[#This Row],[SubGroup]],Product_Structure[Subgroup],0)),"")</f>
        <v>Watering (mobile, sprinkler system&amp;MDS, Ponds)</v>
      </c>
      <c r="E9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6" s="113" t="str">
        <f>IFERROR(INDEX(Product_Structure[Product group],MATCH(Товары[[#This Row],[SubGroup]],Product_Structure[Subgroup],0)),"")</f>
        <v>WMH_C</v>
      </c>
      <c r="G986" s="113" t="str">
        <f>IFERROR(INDEX(Product_Structure[Product group name ENG],MATCH(Товары[[#This Row],[SubGroup]],Product_Structure[Subgroup],0)),"")</f>
        <v>Watering Mobile Hoses</v>
      </c>
      <c r="H986" s="113" t="str">
        <f>IFERROR(INDEX(Product_Structure[Generic Name (long)3],MATCH(Товары[[#This Row],[SubGroup]],Product_Structure[Subgroup],0)),"")</f>
        <v>Садовые шланги</v>
      </c>
      <c r="I986" s="36">
        <v>9014</v>
      </c>
      <c r="J986" s="36" t="str">
        <f>IFERROR(INDEX(Product_Structure[Generic Name (long)],MATCH(Товары[[#This Row],[SubGroup]],Product_Structure[Subgroup],0)),"")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Row],[SubGroup]],DIY!$B:$C,2,FALSE),0)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3" t="str">
        <f>IFERROR(INDEX(Product_Structure[SuperCategory],MATCH(Товары[[#This Row],[SubGroup]],Product_Structure[Subgroup],0)),"")</f>
        <v>W</v>
      </c>
      <c r="D987" s="113" t="str">
        <f>IFERROR(INDEX(Product_Structure[SuperCategory Name ENG],MATCH(Товары[[#This Row],[SubGroup]],Product_Structure[Subgroup],0)),"")</f>
        <v>Watering (mobile, sprinkler system&amp;MDS, Ponds)</v>
      </c>
      <c r="E9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7" s="113" t="str">
        <f>IFERROR(INDEX(Product_Structure[Product group],MATCH(Товары[[#This Row],[SubGroup]],Product_Structure[Subgroup],0)),"")</f>
        <v>WMH_C</v>
      </c>
      <c r="G987" s="113" t="str">
        <f>IFERROR(INDEX(Product_Structure[Product group name ENG],MATCH(Товары[[#This Row],[SubGroup]],Product_Structure[Subgroup],0)),"")</f>
        <v>Watering Mobile Hoses</v>
      </c>
      <c r="H987" s="113" t="str">
        <f>IFERROR(INDEX(Product_Structure[Generic Name (long)3],MATCH(Товары[[#This Row],[SubGroup]],Product_Structure[Subgroup],0)),"")</f>
        <v>Садовые шланги</v>
      </c>
      <c r="I987" s="36">
        <v>9014</v>
      </c>
      <c r="J987" s="36" t="str">
        <f>IFERROR(INDEX(Product_Structure[Generic Name (long)],MATCH(Товары[[#This Row],[SubGroup]],Product_Structure[Subgroup],0)),"")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Row],[SubGroup]],DIY!$B:$C,2,FALSE),0)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3" t="str">
        <f>IFERROR(INDEX(Product_Structure[SuperCategory],MATCH(Товары[[#This Row],[SubGroup]],Product_Structure[Subgroup],0)),"")</f>
        <v>W</v>
      </c>
      <c r="D988" s="113" t="str">
        <f>IFERROR(INDEX(Product_Structure[SuperCategory Name ENG],MATCH(Товары[[#This Row],[SubGroup]],Product_Structure[Subgroup],0)),"")</f>
        <v>Watering (mobile, sprinkler system&amp;MDS, Ponds)</v>
      </c>
      <c r="E9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8" s="113" t="str">
        <f>IFERROR(INDEX(Product_Structure[Product group],MATCH(Товары[[#This Row],[SubGroup]],Product_Structure[Subgroup],0)),"")</f>
        <v>WMH_C</v>
      </c>
      <c r="G988" s="113" t="str">
        <f>IFERROR(INDEX(Product_Structure[Product group name ENG],MATCH(Товары[[#This Row],[SubGroup]],Product_Structure[Subgroup],0)),"")</f>
        <v>Watering Mobile Hoses</v>
      </c>
      <c r="H988" s="113" t="str">
        <f>IFERROR(INDEX(Product_Structure[Generic Name (long)3],MATCH(Товары[[#This Row],[SubGroup]],Product_Structure[Subgroup],0)),"")</f>
        <v>Садовые шланги</v>
      </c>
      <c r="I988" s="36">
        <v>9014</v>
      </c>
      <c r="J988" s="36" t="str">
        <f>IFERROR(INDEX(Product_Structure[Generic Name (long)],MATCH(Товары[[#This Row],[SubGroup]],Product_Structure[Subgroup],0)),"")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Row],[SubGroup]],DIY!$B:$C,2,FALSE),0)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3" t="str">
        <f>IFERROR(INDEX(Product_Structure[SuperCategory],MATCH(Товары[[#This Row],[SubGroup]],Product_Structure[Subgroup],0)),"")</f>
        <v>W</v>
      </c>
      <c r="D989" s="113" t="str">
        <f>IFERROR(INDEX(Product_Structure[SuperCategory Name ENG],MATCH(Товары[[#This Row],[SubGroup]],Product_Structure[Subgroup],0)),"")</f>
        <v>Watering (mobile, sprinkler system&amp;MDS, Ponds)</v>
      </c>
      <c r="E9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89" s="113" t="str">
        <f>IFERROR(INDEX(Product_Structure[Product group],MATCH(Товары[[#This Row],[SubGroup]],Product_Structure[Subgroup],0)),"")</f>
        <v>WMH_C</v>
      </c>
      <c r="G989" s="113" t="str">
        <f>IFERROR(INDEX(Product_Structure[Product group name ENG],MATCH(Товары[[#This Row],[SubGroup]],Product_Structure[Subgroup],0)),"")</f>
        <v>Watering Mobile Hoses</v>
      </c>
      <c r="H989" s="113" t="str">
        <f>IFERROR(INDEX(Product_Structure[Generic Name (long)3],MATCH(Товары[[#This Row],[SubGroup]],Product_Structure[Subgroup],0)),"")</f>
        <v>Садовые шланги</v>
      </c>
      <c r="I989" s="36">
        <v>9014</v>
      </c>
      <c r="J989" s="36" t="str">
        <f>IFERROR(INDEX(Product_Structure[Generic Name (long)],MATCH(Товары[[#This Row],[SubGroup]],Product_Structure[Subgroup],0)),"")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Row],[SubGroup]],DIY!$B:$C,2,FALSE),0)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3" t="str">
        <f>IFERROR(INDEX(Product_Structure[SuperCategory],MATCH(Товары[[#This Row],[SubGroup]],Product_Structure[Subgroup],0)),"")</f>
        <v>W</v>
      </c>
      <c r="D990" s="113" t="str">
        <f>IFERROR(INDEX(Product_Structure[SuperCategory Name ENG],MATCH(Товары[[#This Row],[SubGroup]],Product_Structure[Subgroup],0)),"")</f>
        <v>Watering (mobile, sprinkler system&amp;MDS, Ponds)</v>
      </c>
      <c r="E9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0" s="113" t="str">
        <f>IFERROR(INDEX(Product_Structure[Product group],MATCH(Товары[[#This Row],[SubGroup]],Product_Structure[Subgroup],0)),"")</f>
        <v>WMH_C</v>
      </c>
      <c r="G990" s="113" t="str">
        <f>IFERROR(INDEX(Product_Structure[Product group name ENG],MATCH(Товары[[#This Row],[SubGroup]],Product_Structure[Subgroup],0)),"")</f>
        <v>Watering Mobile Hoses</v>
      </c>
      <c r="H990" s="113" t="str">
        <f>IFERROR(INDEX(Product_Structure[Generic Name (long)3],MATCH(Товары[[#This Row],[SubGroup]],Product_Structure[Subgroup],0)),"")</f>
        <v>Садовые шланги</v>
      </c>
      <c r="I990" s="36">
        <v>9014</v>
      </c>
      <c r="J990" s="36" t="str">
        <f>IFERROR(INDEX(Product_Structure[Generic Name (long)],MATCH(Товары[[#This Row],[SubGroup]],Product_Structure[Subgroup],0)),"")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Row],[SubGroup]],DIY!$B:$C,2,FALSE),0)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3" t="str">
        <f>IFERROR(INDEX(Product_Structure[SuperCategory],MATCH(Товары[[#This Row],[SubGroup]],Product_Structure[Subgroup],0)),"")</f>
        <v>W</v>
      </c>
      <c r="D991" s="113" t="str">
        <f>IFERROR(INDEX(Product_Structure[SuperCategory Name ENG],MATCH(Товары[[#This Row],[SubGroup]],Product_Structure[Subgroup],0)),"")</f>
        <v>Watering (mobile, sprinkler system&amp;MDS, Ponds)</v>
      </c>
      <c r="E9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1" s="113" t="str">
        <f>IFERROR(INDEX(Product_Structure[Product group],MATCH(Товары[[#This Row],[SubGroup]],Product_Structure[Subgroup],0)),"")</f>
        <v>WMH_C</v>
      </c>
      <c r="G991" s="113" t="str">
        <f>IFERROR(INDEX(Product_Structure[Product group name ENG],MATCH(Товары[[#This Row],[SubGroup]],Product_Structure[Subgroup],0)),"")</f>
        <v>Watering Mobile Hoses</v>
      </c>
      <c r="H991" s="113" t="str">
        <f>IFERROR(INDEX(Product_Structure[Generic Name (long)3],MATCH(Товары[[#This Row],[SubGroup]],Product_Structure[Subgroup],0)),"")</f>
        <v>Садовые шланги</v>
      </c>
      <c r="I991" s="36">
        <v>9014</v>
      </c>
      <c r="J991" s="36" t="str">
        <f>IFERROR(INDEX(Product_Structure[Generic Name (long)],MATCH(Товары[[#This Row],[SubGroup]],Product_Structure[Subgroup],0)),"")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Row],[SubGroup]],DIY!$B:$C,2,FALSE),0)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3" t="str">
        <f>IFERROR(INDEX(Product_Structure[SuperCategory],MATCH(Товары[[#This Row],[SubGroup]],Product_Structure[Subgroup],0)),"")</f>
        <v>W</v>
      </c>
      <c r="D992" s="113" t="str">
        <f>IFERROR(INDEX(Product_Structure[SuperCategory Name ENG],MATCH(Товары[[#This Row],[SubGroup]],Product_Structure[Subgroup],0)),"")</f>
        <v>Watering (mobile, sprinkler system&amp;MDS, Ponds)</v>
      </c>
      <c r="E9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2" s="113" t="str">
        <f>IFERROR(INDEX(Product_Structure[Product group],MATCH(Товары[[#This Row],[SubGroup]],Product_Structure[Subgroup],0)),"")</f>
        <v>WMH_C</v>
      </c>
      <c r="G992" s="113" t="str">
        <f>IFERROR(INDEX(Product_Structure[Product group name ENG],MATCH(Товары[[#This Row],[SubGroup]],Product_Structure[Subgroup],0)),"")</f>
        <v>Watering Mobile Hoses</v>
      </c>
      <c r="H992" s="113" t="str">
        <f>IFERROR(INDEX(Product_Structure[Generic Name (long)3],MATCH(Товары[[#This Row],[SubGroup]],Product_Structure[Subgroup],0)),"")</f>
        <v>Садовые шланги</v>
      </c>
      <c r="I992" s="36">
        <v>9014</v>
      </c>
      <c r="J992" s="36" t="str">
        <f>IFERROR(INDEX(Product_Structure[Generic Name (long)],MATCH(Товары[[#This Row],[SubGroup]],Product_Structure[Subgroup],0)),"")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Row],[SubGroup]],DIY!$B:$C,2,FALSE),0)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3" t="str">
        <f>IFERROR(INDEX(Product_Structure[SuperCategory],MATCH(Товары[[#This Row],[SubGroup]],Product_Structure[Subgroup],0)),"")</f>
        <v>W</v>
      </c>
      <c r="D993" s="113" t="str">
        <f>IFERROR(INDEX(Product_Structure[SuperCategory Name ENG],MATCH(Товары[[#This Row],[SubGroup]],Product_Structure[Subgroup],0)),"")</f>
        <v>Watering (mobile, sprinkler system&amp;MDS, Ponds)</v>
      </c>
      <c r="E9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3" s="113" t="str">
        <f>IFERROR(INDEX(Product_Structure[Product group],MATCH(Товары[[#This Row],[SubGroup]],Product_Structure[Subgroup],0)),"")</f>
        <v>WMH_C</v>
      </c>
      <c r="G993" s="113" t="str">
        <f>IFERROR(INDEX(Product_Structure[Product group name ENG],MATCH(Товары[[#This Row],[SubGroup]],Product_Structure[Subgroup],0)),"")</f>
        <v>Watering Mobile Hoses</v>
      </c>
      <c r="H993" s="113" t="str">
        <f>IFERROR(INDEX(Product_Structure[Generic Name (long)3],MATCH(Товары[[#This Row],[SubGroup]],Product_Structure[Subgroup],0)),"")</f>
        <v>Садовые шланги</v>
      </c>
      <c r="I993" s="36">
        <v>9014</v>
      </c>
      <c r="J993" s="36" t="str">
        <f>IFERROR(INDEX(Product_Structure[Generic Name (long)],MATCH(Товары[[#This Row],[SubGroup]],Product_Structure[Subgroup],0)),"")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Row],[SubGroup]],DIY!$B:$C,2,FALSE),0)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3" t="str">
        <f>IFERROR(INDEX(Product_Structure[SuperCategory],MATCH(Товары[[#This Row],[SubGroup]],Product_Structure[Subgroup],0)),"")</f>
        <v>W</v>
      </c>
      <c r="D994" s="113" t="str">
        <f>IFERROR(INDEX(Product_Structure[SuperCategory Name ENG],MATCH(Товары[[#This Row],[SubGroup]],Product_Structure[Subgroup],0)),"")</f>
        <v>Watering (mobile, sprinkler system&amp;MDS, Ponds)</v>
      </c>
      <c r="E9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4" s="113" t="str">
        <f>IFERROR(INDEX(Product_Structure[Product group],MATCH(Товары[[#This Row],[SubGroup]],Product_Structure[Subgroup],0)),"")</f>
        <v>WMH_C</v>
      </c>
      <c r="G994" s="113" t="str">
        <f>IFERROR(INDEX(Product_Structure[Product group name ENG],MATCH(Товары[[#This Row],[SubGroup]],Product_Structure[Subgroup],0)),"")</f>
        <v>Watering Mobile Hoses</v>
      </c>
      <c r="H994" s="113" t="str">
        <f>IFERROR(INDEX(Product_Structure[Generic Name (long)3],MATCH(Товары[[#This Row],[SubGroup]],Product_Structure[Subgroup],0)),"")</f>
        <v>Садовые шланги</v>
      </c>
      <c r="I994" s="36">
        <v>9014</v>
      </c>
      <c r="J994" s="36" t="str">
        <f>IFERROR(INDEX(Product_Structure[Generic Name (long)],MATCH(Товары[[#This Row],[SubGroup]],Product_Structure[Subgroup],0)),"")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Row],[SubGroup]],DIY!$B:$C,2,FALSE),0)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3" t="str">
        <f>IFERROR(INDEX(Product_Structure[SuperCategory],MATCH(Товары[[#This Row],[SubGroup]],Product_Structure[Subgroup],0)),"")</f>
        <v>W</v>
      </c>
      <c r="D995" s="113" t="str">
        <f>IFERROR(INDEX(Product_Structure[SuperCategory Name ENG],MATCH(Товары[[#This Row],[SubGroup]],Product_Structure[Subgroup],0)),"")</f>
        <v>Watering (mobile, sprinkler system&amp;MDS, Ponds)</v>
      </c>
      <c r="E9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5" s="113" t="str">
        <f>IFERROR(INDEX(Product_Structure[Product group],MATCH(Товары[[#This Row],[SubGroup]],Product_Structure[Subgroup],0)),"")</f>
        <v>WMH_C</v>
      </c>
      <c r="G995" s="113" t="str">
        <f>IFERROR(INDEX(Product_Structure[Product group name ENG],MATCH(Товары[[#This Row],[SubGroup]],Product_Structure[Subgroup],0)),"")</f>
        <v>Watering Mobile Hoses</v>
      </c>
      <c r="H995" s="113" t="str">
        <f>IFERROR(INDEX(Product_Structure[Generic Name (long)3],MATCH(Товары[[#This Row],[SubGroup]],Product_Structure[Subgroup],0)),"")</f>
        <v>Садовые шланги</v>
      </c>
      <c r="I995" s="36">
        <v>9014</v>
      </c>
      <c r="J995" s="36" t="str">
        <f>IFERROR(INDEX(Product_Structure[Generic Name (long)],MATCH(Товары[[#This Row],[SubGroup]],Product_Structure[Subgroup],0)),"")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Row],[SubGroup]],DIY!$B:$C,2,FALSE),0)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3" t="str">
        <f>IFERROR(INDEX(Product_Structure[SuperCategory],MATCH(Товары[[#This Row],[SubGroup]],Product_Structure[Subgroup],0)),"")</f>
        <v>W</v>
      </c>
      <c r="D996" s="113" t="str">
        <f>IFERROR(INDEX(Product_Structure[SuperCategory Name ENG],MATCH(Товары[[#This Row],[SubGroup]],Product_Structure[Subgroup],0)),"")</f>
        <v>Watering (mobile, sprinkler system&amp;MDS, Ponds)</v>
      </c>
      <c r="E9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6" s="113" t="str">
        <f>IFERROR(INDEX(Product_Structure[Product group],MATCH(Товары[[#This Row],[SubGroup]],Product_Structure[Subgroup],0)),"")</f>
        <v>WMH_C</v>
      </c>
      <c r="G996" s="113" t="str">
        <f>IFERROR(INDEX(Product_Structure[Product group name ENG],MATCH(Товары[[#This Row],[SubGroup]],Product_Structure[Subgroup],0)),"")</f>
        <v>Watering Mobile Hoses</v>
      </c>
      <c r="H996" s="113" t="str">
        <f>IFERROR(INDEX(Product_Structure[Generic Name (long)3],MATCH(Товары[[#This Row],[SubGroup]],Product_Structure[Subgroup],0)),"")</f>
        <v>Садовые шланги</v>
      </c>
      <c r="I996" s="36">
        <v>9014</v>
      </c>
      <c r="J996" s="36" t="str">
        <f>IFERROR(INDEX(Product_Structure[Generic Name (long)],MATCH(Товары[[#This Row],[SubGroup]],Product_Structure[Subgroup],0)),"")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Row],[SubGroup]],DIY!$B:$C,2,FALSE),0)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3" t="str">
        <f>IFERROR(INDEX(Product_Structure[SuperCategory],MATCH(Товары[[#This Row],[SubGroup]],Product_Structure[Subgroup],0)),"")</f>
        <v>W</v>
      </c>
      <c r="D997" s="113" t="str">
        <f>IFERROR(INDEX(Product_Structure[SuperCategory Name ENG],MATCH(Товары[[#This Row],[SubGroup]],Product_Structure[Subgroup],0)),"")</f>
        <v>Watering (mobile, sprinkler system&amp;MDS, Ponds)</v>
      </c>
      <c r="E9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7" s="113" t="str">
        <f>IFERROR(INDEX(Product_Structure[Product group],MATCH(Товары[[#This Row],[SubGroup]],Product_Structure[Subgroup],0)),"")</f>
        <v>WMH_C</v>
      </c>
      <c r="G997" s="113" t="str">
        <f>IFERROR(INDEX(Product_Structure[Product group name ENG],MATCH(Товары[[#This Row],[SubGroup]],Product_Structure[Subgroup],0)),"")</f>
        <v>Watering Mobile Hoses</v>
      </c>
      <c r="H997" s="113" t="str">
        <f>IFERROR(INDEX(Product_Structure[Generic Name (long)3],MATCH(Товары[[#This Row],[SubGroup]],Product_Structure[Subgroup],0)),"")</f>
        <v>Садовые шланги</v>
      </c>
      <c r="I997" s="36">
        <v>9014</v>
      </c>
      <c r="J997" s="36" t="str">
        <f>IFERROR(INDEX(Product_Structure[Generic Name (long)],MATCH(Товары[[#This Row],[SubGroup]],Product_Structure[Subgroup],0)),"")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Row],[SubGroup]],DIY!$B:$C,2,FALSE),0)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3" t="str">
        <f>IFERROR(INDEX(Product_Structure[SuperCategory],MATCH(Товары[[#This Row],[SubGroup]],Product_Structure[Subgroup],0)),"")</f>
        <v>W</v>
      </c>
      <c r="D998" s="113" t="str">
        <f>IFERROR(INDEX(Product_Structure[SuperCategory Name ENG],MATCH(Товары[[#This Row],[SubGroup]],Product_Structure[Subgroup],0)),"")</f>
        <v>Watering (mobile, sprinkler system&amp;MDS, Ponds)</v>
      </c>
      <c r="E9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8" s="113" t="str">
        <f>IFERROR(INDEX(Product_Structure[Product group],MATCH(Товары[[#This Row],[SubGroup]],Product_Structure[Subgroup],0)),"")</f>
        <v>WMH_C</v>
      </c>
      <c r="G998" s="113" t="str">
        <f>IFERROR(INDEX(Product_Structure[Product group name ENG],MATCH(Товары[[#This Row],[SubGroup]],Product_Structure[Subgroup],0)),"")</f>
        <v>Watering Mobile Hoses</v>
      </c>
      <c r="H998" s="113" t="str">
        <f>IFERROR(INDEX(Product_Structure[Generic Name (long)3],MATCH(Товары[[#This Row],[SubGroup]],Product_Structure[Subgroup],0)),"")</f>
        <v>Садовые шланги</v>
      </c>
      <c r="I998" s="36">
        <v>9014</v>
      </c>
      <c r="J998" s="36" t="str">
        <f>IFERROR(INDEX(Product_Structure[Generic Name (long)],MATCH(Товары[[#This Row],[SubGroup]],Product_Structure[Subgroup],0)),"")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Row],[SubGroup]],DIY!$B:$C,2,FALSE),0)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3" t="str">
        <f>IFERROR(INDEX(Product_Structure[SuperCategory],MATCH(Товары[[#This Row],[SubGroup]],Product_Structure[Subgroup],0)),"")</f>
        <v>W</v>
      </c>
      <c r="D999" s="113" t="str">
        <f>IFERROR(INDEX(Product_Structure[SuperCategory Name ENG],MATCH(Товары[[#This Row],[SubGroup]],Product_Structure[Subgroup],0)),"")</f>
        <v>Watering (mobile, sprinkler system&amp;MDS, Ponds)</v>
      </c>
      <c r="E9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99" s="113" t="str">
        <f>IFERROR(INDEX(Product_Structure[Product group],MATCH(Товары[[#This Row],[SubGroup]],Product_Structure[Subgroup],0)),"")</f>
        <v>WMH_C</v>
      </c>
      <c r="G999" s="113" t="str">
        <f>IFERROR(INDEX(Product_Structure[Product group name ENG],MATCH(Товары[[#This Row],[SubGroup]],Product_Structure[Subgroup],0)),"")</f>
        <v>Watering Mobile Hoses</v>
      </c>
      <c r="H999" s="113" t="str">
        <f>IFERROR(INDEX(Product_Structure[Generic Name (long)3],MATCH(Товары[[#This Row],[SubGroup]],Product_Structure[Subgroup],0)),"")</f>
        <v>Садовые шланги</v>
      </c>
      <c r="I999" s="36">
        <v>9014</v>
      </c>
      <c r="J999" s="36" t="str">
        <f>IFERROR(INDEX(Product_Structure[Generic Name (long)],MATCH(Товары[[#This Row],[SubGroup]],Product_Structure[Subgroup],0)),"")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Row],[SubGroup]],DIY!$B:$C,2,FALSE),0)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3" t="str">
        <f>IFERROR(INDEX(Product_Structure[SuperCategory],MATCH(Товары[[#This Row],[SubGroup]],Product_Structure[Subgroup],0)),"")</f>
        <v>W</v>
      </c>
      <c r="D1000" s="113" t="str">
        <f>IFERROR(INDEX(Product_Structure[SuperCategory Name ENG],MATCH(Товары[[#This Row],[SubGroup]],Product_Structure[Subgroup],0)),"")</f>
        <v>Watering (mobile, sprinkler system&amp;MDS, Ponds)</v>
      </c>
      <c r="E10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0" s="113" t="str">
        <f>IFERROR(INDEX(Product_Structure[Product group],MATCH(Товары[[#This Row],[SubGroup]],Product_Structure[Subgroup],0)),"")</f>
        <v>WMH_C</v>
      </c>
      <c r="G1000" s="113" t="str">
        <f>IFERROR(INDEX(Product_Structure[Product group name ENG],MATCH(Товары[[#This Row],[SubGroup]],Product_Structure[Subgroup],0)),"")</f>
        <v>Watering Mobile Hoses</v>
      </c>
      <c r="H1000" s="113" t="str">
        <f>IFERROR(INDEX(Product_Structure[Generic Name (long)3],MATCH(Товары[[#This Row],[SubGroup]],Product_Structure[Subgroup],0)),"")</f>
        <v>Садовые шланги</v>
      </c>
      <c r="I1000" s="36">
        <v>9014</v>
      </c>
      <c r="J1000" s="36" t="str">
        <f>IFERROR(INDEX(Product_Structure[Generic Name (long)],MATCH(Товары[[#This Row],[SubGroup]],Product_Structure[Subgroup],0)),"")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Row],[SubGroup]],DIY!$B:$C,2,FALSE),0)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3" t="str">
        <f>IFERROR(INDEX(Product_Structure[SuperCategory],MATCH(Товары[[#This Row],[SubGroup]],Product_Structure[Subgroup],0)),"")</f>
        <v>W</v>
      </c>
      <c r="D1001" s="113" t="str">
        <f>IFERROR(INDEX(Product_Structure[SuperCategory Name ENG],MATCH(Товары[[#This Row],[SubGroup]],Product_Structure[Subgroup],0)),"")</f>
        <v>Watering (mobile, sprinkler system&amp;MDS, Ponds)</v>
      </c>
      <c r="E10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1" s="113" t="str">
        <f>IFERROR(INDEX(Product_Structure[Product group],MATCH(Товары[[#This Row],[SubGroup]],Product_Structure[Subgroup],0)),"")</f>
        <v>WMH_C</v>
      </c>
      <c r="G1001" s="113" t="str">
        <f>IFERROR(INDEX(Product_Structure[Product group name ENG],MATCH(Товары[[#This Row],[SubGroup]],Product_Structure[Subgroup],0)),"")</f>
        <v>Watering Mobile Hoses</v>
      </c>
      <c r="H1001" s="113" t="str">
        <f>IFERROR(INDEX(Product_Structure[Generic Name (long)3],MATCH(Товары[[#This Row],[SubGroup]],Product_Structure[Subgroup],0)),"")</f>
        <v>Садовые шланги</v>
      </c>
      <c r="I1001" s="36">
        <v>9014</v>
      </c>
      <c r="J1001" s="36" t="str">
        <f>IFERROR(INDEX(Product_Structure[Generic Name (long)],MATCH(Товары[[#This Row],[SubGroup]],Product_Structure[Subgroup],0)),"")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Row],[SubGroup]],DIY!$B:$C,2,FALSE),0)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3" t="str">
        <f>IFERROR(INDEX(Product_Structure[SuperCategory],MATCH(Товары[[#This Row],[SubGroup]],Product_Structure[Subgroup],0)),"")</f>
        <v>W</v>
      </c>
      <c r="D1002" s="113" t="str">
        <f>IFERROR(INDEX(Product_Structure[SuperCategory Name ENG],MATCH(Товары[[#This Row],[SubGroup]],Product_Structure[Subgroup],0)),"")</f>
        <v>Watering (mobile, sprinkler system&amp;MDS, Ponds)</v>
      </c>
      <c r="E10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2" s="113" t="str">
        <f>IFERROR(INDEX(Product_Structure[Product group],MATCH(Товары[[#This Row],[SubGroup]],Product_Structure[Subgroup],0)),"")</f>
        <v>WMH_C</v>
      </c>
      <c r="G1002" s="113" t="str">
        <f>IFERROR(INDEX(Product_Structure[Product group name ENG],MATCH(Товары[[#This Row],[SubGroup]],Product_Structure[Subgroup],0)),"")</f>
        <v>Watering Mobile Hoses</v>
      </c>
      <c r="H1002" s="113" t="str">
        <f>IFERROR(INDEX(Product_Structure[Generic Name (long)3],MATCH(Товары[[#This Row],[SubGroup]],Product_Structure[Subgroup],0)),"")</f>
        <v>Садовые шланги</v>
      </c>
      <c r="I1002" s="36">
        <v>9014</v>
      </c>
      <c r="J1002" s="36" t="str">
        <f>IFERROR(INDEX(Product_Structure[Generic Name (long)],MATCH(Товары[[#This Row],[SubGroup]],Product_Structure[Subgroup],0)),"")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Row],[SubGroup]],DIY!$B:$C,2,FALSE),0)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3" t="str">
        <f>IFERROR(INDEX(Product_Structure[SuperCategory],MATCH(Товары[[#This Row],[SubGroup]],Product_Structure[Subgroup],0)),"")</f>
        <v>W</v>
      </c>
      <c r="D1003" s="113" t="str">
        <f>IFERROR(INDEX(Product_Structure[SuperCategory Name ENG],MATCH(Товары[[#This Row],[SubGroup]],Product_Structure[Subgroup],0)),"")</f>
        <v>Watering (mobile, sprinkler system&amp;MDS, Ponds)</v>
      </c>
      <c r="E10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3" s="113" t="str">
        <f>IFERROR(INDEX(Product_Structure[Product group],MATCH(Товары[[#This Row],[SubGroup]],Product_Structure[Subgroup],0)),"")</f>
        <v>WMH_C</v>
      </c>
      <c r="G1003" s="113" t="str">
        <f>IFERROR(INDEX(Product_Structure[Product group name ENG],MATCH(Товары[[#This Row],[SubGroup]],Product_Structure[Subgroup],0)),"")</f>
        <v>Watering Mobile Hoses</v>
      </c>
      <c r="H1003" s="113" t="str">
        <f>IFERROR(INDEX(Product_Structure[Generic Name (long)3],MATCH(Товары[[#This Row],[SubGroup]],Product_Structure[Subgroup],0)),"")</f>
        <v>Садовые шланги</v>
      </c>
      <c r="I1003" s="36">
        <v>9014</v>
      </c>
      <c r="J1003" s="36" t="str">
        <f>IFERROR(INDEX(Product_Structure[Generic Name (long)],MATCH(Товары[[#This Row],[SubGroup]],Product_Structure[Subgroup],0)),"")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Row],[SubGroup]],DIY!$B:$C,2,FALSE),0)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3" t="str">
        <f>IFERROR(INDEX(Product_Structure[SuperCategory],MATCH(Товары[[#This Row],[SubGroup]],Product_Structure[Subgroup],0)),"")</f>
        <v>W</v>
      </c>
      <c r="D1004" s="113" t="str">
        <f>IFERROR(INDEX(Product_Structure[SuperCategory Name ENG],MATCH(Товары[[#This Row],[SubGroup]],Product_Structure[Subgroup],0)),"")</f>
        <v>Watering (mobile, sprinkler system&amp;MDS, Ponds)</v>
      </c>
      <c r="E10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4" s="113" t="str">
        <f>IFERROR(INDEX(Product_Structure[Product group],MATCH(Товары[[#This Row],[SubGroup]],Product_Structure[Subgroup],0)),"")</f>
        <v>WMH_C</v>
      </c>
      <c r="G1004" s="113" t="str">
        <f>IFERROR(INDEX(Product_Structure[Product group name ENG],MATCH(Товары[[#This Row],[SubGroup]],Product_Structure[Subgroup],0)),"")</f>
        <v>Watering Mobile Hoses</v>
      </c>
      <c r="H1004" s="113" t="str">
        <f>IFERROR(INDEX(Product_Structure[Generic Name (long)3],MATCH(Товары[[#This Row],[SubGroup]],Product_Structure[Subgroup],0)),"")</f>
        <v>Садовые шланги</v>
      </c>
      <c r="I1004" s="36">
        <v>9014</v>
      </c>
      <c r="J1004" s="36" t="str">
        <f>IFERROR(INDEX(Product_Structure[Generic Name (long)],MATCH(Товары[[#This Row],[SubGroup]],Product_Structure[Subgroup],0)),"")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Row],[SubGroup]],DIY!$B:$C,2,FALSE),0)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3" t="str">
        <f>IFERROR(INDEX(Product_Structure[SuperCategory],MATCH(Товары[[#This Row],[SubGroup]],Product_Structure[Subgroup],0)),"")</f>
        <v>W</v>
      </c>
      <c r="D1005" s="113" t="str">
        <f>IFERROR(INDEX(Product_Structure[SuperCategory Name ENG],MATCH(Товары[[#This Row],[SubGroup]],Product_Structure[Subgroup],0)),"")</f>
        <v>Watering (mobile, sprinkler system&amp;MDS, Ponds)</v>
      </c>
      <c r="E10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5" s="113" t="str">
        <f>IFERROR(INDEX(Product_Structure[Product group],MATCH(Товары[[#This Row],[SubGroup]],Product_Structure[Subgroup],0)),"")</f>
        <v>WMH_C</v>
      </c>
      <c r="G1005" s="113" t="str">
        <f>IFERROR(INDEX(Product_Structure[Product group name ENG],MATCH(Товары[[#This Row],[SubGroup]],Product_Structure[Subgroup],0)),"")</f>
        <v>Watering Mobile Hoses</v>
      </c>
      <c r="H1005" s="113" t="str">
        <f>IFERROR(INDEX(Product_Structure[Generic Name (long)3],MATCH(Товары[[#This Row],[SubGroup]],Product_Structure[Subgroup],0)),"")</f>
        <v>Садовые шланги</v>
      </c>
      <c r="I1005" s="36">
        <v>9014</v>
      </c>
      <c r="J1005" s="36" t="str">
        <f>IFERROR(INDEX(Product_Structure[Generic Name (long)],MATCH(Товары[[#This Row],[SubGroup]],Product_Structure[Subgroup],0)),"")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Row],[SubGroup]],DIY!$B:$C,2,FALSE),0)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3" t="str">
        <f>IFERROR(INDEX(Product_Structure[SuperCategory],MATCH(Товары[[#This Row],[SubGroup]],Product_Structure[Subgroup],0)),"")</f>
        <v>W</v>
      </c>
      <c r="D1006" s="113" t="str">
        <f>IFERROR(INDEX(Product_Structure[SuperCategory Name ENG],MATCH(Товары[[#This Row],[SubGroup]],Product_Structure[Subgroup],0)),"")</f>
        <v>Watering (mobile, sprinkler system&amp;MDS, Ponds)</v>
      </c>
      <c r="E10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6" s="113" t="str">
        <f>IFERROR(INDEX(Product_Structure[Product group],MATCH(Товары[[#This Row],[SubGroup]],Product_Structure[Subgroup],0)),"")</f>
        <v>WMH_C</v>
      </c>
      <c r="G1006" s="113" t="str">
        <f>IFERROR(INDEX(Product_Structure[Product group name ENG],MATCH(Товары[[#This Row],[SubGroup]],Product_Structure[Subgroup],0)),"")</f>
        <v>Watering Mobile Hoses</v>
      </c>
      <c r="H1006" s="113" t="str">
        <f>IFERROR(INDEX(Product_Structure[Generic Name (long)3],MATCH(Товары[[#This Row],[SubGroup]],Product_Structure[Subgroup],0)),"")</f>
        <v>Садовые шланги</v>
      </c>
      <c r="I1006" s="36">
        <v>9014</v>
      </c>
      <c r="J1006" s="36" t="str">
        <f>IFERROR(INDEX(Product_Structure[Generic Name (long)],MATCH(Товары[[#This Row],[SubGroup]],Product_Structure[Subgroup],0)),"")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Row],[SubGroup]],DIY!$B:$C,2,FALSE),0)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3" t="str">
        <f>IFERROR(INDEX(Product_Structure[SuperCategory],MATCH(Товары[[#This Row],[SubGroup]],Product_Structure[Subgroup],0)),"")</f>
        <v>W</v>
      </c>
      <c r="D1007" s="113" t="str">
        <f>IFERROR(INDEX(Product_Structure[SuperCategory Name ENG],MATCH(Товары[[#This Row],[SubGroup]],Product_Structure[Subgroup],0)),"")</f>
        <v>Watering (mobile, sprinkler system&amp;MDS, Ponds)</v>
      </c>
      <c r="E10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7" s="113" t="str">
        <f>IFERROR(INDEX(Product_Structure[Product group],MATCH(Товары[[#This Row],[SubGroup]],Product_Structure[Subgroup],0)),"")</f>
        <v>WMH_C</v>
      </c>
      <c r="G1007" s="113" t="str">
        <f>IFERROR(INDEX(Product_Structure[Product group name ENG],MATCH(Товары[[#This Row],[SubGroup]],Product_Structure[Subgroup],0)),"")</f>
        <v>Watering Mobile Hoses</v>
      </c>
      <c r="H1007" s="113" t="str">
        <f>IFERROR(INDEX(Product_Structure[Generic Name (long)3],MATCH(Товары[[#This Row],[SubGroup]],Product_Structure[Subgroup],0)),"")</f>
        <v>Садовые шланги</v>
      </c>
      <c r="I1007" s="36">
        <v>9014</v>
      </c>
      <c r="J1007" s="36" t="str">
        <f>IFERROR(INDEX(Product_Structure[Generic Name (long)],MATCH(Товары[[#This Row],[SubGroup]],Product_Structure[Subgroup],0)),"")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Row],[SubGroup]],DIY!$B:$C,2,FALSE),0)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3" t="str">
        <f>IFERROR(INDEX(Product_Structure[SuperCategory],MATCH(Товары[[#This Row],[SubGroup]],Product_Structure[Subgroup],0)),"")</f>
        <v>W</v>
      </c>
      <c r="D1008" s="113" t="str">
        <f>IFERROR(INDEX(Product_Structure[SuperCategory Name ENG],MATCH(Товары[[#This Row],[SubGroup]],Product_Structure[Subgroup],0)),"")</f>
        <v>Watering (mobile, sprinkler system&amp;MDS, Ponds)</v>
      </c>
      <c r="E10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8" s="113" t="str">
        <f>IFERROR(INDEX(Product_Structure[Product group],MATCH(Товары[[#This Row],[SubGroup]],Product_Structure[Subgroup],0)),"")</f>
        <v>WMH_C</v>
      </c>
      <c r="G1008" s="113" t="str">
        <f>IFERROR(INDEX(Product_Structure[Product group name ENG],MATCH(Товары[[#This Row],[SubGroup]],Product_Structure[Subgroup],0)),"")</f>
        <v>Watering Mobile Hoses</v>
      </c>
      <c r="H1008" s="113" t="str">
        <f>IFERROR(INDEX(Product_Structure[Generic Name (long)3],MATCH(Товары[[#This Row],[SubGroup]],Product_Structure[Subgroup],0)),"")</f>
        <v>Садовые шланги</v>
      </c>
      <c r="I1008" s="36">
        <v>9014</v>
      </c>
      <c r="J1008" s="36" t="str">
        <f>IFERROR(INDEX(Product_Structure[Generic Name (long)],MATCH(Товары[[#This Row],[SubGroup]],Product_Structure[Subgroup],0)),"")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Row],[SubGroup]],DIY!$B:$C,2,FALSE),0)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3" t="str">
        <f>IFERROR(INDEX(Product_Structure[SuperCategory],MATCH(Товары[[#This Row],[SubGroup]],Product_Structure[Subgroup],0)),"")</f>
        <v>W</v>
      </c>
      <c r="D1009" s="113" t="str">
        <f>IFERROR(INDEX(Product_Structure[SuperCategory Name ENG],MATCH(Товары[[#This Row],[SubGroup]],Product_Structure[Subgroup],0)),"")</f>
        <v>Watering (mobile, sprinkler system&amp;MDS, Ponds)</v>
      </c>
      <c r="E10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09" s="113" t="str">
        <f>IFERROR(INDEX(Product_Structure[Product group],MATCH(Товары[[#This Row],[SubGroup]],Product_Structure[Subgroup],0)),"")</f>
        <v>WMH_C</v>
      </c>
      <c r="G1009" s="113" t="str">
        <f>IFERROR(INDEX(Product_Structure[Product group name ENG],MATCH(Товары[[#This Row],[SubGroup]],Product_Structure[Subgroup],0)),"")</f>
        <v>Watering Mobile Hoses</v>
      </c>
      <c r="H1009" s="113" t="str">
        <f>IFERROR(INDEX(Product_Structure[Generic Name (long)3],MATCH(Товары[[#This Row],[SubGroup]],Product_Structure[Subgroup],0)),"")</f>
        <v>Садовые шланги</v>
      </c>
      <c r="I1009" s="36">
        <v>9014</v>
      </c>
      <c r="J1009" s="36" t="str">
        <f>IFERROR(INDEX(Product_Structure[Generic Name (long)],MATCH(Товары[[#This Row],[SubGroup]],Product_Structure[Subgroup],0)),"")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Row],[SubGroup]],DIY!$B:$C,2,FALSE),0)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3" t="str">
        <f>IFERROR(INDEX(Product_Structure[SuperCategory],MATCH(Товары[[#This Row],[SubGroup]],Product_Structure[Subgroup],0)),"")</f>
        <v>W</v>
      </c>
      <c r="D1010" s="113" t="str">
        <f>IFERROR(INDEX(Product_Structure[SuperCategory Name ENG],MATCH(Товары[[#This Row],[SubGroup]],Product_Structure[Subgroup],0)),"")</f>
        <v>Watering (mobile, sprinkler system&amp;MDS, Ponds)</v>
      </c>
      <c r="E10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0" s="113" t="str">
        <f>IFERROR(INDEX(Product_Structure[Product group],MATCH(Товары[[#This Row],[SubGroup]],Product_Structure[Subgroup],0)),"")</f>
        <v>WMH_C</v>
      </c>
      <c r="G1010" s="113" t="str">
        <f>IFERROR(INDEX(Product_Structure[Product group name ENG],MATCH(Товары[[#This Row],[SubGroup]],Product_Structure[Subgroup],0)),"")</f>
        <v>Watering Mobile Hoses</v>
      </c>
      <c r="H1010" s="113" t="str">
        <f>IFERROR(INDEX(Product_Structure[Generic Name (long)3],MATCH(Товары[[#This Row],[SubGroup]],Product_Structure[Subgroup],0)),"")</f>
        <v>Садовые шланги</v>
      </c>
      <c r="I1010" s="36">
        <v>9014</v>
      </c>
      <c r="J1010" s="36" t="str">
        <f>IFERROR(INDEX(Product_Structure[Generic Name (long)],MATCH(Товары[[#This Row],[SubGroup]],Product_Structure[Subgroup],0)),"")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Row],[SubGroup]],DIY!$B:$C,2,FALSE),0)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3" t="str">
        <f>IFERROR(INDEX(Product_Structure[SuperCategory],MATCH(Товары[[#This Row],[SubGroup]],Product_Structure[Subgroup],0)),"")</f>
        <v>W</v>
      </c>
      <c r="D1011" s="113" t="str">
        <f>IFERROR(INDEX(Product_Structure[SuperCategory Name ENG],MATCH(Товары[[#This Row],[SubGroup]],Product_Structure[Subgroup],0)),"")</f>
        <v>Watering (mobile, sprinkler system&amp;MDS, Ponds)</v>
      </c>
      <c r="E10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1" s="113" t="str">
        <f>IFERROR(INDEX(Product_Structure[Product group],MATCH(Товары[[#This Row],[SubGroup]],Product_Structure[Subgroup],0)),"")</f>
        <v>WMH_C</v>
      </c>
      <c r="G1011" s="113" t="str">
        <f>IFERROR(INDEX(Product_Structure[Product group name ENG],MATCH(Товары[[#This Row],[SubGroup]],Product_Structure[Subgroup],0)),"")</f>
        <v>Watering Mobile Hoses</v>
      </c>
      <c r="H1011" s="113" t="str">
        <f>IFERROR(INDEX(Product_Structure[Generic Name (long)3],MATCH(Товары[[#This Row],[SubGroup]],Product_Structure[Subgroup],0)),"")</f>
        <v>Садовые шланги</v>
      </c>
      <c r="I1011" s="36">
        <v>9014</v>
      </c>
      <c r="J1011" s="36" t="str">
        <f>IFERROR(INDEX(Product_Structure[Generic Name (long)],MATCH(Товары[[#This Row],[SubGroup]],Product_Structure[Subgroup],0)),"")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Row],[SubGroup]],DIY!$B:$C,2,FALSE),0)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3" t="str">
        <f>IFERROR(INDEX(Product_Structure[SuperCategory],MATCH(Товары[[#This Row],[SubGroup]],Product_Structure[Subgroup],0)),"")</f>
        <v>W</v>
      </c>
      <c r="D1012" s="113" t="str">
        <f>IFERROR(INDEX(Product_Structure[SuperCategory Name ENG],MATCH(Товары[[#This Row],[SubGroup]],Product_Structure[Subgroup],0)),"")</f>
        <v>Watering (mobile, sprinkler system&amp;MDS, Ponds)</v>
      </c>
      <c r="E10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2" s="113" t="str">
        <f>IFERROR(INDEX(Product_Structure[Product group],MATCH(Товары[[#This Row],[SubGroup]],Product_Structure[Subgroup],0)),"")</f>
        <v>WMH_C</v>
      </c>
      <c r="G1012" s="113" t="str">
        <f>IFERROR(INDEX(Product_Structure[Product group name ENG],MATCH(Товары[[#This Row],[SubGroup]],Product_Structure[Subgroup],0)),"")</f>
        <v>Watering Mobile Hoses</v>
      </c>
      <c r="H1012" s="113" t="str">
        <f>IFERROR(INDEX(Product_Structure[Generic Name (long)3],MATCH(Товары[[#This Row],[SubGroup]],Product_Structure[Subgroup],0)),"")</f>
        <v>Садовые шланги</v>
      </c>
      <c r="I1012" s="36">
        <v>9014</v>
      </c>
      <c r="J1012" s="36" t="str">
        <f>IFERROR(INDEX(Product_Structure[Generic Name (long)],MATCH(Товары[[#This Row],[SubGroup]],Product_Structure[Subgroup],0)),"")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Row],[SubGroup]],DIY!$B:$C,2,FALSE),0)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3" t="str">
        <f>IFERROR(INDEX(Product_Structure[SuperCategory],MATCH(Товары[[#This Row],[SubGroup]],Product_Structure[Subgroup],0)),"")</f>
        <v>W</v>
      </c>
      <c r="D1013" s="113" t="str">
        <f>IFERROR(INDEX(Product_Structure[SuperCategory Name ENG],MATCH(Товары[[#This Row],[SubGroup]],Product_Structure[Subgroup],0)),"")</f>
        <v>Watering (mobile, sprinkler system&amp;MDS, Ponds)</v>
      </c>
      <c r="E10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3" s="113" t="str">
        <f>IFERROR(INDEX(Product_Structure[Product group],MATCH(Товары[[#This Row],[SubGroup]],Product_Structure[Subgroup],0)),"")</f>
        <v>WMH_C</v>
      </c>
      <c r="G1013" s="113" t="str">
        <f>IFERROR(INDEX(Product_Structure[Product group name ENG],MATCH(Товары[[#This Row],[SubGroup]],Product_Structure[Subgroup],0)),"")</f>
        <v>Watering Mobile Hoses</v>
      </c>
      <c r="H1013" s="113" t="str">
        <f>IFERROR(INDEX(Product_Structure[Generic Name (long)3],MATCH(Товары[[#This Row],[SubGroup]],Product_Structure[Subgroup],0)),"")</f>
        <v>Садовые шланги</v>
      </c>
      <c r="I1013" s="36">
        <v>9014</v>
      </c>
      <c r="J1013" s="36" t="str">
        <f>IFERROR(INDEX(Product_Structure[Generic Name (long)],MATCH(Товары[[#This Row],[SubGroup]],Product_Structure[Subgroup],0)),"")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Row],[SubGroup]],DIY!$B:$C,2,FALSE),0)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3" t="str">
        <f>IFERROR(INDEX(Product_Structure[SuperCategory],MATCH(Товары[[#This Row],[SubGroup]],Product_Structure[Subgroup],0)),"")</f>
        <v>W</v>
      </c>
      <c r="D1014" s="113" t="str">
        <f>IFERROR(INDEX(Product_Structure[SuperCategory Name ENG],MATCH(Товары[[#This Row],[SubGroup]],Product_Structure[Subgroup],0)),"")</f>
        <v>Watering (mobile, sprinkler system&amp;MDS, Ponds)</v>
      </c>
      <c r="E10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4" s="113" t="str">
        <f>IFERROR(INDEX(Product_Structure[Product group],MATCH(Товары[[#This Row],[SubGroup]],Product_Structure[Subgroup],0)),"")</f>
        <v>WMH_C</v>
      </c>
      <c r="G1014" s="113" t="str">
        <f>IFERROR(INDEX(Product_Structure[Product group name ENG],MATCH(Товары[[#This Row],[SubGroup]],Product_Structure[Subgroup],0)),"")</f>
        <v>Watering Mobile Hoses</v>
      </c>
      <c r="H1014" s="113" t="str">
        <f>IFERROR(INDEX(Product_Structure[Generic Name (long)3],MATCH(Товары[[#This Row],[SubGroup]],Product_Structure[Subgroup],0)),"")</f>
        <v>Садовые шланги</v>
      </c>
      <c r="I1014" s="36">
        <v>9014</v>
      </c>
      <c r="J1014" s="36" t="str">
        <f>IFERROR(INDEX(Product_Structure[Generic Name (long)],MATCH(Товары[[#This Row],[SubGroup]],Product_Structure[Subgroup],0)),"")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Row],[SubGroup]],DIY!$B:$C,2,FALSE),0)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3" t="str">
        <f>IFERROR(INDEX(Product_Structure[SuperCategory],MATCH(Товары[[#This Row],[SubGroup]],Product_Structure[Subgroup],0)),"")</f>
        <v>W</v>
      </c>
      <c r="D1015" s="113" t="str">
        <f>IFERROR(INDEX(Product_Structure[SuperCategory Name ENG],MATCH(Товары[[#This Row],[SubGroup]],Product_Structure[Subgroup],0)),"")</f>
        <v>Watering (mobile, sprinkler system&amp;MDS, Ponds)</v>
      </c>
      <c r="E10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5" s="113" t="str">
        <f>IFERROR(INDEX(Product_Structure[Product group],MATCH(Товары[[#This Row],[SubGroup]],Product_Structure[Subgroup],0)),"")</f>
        <v>WMH_C</v>
      </c>
      <c r="G1015" s="113" t="str">
        <f>IFERROR(INDEX(Product_Structure[Product group name ENG],MATCH(Товары[[#This Row],[SubGroup]],Product_Structure[Subgroup],0)),"")</f>
        <v>Watering Mobile Hoses</v>
      </c>
      <c r="H1015" s="113" t="str">
        <f>IFERROR(INDEX(Product_Structure[Generic Name (long)3],MATCH(Товары[[#This Row],[SubGroup]],Product_Structure[Subgroup],0)),"")</f>
        <v>Садовые шланги</v>
      </c>
      <c r="I1015" s="36">
        <v>9014</v>
      </c>
      <c r="J1015" s="36" t="str">
        <f>IFERROR(INDEX(Product_Structure[Generic Name (long)],MATCH(Товары[[#This Row],[SubGroup]],Product_Structure[Subgroup],0)),"")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Row],[SubGroup]],DIY!$B:$C,2,FALSE),0)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3" t="str">
        <f>IFERROR(INDEX(Product_Structure[SuperCategory],MATCH(Товары[[#This Row],[SubGroup]],Product_Structure[Subgroup],0)),"")</f>
        <v>W</v>
      </c>
      <c r="D1016" s="113" t="str">
        <f>IFERROR(INDEX(Product_Structure[SuperCategory Name ENG],MATCH(Товары[[#This Row],[SubGroup]],Product_Structure[Subgroup],0)),"")</f>
        <v>Watering (mobile, sprinkler system&amp;MDS, Ponds)</v>
      </c>
      <c r="E10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6" s="113" t="str">
        <f>IFERROR(INDEX(Product_Structure[Product group],MATCH(Товары[[#This Row],[SubGroup]],Product_Structure[Subgroup],0)),"")</f>
        <v>WMH_C</v>
      </c>
      <c r="G1016" s="113" t="str">
        <f>IFERROR(INDEX(Product_Structure[Product group name ENG],MATCH(Товары[[#This Row],[SubGroup]],Product_Structure[Subgroup],0)),"")</f>
        <v>Watering Mobile Hoses</v>
      </c>
      <c r="H1016" s="113" t="str">
        <f>IFERROR(INDEX(Product_Structure[Generic Name (long)3],MATCH(Товары[[#This Row],[SubGroup]],Product_Structure[Subgroup],0)),"")</f>
        <v>Садовые шланги</v>
      </c>
      <c r="I1016" s="36">
        <v>9014</v>
      </c>
      <c r="J1016" s="36" t="str">
        <f>IFERROR(INDEX(Product_Structure[Generic Name (long)],MATCH(Товары[[#This Row],[SubGroup]],Product_Structure[Subgroup],0)),"")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Row],[SubGroup]],DIY!$B:$C,2,FALSE),0)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3" t="str">
        <f>IFERROR(INDEX(Product_Structure[SuperCategory],MATCH(Товары[[#This Row],[SubGroup]],Product_Structure[Subgroup],0)),"")</f>
        <v>W</v>
      </c>
      <c r="D1017" s="113" t="str">
        <f>IFERROR(INDEX(Product_Structure[SuperCategory Name ENG],MATCH(Товары[[#This Row],[SubGroup]],Product_Structure[Subgroup],0)),"")</f>
        <v>Watering (mobile, sprinkler system&amp;MDS, Ponds)</v>
      </c>
      <c r="E10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7" s="113" t="str">
        <f>IFERROR(INDEX(Product_Structure[Product group],MATCH(Товары[[#This Row],[SubGroup]],Product_Structure[Subgroup],0)),"")</f>
        <v>WMH_C</v>
      </c>
      <c r="G1017" s="113" t="str">
        <f>IFERROR(INDEX(Product_Structure[Product group name ENG],MATCH(Товары[[#This Row],[SubGroup]],Product_Structure[Subgroup],0)),"")</f>
        <v>Watering Mobile Hoses</v>
      </c>
      <c r="H1017" s="113" t="str">
        <f>IFERROR(INDEX(Product_Structure[Generic Name (long)3],MATCH(Товары[[#This Row],[SubGroup]],Product_Structure[Subgroup],0)),"")</f>
        <v>Садовые шланги</v>
      </c>
      <c r="I1017" s="36">
        <v>9014</v>
      </c>
      <c r="J1017" s="36" t="str">
        <f>IFERROR(INDEX(Product_Structure[Generic Name (long)],MATCH(Товары[[#This Row],[SubGroup]],Product_Structure[Subgroup],0)),"")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Row],[SubGroup]],DIY!$B:$C,2,FALSE),0)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3" t="str">
        <f>IFERROR(INDEX(Product_Structure[SuperCategory],MATCH(Товары[[#This Row],[SubGroup]],Product_Structure[Subgroup],0)),"")</f>
        <v>W</v>
      </c>
      <c r="D1018" s="113" t="str">
        <f>IFERROR(INDEX(Product_Structure[SuperCategory Name ENG],MATCH(Товары[[#This Row],[SubGroup]],Product_Structure[Subgroup],0)),"")</f>
        <v>Watering (mobile, sprinkler system&amp;MDS, Ponds)</v>
      </c>
      <c r="E10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8" s="113" t="str">
        <f>IFERROR(INDEX(Product_Structure[Product group],MATCH(Товары[[#This Row],[SubGroup]],Product_Structure[Subgroup],0)),"")</f>
        <v>WMH_C</v>
      </c>
      <c r="G1018" s="113" t="str">
        <f>IFERROR(INDEX(Product_Structure[Product group name ENG],MATCH(Товары[[#This Row],[SubGroup]],Product_Structure[Subgroup],0)),"")</f>
        <v>Watering Mobile Hoses</v>
      </c>
      <c r="H1018" s="113" t="str">
        <f>IFERROR(INDEX(Product_Structure[Generic Name (long)3],MATCH(Товары[[#This Row],[SubGroup]],Product_Structure[Subgroup],0)),"")</f>
        <v>Садовые шланги</v>
      </c>
      <c r="I1018" s="36">
        <v>9014</v>
      </c>
      <c r="J1018" s="36" t="str">
        <f>IFERROR(INDEX(Product_Structure[Generic Name (long)],MATCH(Товары[[#This Row],[SubGroup]],Product_Structure[Subgroup],0)),"")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Row],[SubGroup]],DIY!$B:$C,2,FALSE),0)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3" t="str">
        <f>IFERROR(INDEX(Product_Structure[SuperCategory],MATCH(Товары[[#This Row],[SubGroup]],Product_Structure[Subgroup],0)),"")</f>
        <v>W</v>
      </c>
      <c r="D1019" s="113" t="str">
        <f>IFERROR(INDEX(Product_Structure[SuperCategory Name ENG],MATCH(Товары[[#This Row],[SubGroup]],Product_Structure[Subgroup],0)),"")</f>
        <v>Watering (mobile, sprinkler system&amp;MDS, Ponds)</v>
      </c>
      <c r="E10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19" s="113" t="str">
        <f>IFERROR(INDEX(Product_Structure[Product group],MATCH(Товары[[#This Row],[SubGroup]],Product_Structure[Subgroup],0)),"")</f>
        <v>WMH_C</v>
      </c>
      <c r="G1019" s="113" t="str">
        <f>IFERROR(INDEX(Product_Structure[Product group name ENG],MATCH(Товары[[#This Row],[SubGroup]],Product_Structure[Subgroup],0)),"")</f>
        <v>Watering Mobile Hoses</v>
      </c>
      <c r="H1019" s="113" t="str">
        <f>IFERROR(INDEX(Product_Structure[Generic Name (long)3],MATCH(Товары[[#This Row],[SubGroup]],Product_Structure[Subgroup],0)),"")</f>
        <v>Садовые шланги</v>
      </c>
      <c r="I1019" s="36">
        <v>9014</v>
      </c>
      <c r="J1019" s="36" t="str">
        <f>IFERROR(INDEX(Product_Structure[Generic Name (long)],MATCH(Товары[[#This Row],[SubGroup]],Product_Structure[Subgroup],0)),"")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Row],[SubGroup]],DIY!$B:$C,2,FALSE),0)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3" t="str">
        <f>IFERROR(INDEX(Product_Structure[SuperCategory],MATCH(Товары[[#This Row],[SubGroup]],Product_Structure[Subgroup],0)),"")</f>
        <v>W</v>
      </c>
      <c r="D1020" s="113" t="str">
        <f>IFERROR(INDEX(Product_Structure[SuperCategory Name ENG],MATCH(Товары[[#This Row],[SubGroup]],Product_Structure[Subgroup],0)),"")</f>
        <v>Watering (mobile, sprinkler system&amp;MDS, Ponds)</v>
      </c>
      <c r="E10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0" s="113" t="str">
        <f>IFERROR(INDEX(Product_Structure[Product group],MATCH(Товары[[#This Row],[SubGroup]],Product_Structure[Subgroup],0)),"")</f>
        <v>WMH_C</v>
      </c>
      <c r="G1020" s="113" t="str">
        <f>IFERROR(INDEX(Product_Structure[Product group name ENG],MATCH(Товары[[#This Row],[SubGroup]],Product_Structure[Subgroup],0)),"")</f>
        <v>Watering Mobile Hoses</v>
      </c>
      <c r="H1020" s="113" t="str">
        <f>IFERROR(INDEX(Product_Structure[Generic Name (long)3],MATCH(Товары[[#This Row],[SubGroup]],Product_Structure[Subgroup],0)),"")</f>
        <v>Садовые шланги</v>
      </c>
      <c r="I1020" s="36">
        <v>9014</v>
      </c>
      <c r="J1020" s="36" t="str">
        <f>IFERROR(INDEX(Product_Structure[Generic Name (long)],MATCH(Товары[[#This Row],[SubGroup]],Product_Structure[Subgroup],0)),"")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Row],[SubGroup]],DIY!$B:$C,2,FALSE),0)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3" t="str">
        <f>IFERROR(INDEX(Product_Structure[SuperCategory],MATCH(Товары[[#This Row],[SubGroup]],Product_Structure[Subgroup],0)),"")</f>
        <v>W</v>
      </c>
      <c r="D1021" s="113" t="str">
        <f>IFERROR(INDEX(Product_Structure[SuperCategory Name ENG],MATCH(Товары[[#This Row],[SubGroup]],Product_Structure[Subgroup],0)),"")</f>
        <v>Watering (mobile, sprinkler system&amp;MDS, Ponds)</v>
      </c>
      <c r="E10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1" s="113" t="str">
        <f>IFERROR(INDEX(Product_Structure[Product group],MATCH(Товары[[#This Row],[SubGroup]],Product_Structure[Subgroup],0)),"")</f>
        <v>WMH_C</v>
      </c>
      <c r="G1021" s="113" t="str">
        <f>IFERROR(INDEX(Product_Structure[Product group name ENG],MATCH(Товары[[#This Row],[SubGroup]],Product_Structure[Subgroup],0)),"")</f>
        <v>Watering Mobile Hoses</v>
      </c>
      <c r="H1021" s="113" t="str">
        <f>IFERROR(INDEX(Product_Structure[Generic Name (long)3],MATCH(Товары[[#This Row],[SubGroup]],Product_Structure[Subgroup],0)),"")</f>
        <v>Садовые шланги</v>
      </c>
      <c r="I1021" s="36">
        <v>9014</v>
      </c>
      <c r="J1021" s="36" t="str">
        <f>IFERROR(INDEX(Product_Structure[Generic Name (long)],MATCH(Товары[[#This Row],[SubGroup]],Product_Structure[Subgroup],0)),"")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Row],[SubGroup]],DIY!$B:$C,2,FALSE),0)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3" t="str">
        <f>IFERROR(INDEX(Product_Structure[SuperCategory],MATCH(Товары[[#This Row],[SubGroup]],Product_Structure[Subgroup],0)),"")</f>
        <v>W</v>
      </c>
      <c r="D1022" s="113" t="str">
        <f>IFERROR(INDEX(Product_Structure[SuperCategory Name ENG],MATCH(Товары[[#This Row],[SubGroup]],Product_Structure[Subgroup],0)),"")</f>
        <v>Watering (mobile, sprinkler system&amp;MDS, Ponds)</v>
      </c>
      <c r="E10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2" s="113" t="str">
        <f>IFERROR(INDEX(Product_Structure[Product group],MATCH(Товары[[#This Row],[SubGroup]],Product_Structure[Subgroup],0)),"")</f>
        <v>WMH_C</v>
      </c>
      <c r="G1022" s="113" t="str">
        <f>IFERROR(INDEX(Product_Structure[Product group name ENG],MATCH(Товары[[#This Row],[SubGroup]],Product_Structure[Subgroup],0)),"")</f>
        <v>Watering Mobile Hoses</v>
      </c>
      <c r="H1022" s="113" t="str">
        <f>IFERROR(INDEX(Product_Structure[Generic Name (long)3],MATCH(Товары[[#This Row],[SubGroup]],Product_Structure[Subgroup],0)),"")</f>
        <v>Садовые шланги</v>
      </c>
      <c r="I1022" s="36">
        <v>9014</v>
      </c>
      <c r="J1022" s="36" t="str">
        <f>IFERROR(INDEX(Product_Structure[Generic Name (long)],MATCH(Товары[[#This Row],[SubGroup]],Product_Structure[Subgroup],0)),"")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Row],[SubGroup]],DIY!$B:$C,2,FALSE),0)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3" t="str">
        <f>IFERROR(INDEX(Product_Structure[SuperCategory],MATCH(Товары[[#This Row],[SubGroup]],Product_Structure[Subgroup],0)),"")</f>
        <v>W</v>
      </c>
      <c r="D1023" s="113" t="str">
        <f>IFERROR(INDEX(Product_Structure[SuperCategory Name ENG],MATCH(Товары[[#This Row],[SubGroup]],Product_Structure[Subgroup],0)),"")</f>
        <v>Watering (mobile, sprinkler system&amp;MDS, Ponds)</v>
      </c>
      <c r="E10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3" s="113" t="str">
        <f>IFERROR(INDEX(Product_Structure[Product group],MATCH(Товары[[#This Row],[SubGroup]],Product_Structure[Subgroup],0)),"")</f>
        <v>WMH_C</v>
      </c>
      <c r="G1023" s="113" t="str">
        <f>IFERROR(INDEX(Product_Structure[Product group name ENG],MATCH(Товары[[#This Row],[SubGroup]],Product_Structure[Subgroup],0)),"")</f>
        <v>Watering Mobile Hoses</v>
      </c>
      <c r="H1023" s="113" t="str">
        <f>IFERROR(INDEX(Product_Structure[Generic Name (long)3],MATCH(Товары[[#This Row],[SubGroup]],Product_Structure[Subgroup],0)),"")</f>
        <v>Садовые шланги</v>
      </c>
      <c r="I1023" s="36">
        <v>9014</v>
      </c>
      <c r="J1023" s="36" t="str">
        <f>IFERROR(INDEX(Product_Structure[Generic Name (long)],MATCH(Товары[[#This Row],[SubGroup]],Product_Structure[Subgroup],0)),"")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Row],[SubGroup]],DIY!$B:$C,2,FALSE),0)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3" t="str">
        <f>IFERROR(INDEX(Product_Structure[SuperCategory],MATCH(Товары[[#This Row],[SubGroup]],Product_Structure[Subgroup],0)),"")</f>
        <v>W</v>
      </c>
      <c r="D1024" s="113" t="str">
        <f>IFERROR(INDEX(Product_Structure[SuperCategory Name ENG],MATCH(Товары[[#This Row],[SubGroup]],Product_Structure[Subgroup],0)),"")</f>
        <v>Watering (mobile, sprinkler system&amp;MDS, Ponds)</v>
      </c>
      <c r="E10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4" s="113" t="str">
        <f>IFERROR(INDEX(Product_Structure[Product group],MATCH(Товары[[#This Row],[SubGroup]],Product_Structure[Subgroup],0)),"")</f>
        <v>WMH_C</v>
      </c>
      <c r="G1024" s="113" t="str">
        <f>IFERROR(INDEX(Product_Structure[Product group name ENG],MATCH(Товары[[#This Row],[SubGroup]],Product_Structure[Subgroup],0)),"")</f>
        <v>Watering Mobile Hoses</v>
      </c>
      <c r="H1024" s="113" t="str">
        <f>IFERROR(INDEX(Product_Structure[Generic Name (long)3],MATCH(Товары[[#This Row],[SubGroup]],Product_Structure[Subgroup],0)),"")</f>
        <v>Садовые шланги</v>
      </c>
      <c r="I1024" s="36">
        <v>9014</v>
      </c>
      <c r="J1024" s="36" t="str">
        <f>IFERROR(INDEX(Product_Structure[Generic Name (long)],MATCH(Товары[[#This Row],[SubGroup]],Product_Structure[Subgroup],0)),"")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Row],[SubGroup]],DIY!$B:$C,2,FALSE),0)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3" t="str">
        <f>IFERROR(INDEX(Product_Structure[SuperCategory],MATCH(Товары[[#This Row],[SubGroup]],Product_Structure[Subgroup],0)),"")</f>
        <v>W</v>
      </c>
      <c r="D1025" s="113" t="str">
        <f>IFERROR(INDEX(Product_Structure[SuperCategory Name ENG],MATCH(Товары[[#This Row],[SubGroup]],Product_Structure[Subgroup],0)),"")</f>
        <v>Watering (mobile, sprinkler system&amp;MDS, Ponds)</v>
      </c>
      <c r="E10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5" s="113" t="str">
        <f>IFERROR(INDEX(Product_Structure[Product group],MATCH(Товары[[#This Row],[SubGroup]],Product_Structure[Subgroup],0)),"")</f>
        <v>WMH_C</v>
      </c>
      <c r="G1025" s="113" t="str">
        <f>IFERROR(INDEX(Product_Structure[Product group name ENG],MATCH(Товары[[#This Row],[SubGroup]],Product_Structure[Subgroup],0)),"")</f>
        <v>Watering Mobile Hoses</v>
      </c>
      <c r="H1025" s="113" t="str">
        <f>IFERROR(INDEX(Product_Structure[Generic Name (long)3],MATCH(Товары[[#This Row],[SubGroup]],Product_Structure[Subgroup],0)),"")</f>
        <v>Садовые шланги</v>
      </c>
      <c r="I1025" s="36">
        <v>9014</v>
      </c>
      <c r="J1025" s="36" t="str">
        <f>IFERROR(INDEX(Product_Structure[Generic Name (long)],MATCH(Товары[[#This Row],[SubGroup]],Product_Structure[Subgroup],0)),"")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Row],[SubGroup]],DIY!$B:$C,2,FALSE),0)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3" t="str">
        <f>IFERROR(INDEX(Product_Structure[SuperCategory],MATCH(Товары[[#This Row],[SubGroup]],Product_Structure[Subgroup],0)),"")</f>
        <v>W</v>
      </c>
      <c r="D1026" s="113" t="str">
        <f>IFERROR(INDEX(Product_Structure[SuperCategory Name ENG],MATCH(Товары[[#This Row],[SubGroup]],Product_Structure[Subgroup],0)),"")</f>
        <v>Watering (mobile, sprinkler system&amp;MDS, Ponds)</v>
      </c>
      <c r="E10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6" s="113" t="str">
        <f>IFERROR(INDEX(Product_Structure[Product group],MATCH(Товары[[#This Row],[SubGroup]],Product_Structure[Subgroup],0)),"")</f>
        <v>WMH_C</v>
      </c>
      <c r="G1026" s="113" t="str">
        <f>IFERROR(INDEX(Product_Structure[Product group name ENG],MATCH(Товары[[#This Row],[SubGroup]],Product_Structure[Subgroup],0)),"")</f>
        <v>Watering Mobile Hoses</v>
      </c>
      <c r="H1026" s="113" t="str">
        <f>IFERROR(INDEX(Product_Structure[Generic Name (long)3],MATCH(Товары[[#This Row],[SubGroup]],Product_Structure[Subgroup],0)),"")</f>
        <v>Садовые шланги</v>
      </c>
      <c r="I1026" s="36">
        <v>9014</v>
      </c>
      <c r="J1026" s="36" t="str">
        <f>IFERROR(INDEX(Product_Structure[Generic Name (long)],MATCH(Товары[[#This Row],[SubGroup]],Product_Structure[Subgroup],0)),"")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Row],[SubGroup]],DIY!$B:$C,2,FALSE),0)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3" t="str">
        <f>IFERROR(INDEX(Product_Structure[SuperCategory],MATCH(Товары[[#This Row],[SubGroup]],Product_Structure[Subgroup],0)),"")</f>
        <v>W</v>
      </c>
      <c r="D1027" s="113" t="str">
        <f>IFERROR(INDEX(Product_Structure[SuperCategory Name ENG],MATCH(Товары[[#This Row],[SubGroup]],Product_Structure[Subgroup],0)),"")</f>
        <v>Watering (mobile, sprinkler system&amp;MDS, Ponds)</v>
      </c>
      <c r="E10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7" s="113" t="str">
        <f>IFERROR(INDEX(Product_Structure[Product group],MATCH(Товары[[#This Row],[SubGroup]],Product_Structure[Subgroup],0)),"")</f>
        <v>WMH_C</v>
      </c>
      <c r="G1027" s="113" t="str">
        <f>IFERROR(INDEX(Product_Structure[Product group name ENG],MATCH(Товары[[#This Row],[SubGroup]],Product_Structure[Subgroup],0)),"")</f>
        <v>Watering Mobile Hoses</v>
      </c>
      <c r="H1027" s="113" t="str">
        <f>IFERROR(INDEX(Product_Structure[Generic Name (long)3],MATCH(Товары[[#This Row],[SubGroup]],Product_Structure[Subgroup],0)),"")</f>
        <v>Садовые шланги</v>
      </c>
      <c r="I1027" s="36">
        <v>9014</v>
      </c>
      <c r="J1027" s="36" t="str">
        <f>IFERROR(INDEX(Product_Structure[Generic Name (long)],MATCH(Товары[[#This Row],[SubGroup]],Product_Structure[Subgroup],0)),"")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Row],[SubGroup]],DIY!$B:$C,2,FALSE),0)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3" t="str">
        <f>IFERROR(INDEX(Product_Structure[SuperCategory],MATCH(Товары[[#This Row],[SubGroup]],Product_Structure[Subgroup],0)),"")</f>
        <v>W</v>
      </c>
      <c r="D1028" s="113" t="str">
        <f>IFERROR(INDEX(Product_Structure[SuperCategory Name ENG],MATCH(Товары[[#This Row],[SubGroup]],Product_Structure[Subgroup],0)),"")</f>
        <v>Watering (mobile, sprinkler system&amp;MDS, Ponds)</v>
      </c>
      <c r="E10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8" s="113" t="str">
        <f>IFERROR(INDEX(Product_Structure[Product group],MATCH(Товары[[#This Row],[SubGroup]],Product_Structure[Subgroup],0)),"")</f>
        <v>WMH_C</v>
      </c>
      <c r="G1028" s="113" t="str">
        <f>IFERROR(INDEX(Product_Structure[Product group name ENG],MATCH(Товары[[#This Row],[SubGroup]],Product_Structure[Subgroup],0)),"")</f>
        <v>Watering Mobile Hoses</v>
      </c>
      <c r="H1028" s="113" t="str">
        <f>IFERROR(INDEX(Product_Structure[Generic Name (long)3],MATCH(Товары[[#This Row],[SubGroup]],Product_Structure[Subgroup],0)),"")</f>
        <v>Садовые шланги</v>
      </c>
      <c r="I1028" s="36">
        <v>9014</v>
      </c>
      <c r="J1028" s="36" t="str">
        <f>IFERROR(INDEX(Product_Structure[Generic Name (long)],MATCH(Товары[[#This Row],[SubGroup]],Product_Structure[Subgroup],0)),"")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Row],[SubGroup]],DIY!$B:$C,2,FALSE),0)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3" t="str">
        <f>IFERROR(INDEX(Product_Structure[SuperCategory],MATCH(Товары[[#This Row],[SubGroup]],Product_Structure[Subgroup],0)),"")</f>
        <v>W</v>
      </c>
      <c r="D1029" s="113" t="str">
        <f>IFERROR(INDEX(Product_Structure[SuperCategory Name ENG],MATCH(Товары[[#This Row],[SubGroup]],Product_Structure[Subgroup],0)),"")</f>
        <v>Watering (mobile, sprinkler system&amp;MDS, Ponds)</v>
      </c>
      <c r="E10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29" s="113" t="str">
        <f>IFERROR(INDEX(Product_Structure[Product group],MATCH(Товары[[#This Row],[SubGroup]],Product_Structure[Subgroup],0)),"")</f>
        <v>WMH_C</v>
      </c>
      <c r="G1029" s="113" t="str">
        <f>IFERROR(INDEX(Product_Structure[Product group name ENG],MATCH(Товары[[#This Row],[SubGroup]],Product_Structure[Subgroup],0)),"")</f>
        <v>Watering Mobile Hoses</v>
      </c>
      <c r="H1029" s="113" t="str">
        <f>IFERROR(INDEX(Product_Structure[Generic Name (long)3],MATCH(Товары[[#This Row],[SubGroup]],Product_Structure[Subgroup],0)),"")</f>
        <v>Садовые шланги</v>
      </c>
      <c r="I1029" s="36">
        <v>9014</v>
      </c>
      <c r="J1029" s="36" t="str">
        <f>IFERROR(INDEX(Product_Structure[Generic Name (long)],MATCH(Товары[[#This Row],[SubGroup]],Product_Structure[Subgroup],0)),"")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Row],[SubGroup]],DIY!$B:$C,2,FALSE),0)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3" t="str">
        <f>IFERROR(INDEX(Product_Structure[SuperCategory],MATCH(Товары[[#This Row],[SubGroup]],Product_Structure[Subgroup],0)),"")</f>
        <v>W</v>
      </c>
      <c r="D1030" s="113" t="str">
        <f>IFERROR(INDEX(Product_Structure[SuperCategory Name ENG],MATCH(Товары[[#This Row],[SubGroup]],Product_Structure[Subgroup],0)),"")</f>
        <v>Watering (mobile, sprinkler system&amp;MDS, Ponds)</v>
      </c>
      <c r="E10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0" s="113" t="str">
        <f>IFERROR(INDEX(Product_Structure[Product group],MATCH(Товары[[#This Row],[SubGroup]],Product_Structure[Subgroup],0)),"")</f>
        <v>WMH_C</v>
      </c>
      <c r="G1030" s="113" t="str">
        <f>IFERROR(INDEX(Product_Structure[Product group name ENG],MATCH(Товары[[#This Row],[SubGroup]],Product_Structure[Subgroup],0)),"")</f>
        <v>Watering Mobile Hoses</v>
      </c>
      <c r="H1030" s="113" t="str">
        <f>IFERROR(INDEX(Product_Structure[Generic Name (long)3],MATCH(Товары[[#This Row],[SubGroup]],Product_Structure[Subgroup],0)),"")</f>
        <v>Садовые шланги</v>
      </c>
      <c r="I1030" s="36">
        <v>9014</v>
      </c>
      <c r="J1030" s="36" t="str">
        <f>IFERROR(INDEX(Product_Structure[Generic Name (long)],MATCH(Товары[[#This Row],[SubGroup]],Product_Structure[Subgroup],0)),"")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Row],[SubGroup]],DIY!$B:$C,2,FALSE),0)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3" t="str">
        <f>IFERROR(INDEX(Product_Structure[SuperCategory],MATCH(Товары[[#This Row],[SubGroup]],Product_Structure[Subgroup],0)),"")</f>
        <v>W</v>
      </c>
      <c r="D1031" s="113" t="str">
        <f>IFERROR(INDEX(Product_Structure[SuperCategory Name ENG],MATCH(Товары[[#This Row],[SubGroup]],Product_Structure[Subgroup],0)),"")</f>
        <v>Watering (mobile, sprinkler system&amp;MDS, Ponds)</v>
      </c>
      <c r="E10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1" s="113" t="str">
        <f>IFERROR(INDEX(Product_Structure[Product group],MATCH(Товары[[#This Row],[SubGroup]],Product_Structure[Subgroup],0)),"")</f>
        <v>WMH_C</v>
      </c>
      <c r="G1031" s="113" t="str">
        <f>IFERROR(INDEX(Product_Structure[Product group name ENG],MATCH(Товары[[#This Row],[SubGroup]],Product_Structure[Subgroup],0)),"")</f>
        <v>Watering Mobile Hoses</v>
      </c>
      <c r="H1031" s="113" t="str">
        <f>IFERROR(INDEX(Product_Structure[Generic Name (long)3],MATCH(Товары[[#This Row],[SubGroup]],Product_Structure[Subgroup],0)),"")</f>
        <v>Садовые шланги</v>
      </c>
      <c r="I1031" s="36">
        <v>9014</v>
      </c>
      <c r="J1031" s="36" t="str">
        <f>IFERROR(INDEX(Product_Structure[Generic Name (long)],MATCH(Товары[[#This Row],[SubGroup]],Product_Structure[Subgroup],0)),"")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Row],[SubGroup]],DIY!$B:$C,2,FALSE),0)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3" t="str">
        <f>IFERROR(INDEX(Product_Structure[SuperCategory],MATCH(Товары[[#This Row],[SubGroup]],Product_Structure[Subgroup],0)),"")</f>
        <v>W</v>
      </c>
      <c r="D1032" s="113" t="str">
        <f>IFERROR(INDEX(Product_Structure[SuperCategory Name ENG],MATCH(Товары[[#This Row],[SubGroup]],Product_Structure[Subgroup],0)),"")</f>
        <v>Watering (mobile, sprinkler system&amp;MDS, Ponds)</v>
      </c>
      <c r="E10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2" s="113" t="str">
        <f>IFERROR(INDEX(Product_Structure[Product group],MATCH(Товары[[#This Row],[SubGroup]],Product_Structure[Subgroup],0)),"")</f>
        <v>WMH_C</v>
      </c>
      <c r="G1032" s="113" t="str">
        <f>IFERROR(INDEX(Product_Structure[Product group name ENG],MATCH(Товары[[#This Row],[SubGroup]],Product_Structure[Subgroup],0)),"")</f>
        <v>Watering Mobile Hoses</v>
      </c>
      <c r="H1032" s="113" t="str">
        <f>IFERROR(INDEX(Product_Structure[Generic Name (long)3],MATCH(Товары[[#This Row],[SubGroup]],Product_Structure[Subgroup],0)),"")</f>
        <v>Садовые шланги</v>
      </c>
      <c r="I1032" s="36">
        <v>9014</v>
      </c>
      <c r="J1032" s="36" t="str">
        <f>IFERROR(INDEX(Product_Structure[Generic Name (long)],MATCH(Товары[[#This Row],[SubGroup]],Product_Structure[Subgroup],0)),"")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Row],[SubGroup]],DIY!$B:$C,2,FALSE),0)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3" t="str">
        <f>IFERROR(INDEX(Product_Structure[SuperCategory],MATCH(Товары[[#This Row],[SubGroup]],Product_Structure[Subgroup],0)),"")</f>
        <v>W</v>
      </c>
      <c r="D1033" s="113" t="str">
        <f>IFERROR(INDEX(Product_Structure[SuperCategory Name ENG],MATCH(Товары[[#This Row],[SubGroup]],Product_Structure[Subgroup],0)),"")</f>
        <v>Watering (mobile, sprinkler system&amp;MDS, Ponds)</v>
      </c>
      <c r="E10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3" s="113" t="str">
        <f>IFERROR(INDEX(Product_Structure[Product group],MATCH(Товары[[#This Row],[SubGroup]],Product_Structure[Subgroup],0)),"")</f>
        <v>WMH_C</v>
      </c>
      <c r="G1033" s="113" t="str">
        <f>IFERROR(INDEX(Product_Structure[Product group name ENG],MATCH(Товары[[#This Row],[SubGroup]],Product_Structure[Subgroup],0)),"")</f>
        <v>Watering Mobile Hoses</v>
      </c>
      <c r="H1033" s="113" t="str">
        <f>IFERROR(INDEX(Product_Structure[Generic Name (long)3],MATCH(Товары[[#This Row],[SubGroup]],Product_Structure[Subgroup],0)),"")</f>
        <v>Садовые шланги</v>
      </c>
      <c r="I1033" s="36">
        <v>9014</v>
      </c>
      <c r="J1033" s="36" t="str">
        <f>IFERROR(INDEX(Product_Structure[Generic Name (long)],MATCH(Товары[[#This Row],[SubGroup]],Product_Structure[Subgroup],0)),"")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Row],[SubGroup]],DIY!$B:$C,2,FALSE),0)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3" t="str">
        <f>IFERROR(INDEX(Product_Structure[SuperCategory],MATCH(Товары[[#This Row],[SubGroup]],Product_Structure[Subgroup],0)),"")</f>
        <v>W</v>
      </c>
      <c r="D1034" s="113" t="str">
        <f>IFERROR(INDEX(Product_Structure[SuperCategory Name ENG],MATCH(Товары[[#This Row],[SubGroup]],Product_Structure[Subgroup],0)),"")</f>
        <v>Watering (mobile, sprinkler system&amp;MDS, Ponds)</v>
      </c>
      <c r="E10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4" s="113" t="str">
        <f>IFERROR(INDEX(Product_Structure[Product group],MATCH(Товары[[#This Row],[SubGroup]],Product_Structure[Subgroup],0)),"")</f>
        <v>WMH_C</v>
      </c>
      <c r="G1034" s="113" t="str">
        <f>IFERROR(INDEX(Product_Structure[Product group name ENG],MATCH(Товары[[#This Row],[SubGroup]],Product_Structure[Subgroup],0)),"")</f>
        <v>Watering Mobile Hoses</v>
      </c>
      <c r="H1034" s="113" t="str">
        <f>IFERROR(INDEX(Product_Structure[Generic Name (long)3],MATCH(Товары[[#This Row],[SubGroup]],Product_Structure[Subgroup],0)),"")</f>
        <v>Садовые шланги</v>
      </c>
      <c r="I1034" s="36">
        <v>9014</v>
      </c>
      <c r="J1034" s="36" t="str">
        <f>IFERROR(INDEX(Product_Structure[Generic Name (long)],MATCH(Товары[[#This Row],[SubGroup]],Product_Structure[Subgroup],0)),"")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Row],[SubGroup]],DIY!$B:$C,2,FALSE),0)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3" t="str">
        <f>IFERROR(INDEX(Product_Structure[SuperCategory],MATCH(Товары[[#This Row],[SubGroup]],Product_Structure[Subgroup],0)),"")</f>
        <v>W</v>
      </c>
      <c r="D1035" s="113" t="str">
        <f>IFERROR(INDEX(Product_Structure[SuperCategory Name ENG],MATCH(Товары[[#This Row],[SubGroup]],Product_Structure[Subgroup],0)),"")</f>
        <v>Watering (mobile, sprinkler system&amp;MDS, Ponds)</v>
      </c>
      <c r="E10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5" s="113" t="str">
        <f>IFERROR(INDEX(Product_Structure[Product group],MATCH(Товары[[#This Row],[SubGroup]],Product_Structure[Subgroup],0)),"")</f>
        <v>WMH_C</v>
      </c>
      <c r="G1035" s="113" t="str">
        <f>IFERROR(INDEX(Product_Structure[Product group name ENG],MATCH(Товары[[#This Row],[SubGroup]],Product_Structure[Subgroup],0)),"")</f>
        <v>Watering Mobile Hoses</v>
      </c>
      <c r="H1035" s="113" t="str">
        <f>IFERROR(INDEX(Product_Structure[Generic Name (long)3],MATCH(Товары[[#This Row],[SubGroup]],Product_Structure[Subgroup],0)),"")</f>
        <v>Садовые шланги</v>
      </c>
      <c r="I1035" s="36">
        <v>9014</v>
      </c>
      <c r="J1035" s="36" t="str">
        <f>IFERROR(INDEX(Product_Structure[Generic Name (long)],MATCH(Товары[[#This Row],[SubGroup]],Product_Structure[Subgroup],0)),"")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Row],[SubGroup]],DIY!$B:$C,2,FALSE),0)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3" t="str">
        <f>IFERROR(INDEX(Product_Structure[SuperCategory],MATCH(Товары[[#This Row],[SubGroup]],Product_Structure[Subgroup],0)),"")</f>
        <v>W</v>
      </c>
      <c r="D1036" s="113" t="str">
        <f>IFERROR(INDEX(Product_Structure[SuperCategory Name ENG],MATCH(Товары[[#This Row],[SubGroup]],Product_Structure[Subgroup],0)),"")</f>
        <v>Watering (mobile, sprinkler system&amp;MDS, Ponds)</v>
      </c>
      <c r="E10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6" s="113" t="str">
        <f>IFERROR(INDEX(Product_Structure[Product group],MATCH(Товары[[#This Row],[SubGroup]],Product_Structure[Subgroup],0)),"")</f>
        <v>WMH_C</v>
      </c>
      <c r="G1036" s="113" t="str">
        <f>IFERROR(INDEX(Product_Structure[Product group name ENG],MATCH(Товары[[#This Row],[SubGroup]],Product_Structure[Subgroup],0)),"")</f>
        <v>Watering Mobile Hoses</v>
      </c>
      <c r="H1036" s="113" t="str">
        <f>IFERROR(INDEX(Product_Structure[Generic Name (long)3],MATCH(Товары[[#This Row],[SubGroup]],Product_Structure[Subgroup],0)),"")</f>
        <v>Садовые шланги</v>
      </c>
      <c r="I1036" s="36">
        <v>9014</v>
      </c>
      <c r="J1036" s="36" t="str">
        <f>IFERROR(INDEX(Product_Structure[Generic Name (long)],MATCH(Товары[[#This Row],[SubGroup]],Product_Structure[Subgroup],0)),"")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Row],[SubGroup]],DIY!$B:$C,2,FALSE),0)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3" t="str">
        <f>IFERROR(INDEX(Product_Structure[SuperCategory],MATCH(Товары[[#This Row],[SubGroup]],Product_Structure[Subgroup],0)),"")</f>
        <v>W</v>
      </c>
      <c r="D1037" s="113" t="str">
        <f>IFERROR(INDEX(Product_Structure[SuperCategory Name ENG],MATCH(Товары[[#This Row],[SubGroup]],Product_Structure[Subgroup],0)),"")</f>
        <v>Watering (mobile, sprinkler system&amp;MDS, Ponds)</v>
      </c>
      <c r="E10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7" s="113" t="str">
        <f>IFERROR(INDEX(Product_Structure[Product group],MATCH(Товары[[#This Row],[SubGroup]],Product_Structure[Subgroup],0)),"")</f>
        <v>WMH_C</v>
      </c>
      <c r="G1037" s="113" t="str">
        <f>IFERROR(INDEX(Product_Structure[Product group name ENG],MATCH(Товары[[#This Row],[SubGroup]],Product_Structure[Subgroup],0)),"")</f>
        <v>Watering Mobile Hoses</v>
      </c>
      <c r="H1037" s="113" t="str">
        <f>IFERROR(INDEX(Product_Structure[Generic Name (long)3],MATCH(Товары[[#This Row],[SubGroup]],Product_Structure[Subgroup],0)),"")</f>
        <v>Садовые шланги</v>
      </c>
      <c r="I1037" s="36">
        <v>9014</v>
      </c>
      <c r="J1037" s="36" t="str">
        <f>IFERROR(INDEX(Product_Structure[Generic Name (long)],MATCH(Товары[[#This Row],[SubGroup]],Product_Structure[Subgroup],0)),"")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Row],[SubGroup]],DIY!$B:$C,2,FALSE),0)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3" t="str">
        <f>IFERROR(INDEX(Product_Structure[SuperCategory],MATCH(Товары[[#This Row],[SubGroup]],Product_Structure[Subgroup],0)),"")</f>
        <v>W</v>
      </c>
      <c r="D1038" s="113" t="str">
        <f>IFERROR(INDEX(Product_Structure[SuperCategory Name ENG],MATCH(Товары[[#This Row],[SubGroup]],Product_Structure[Subgroup],0)),"")</f>
        <v>Watering (mobile, sprinkler system&amp;MDS, Ponds)</v>
      </c>
      <c r="E10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8" s="113" t="str">
        <f>IFERROR(INDEX(Product_Structure[Product group],MATCH(Товары[[#This Row],[SubGroup]],Product_Structure[Subgroup],0)),"")</f>
        <v>WMH_C</v>
      </c>
      <c r="G1038" s="113" t="str">
        <f>IFERROR(INDEX(Product_Structure[Product group name ENG],MATCH(Товары[[#This Row],[SubGroup]],Product_Structure[Subgroup],0)),"")</f>
        <v>Watering Mobile Hoses</v>
      </c>
      <c r="H1038" s="113" t="str">
        <f>IFERROR(INDEX(Product_Structure[Generic Name (long)3],MATCH(Товары[[#This Row],[SubGroup]],Product_Structure[Subgroup],0)),"")</f>
        <v>Садовые шланги</v>
      </c>
      <c r="I1038" s="36">
        <v>9014</v>
      </c>
      <c r="J1038" s="36" t="str">
        <f>IFERROR(INDEX(Product_Structure[Generic Name (long)],MATCH(Товары[[#This Row],[SubGroup]],Product_Structure[Subgroup],0)),"")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Row],[SubGroup]],DIY!$B:$C,2,FALSE),0)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3" t="str">
        <f>IFERROR(INDEX(Product_Structure[SuperCategory],MATCH(Товары[[#This Row],[SubGroup]],Product_Structure[Subgroup],0)),"")</f>
        <v>W</v>
      </c>
      <c r="D1039" s="113" t="str">
        <f>IFERROR(INDEX(Product_Structure[SuperCategory Name ENG],MATCH(Товары[[#This Row],[SubGroup]],Product_Structure[Subgroup],0)),"")</f>
        <v>Watering (mobile, sprinkler system&amp;MDS, Ponds)</v>
      </c>
      <c r="E10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39" s="113" t="str">
        <f>IFERROR(INDEX(Product_Structure[Product group],MATCH(Товары[[#This Row],[SubGroup]],Product_Structure[Subgroup],0)),"")</f>
        <v>WMH_C</v>
      </c>
      <c r="G1039" s="113" t="str">
        <f>IFERROR(INDEX(Product_Structure[Product group name ENG],MATCH(Товары[[#This Row],[SubGroup]],Product_Structure[Subgroup],0)),"")</f>
        <v>Watering Mobile Hoses</v>
      </c>
      <c r="H1039" s="113" t="str">
        <f>IFERROR(INDEX(Product_Structure[Generic Name (long)3],MATCH(Товары[[#This Row],[SubGroup]],Product_Structure[Subgroup],0)),"")</f>
        <v>Садовые шланги</v>
      </c>
      <c r="I1039" s="36">
        <v>9014</v>
      </c>
      <c r="J1039" s="36" t="str">
        <f>IFERROR(INDEX(Product_Structure[Generic Name (long)],MATCH(Товары[[#This Row],[SubGroup]],Product_Structure[Subgroup],0)),"")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Row],[SubGroup]],DIY!$B:$C,2,FALSE),0)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3" t="str">
        <f>IFERROR(INDEX(Product_Structure[SuperCategory],MATCH(Товары[[#This Row],[SubGroup]],Product_Structure[Subgroup],0)),"")</f>
        <v>W</v>
      </c>
      <c r="D1040" s="113" t="str">
        <f>IFERROR(INDEX(Product_Structure[SuperCategory Name ENG],MATCH(Товары[[#This Row],[SubGroup]],Product_Structure[Subgroup],0)),"")</f>
        <v>Watering (mobile, sprinkler system&amp;MDS, Ponds)</v>
      </c>
      <c r="E10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0" s="113" t="str">
        <f>IFERROR(INDEX(Product_Structure[Product group],MATCH(Товары[[#This Row],[SubGroup]],Product_Structure[Subgroup],0)),"")</f>
        <v>WMH_C</v>
      </c>
      <c r="G1040" s="113" t="str">
        <f>IFERROR(INDEX(Product_Structure[Product group name ENG],MATCH(Товары[[#This Row],[SubGroup]],Product_Structure[Subgroup],0)),"")</f>
        <v>Watering Mobile Hoses</v>
      </c>
      <c r="H1040" s="113" t="str">
        <f>IFERROR(INDEX(Product_Structure[Generic Name (long)3],MATCH(Товары[[#This Row],[SubGroup]],Product_Structure[Subgroup],0)),"")</f>
        <v>Садовые шланги</v>
      </c>
      <c r="I1040" s="36">
        <v>9014</v>
      </c>
      <c r="J1040" s="36" t="str">
        <f>IFERROR(INDEX(Product_Structure[Generic Name (long)],MATCH(Товары[[#This Row],[SubGroup]],Product_Structure[Subgroup],0)),"")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Row],[SubGroup]],DIY!$B:$C,2,FALSE),0)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3" t="str">
        <f>IFERROR(INDEX(Product_Structure[SuperCategory],MATCH(Товары[[#This Row],[SubGroup]],Product_Structure[Subgroup],0)),"")</f>
        <v>W</v>
      </c>
      <c r="D1041" s="113" t="str">
        <f>IFERROR(INDEX(Product_Structure[SuperCategory Name ENG],MATCH(Товары[[#This Row],[SubGroup]],Product_Structure[Subgroup],0)),"")</f>
        <v>Watering (mobile, sprinkler system&amp;MDS, Ponds)</v>
      </c>
      <c r="E10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1" s="113" t="str">
        <f>IFERROR(INDEX(Product_Structure[Product group],MATCH(Товары[[#This Row],[SubGroup]],Product_Structure[Subgroup],0)),"")</f>
        <v>WMH_C</v>
      </c>
      <c r="G1041" s="113" t="str">
        <f>IFERROR(INDEX(Product_Structure[Product group name ENG],MATCH(Товары[[#This Row],[SubGroup]],Product_Structure[Subgroup],0)),"")</f>
        <v>Watering Mobile Hoses</v>
      </c>
      <c r="H1041" s="113" t="str">
        <f>IFERROR(INDEX(Product_Structure[Generic Name (long)3],MATCH(Товары[[#This Row],[SubGroup]],Product_Structure[Subgroup],0)),"")</f>
        <v>Садовые шланги</v>
      </c>
      <c r="I1041" s="36">
        <v>9014</v>
      </c>
      <c r="J1041" s="36" t="str">
        <f>IFERROR(INDEX(Product_Structure[Generic Name (long)],MATCH(Товары[[#This Row],[SubGroup]],Product_Structure[Subgroup],0)),"")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Row],[SubGroup]],DIY!$B:$C,2,FALSE),0)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3" t="str">
        <f>IFERROR(INDEX(Product_Structure[SuperCategory],MATCH(Товары[[#This Row],[SubGroup]],Product_Structure[Subgroup],0)),"")</f>
        <v>W</v>
      </c>
      <c r="D1042" s="113" t="str">
        <f>IFERROR(INDEX(Product_Structure[SuperCategory Name ENG],MATCH(Товары[[#This Row],[SubGroup]],Product_Structure[Subgroup],0)),"")</f>
        <v>Watering (mobile, sprinkler system&amp;MDS, Ponds)</v>
      </c>
      <c r="E10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2" s="113" t="str">
        <f>IFERROR(INDEX(Product_Structure[Product group],MATCH(Товары[[#This Row],[SubGroup]],Product_Structure[Subgroup],0)),"")</f>
        <v>WMH_C</v>
      </c>
      <c r="G1042" s="113" t="str">
        <f>IFERROR(INDEX(Product_Structure[Product group name ENG],MATCH(Товары[[#This Row],[SubGroup]],Product_Structure[Subgroup],0)),"")</f>
        <v>Watering Mobile Hoses</v>
      </c>
      <c r="H1042" s="113" t="str">
        <f>IFERROR(INDEX(Product_Structure[Generic Name (long)3],MATCH(Товары[[#This Row],[SubGroup]],Product_Structure[Subgroup],0)),"")</f>
        <v>Садовые шланги</v>
      </c>
      <c r="I1042" s="36">
        <v>9014</v>
      </c>
      <c r="J1042" s="36" t="str">
        <f>IFERROR(INDEX(Product_Structure[Generic Name (long)],MATCH(Товары[[#This Row],[SubGroup]],Product_Structure[Subgroup],0)),"")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Row],[SubGroup]],DIY!$B:$C,2,FALSE),0)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3" t="str">
        <f>IFERROR(INDEX(Product_Structure[SuperCategory],MATCH(Товары[[#This Row],[SubGroup]],Product_Structure[Subgroup],0)),"")</f>
        <v>W</v>
      </c>
      <c r="D1043" s="113" t="str">
        <f>IFERROR(INDEX(Product_Structure[SuperCategory Name ENG],MATCH(Товары[[#This Row],[SubGroup]],Product_Structure[Subgroup],0)),"")</f>
        <v>Watering (mobile, sprinkler system&amp;MDS, Ponds)</v>
      </c>
      <c r="E10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3" s="113" t="str">
        <f>IFERROR(INDEX(Product_Structure[Product group],MATCH(Товары[[#This Row],[SubGroup]],Product_Structure[Subgroup],0)),"")</f>
        <v>WMH_C</v>
      </c>
      <c r="G1043" s="113" t="str">
        <f>IFERROR(INDEX(Product_Structure[Product group name ENG],MATCH(Товары[[#This Row],[SubGroup]],Product_Structure[Subgroup],0)),"")</f>
        <v>Watering Mobile Hoses</v>
      </c>
      <c r="H1043" s="113" t="str">
        <f>IFERROR(INDEX(Product_Structure[Generic Name (long)3],MATCH(Товары[[#This Row],[SubGroup]],Product_Structure[Subgroup],0)),"")</f>
        <v>Садовые шланги</v>
      </c>
      <c r="I1043" s="36">
        <v>9014</v>
      </c>
      <c r="J1043" s="36" t="str">
        <f>IFERROR(INDEX(Product_Structure[Generic Name (long)],MATCH(Товары[[#This Row],[SubGroup]],Product_Structure[Subgroup],0)),"")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Row],[SubGroup]],DIY!$B:$C,2,FALSE),0)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3" t="str">
        <f>IFERROR(INDEX(Product_Structure[SuperCategory],MATCH(Товары[[#This Row],[SubGroup]],Product_Structure[Subgroup],0)),"")</f>
        <v>W</v>
      </c>
      <c r="D1044" s="113" t="str">
        <f>IFERROR(INDEX(Product_Structure[SuperCategory Name ENG],MATCH(Товары[[#This Row],[SubGroup]],Product_Structure[Subgroup],0)),"")</f>
        <v>Watering (mobile, sprinkler system&amp;MDS, Ponds)</v>
      </c>
      <c r="E10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4" s="113" t="str">
        <f>IFERROR(INDEX(Product_Structure[Product group],MATCH(Товары[[#This Row],[SubGroup]],Product_Structure[Subgroup],0)),"")</f>
        <v>WMH_C</v>
      </c>
      <c r="G1044" s="113" t="str">
        <f>IFERROR(INDEX(Product_Structure[Product group name ENG],MATCH(Товары[[#This Row],[SubGroup]],Product_Structure[Subgroup],0)),"")</f>
        <v>Watering Mobile Hoses</v>
      </c>
      <c r="H1044" s="113" t="str">
        <f>IFERROR(INDEX(Product_Structure[Generic Name (long)3],MATCH(Товары[[#This Row],[SubGroup]],Product_Structure[Subgroup],0)),"")</f>
        <v>Садовые шланги</v>
      </c>
      <c r="I1044" s="36">
        <v>9014</v>
      </c>
      <c r="J1044" s="36" t="str">
        <f>IFERROR(INDEX(Product_Structure[Generic Name (long)],MATCH(Товары[[#This Row],[SubGroup]],Product_Structure[Subgroup],0)),"")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Row],[SubGroup]],DIY!$B:$C,2,FALSE),0)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3" t="str">
        <f>IFERROR(INDEX(Product_Structure[SuperCategory],MATCH(Товары[[#This Row],[SubGroup]],Product_Structure[Subgroup],0)),"")</f>
        <v>W</v>
      </c>
      <c r="D1045" s="113" t="str">
        <f>IFERROR(INDEX(Product_Structure[SuperCategory Name ENG],MATCH(Товары[[#This Row],[SubGroup]],Product_Structure[Subgroup],0)),"")</f>
        <v>Watering (mobile, sprinkler system&amp;MDS, Ponds)</v>
      </c>
      <c r="E10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5" s="113" t="str">
        <f>IFERROR(INDEX(Product_Structure[Product group],MATCH(Товары[[#This Row],[SubGroup]],Product_Structure[Subgroup],0)),"")</f>
        <v>WMH_C</v>
      </c>
      <c r="G1045" s="113" t="str">
        <f>IFERROR(INDEX(Product_Structure[Product group name ENG],MATCH(Товары[[#This Row],[SubGroup]],Product_Structure[Subgroup],0)),"")</f>
        <v>Watering Mobile Hoses</v>
      </c>
      <c r="H1045" s="113" t="str">
        <f>IFERROR(INDEX(Product_Structure[Generic Name (long)3],MATCH(Товары[[#This Row],[SubGroup]],Product_Structure[Subgroup],0)),"")</f>
        <v>Садовые шланги</v>
      </c>
      <c r="I1045" s="36">
        <v>9014</v>
      </c>
      <c r="J1045" s="36" t="str">
        <f>IFERROR(INDEX(Product_Structure[Generic Name (long)],MATCH(Товары[[#This Row],[SubGroup]],Product_Structure[Subgroup],0)),"")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Row],[SubGroup]],DIY!$B:$C,2,FALSE),0)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3" t="str">
        <f>IFERROR(INDEX(Product_Structure[SuperCategory],MATCH(Товары[[#This Row],[SubGroup]],Product_Structure[Subgroup],0)),"")</f>
        <v>W</v>
      </c>
      <c r="D1046" s="113" t="str">
        <f>IFERROR(INDEX(Product_Structure[SuperCategory Name ENG],MATCH(Товары[[#This Row],[SubGroup]],Product_Structure[Subgroup],0)),"")</f>
        <v>Watering (mobile, sprinkler system&amp;MDS, Ponds)</v>
      </c>
      <c r="E10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6" s="113" t="str">
        <f>IFERROR(INDEX(Product_Structure[Product group],MATCH(Товары[[#This Row],[SubGroup]],Product_Structure[Subgroup],0)),"")</f>
        <v>WMH_C</v>
      </c>
      <c r="G1046" s="113" t="str">
        <f>IFERROR(INDEX(Product_Structure[Product group name ENG],MATCH(Товары[[#This Row],[SubGroup]],Product_Structure[Subgroup],0)),"")</f>
        <v>Watering Mobile Hoses</v>
      </c>
      <c r="H1046" s="113" t="str">
        <f>IFERROR(INDEX(Product_Structure[Generic Name (long)3],MATCH(Товары[[#This Row],[SubGroup]],Product_Structure[Subgroup],0)),"")</f>
        <v>Садовые шланги</v>
      </c>
      <c r="I1046" s="36">
        <v>9014</v>
      </c>
      <c r="J1046" s="36" t="str">
        <f>IFERROR(INDEX(Product_Structure[Generic Name (long)],MATCH(Товары[[#This Row],[SubGroup]],Product_Structure[Subgroup],0)),"")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Row],[SubGroup]],DIY!$B:$C,2,FALSE),0)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3" t="str">
        <f>IFERROR(INDEX(Product_Structure[SuperCategory],MATCH(Товары[[#This Row],[SubGroup]],Product_Structure[Subgroup],0)),"")</f>
        <v>W</v>
      </c>
      <c r="D1047" s="113" t="str">
        <f>IFERROR(INDEX(Product_Structure[SuperCategory Name ENG],MATCH(Товары[[#This Row],[SubGroup]],Product_Structure[Subgroup],0)),"")</f>
        <v>Watering (mobile, sprinkler system&amp;MDS, Ponds)</v>
      </c>
      <c r="E10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7" s="113" t="str">
        <f>IFERROR(INDEX(Product_Structure[Product group],MATCH(Товары[[#This Row],[SubGroup]],Product_Structure[Subgroup],0)),"")</f>
        <v>WMH_C</v>
      </c>
      <c r="G1047" s="113" t="str">
        <f>IFERROR(INDEX(Product_Structure[Product group name ENG],MATCH(Товары[[#This Row],[SubGroup]],Product_Structure[Subgroup],0)),"")</f>
        <v>Watering Mobile Hoses</v>
      </c>
      <c r="H1047" s="113" t="str">
        <f>IFERROR(INDEX(Product_Structure[Generic Name (long)3],MATCH(Товары[[#This Row],[SubGroup]],Product_Structure[Subgroup],0)),"")</f>
        <v>Садовые шланги</v>
      </c>
      <c r="I1047" s="36">
        <v>9014</v>
      </c>
      <c r="J1047" s="36" t="str">
        <f>IFERROR(INDEX(Product_Structure[Generic Name (long)],MATCH(Товары[[#This Row],[SubGroup]],Product_Structure[Subgroup],0)),"")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Row],[SubGroup]],DIY!$B:$C,2,FALSE),0)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3" t="str">
        <f>IFERROR(INDEX(Product_Structure[SuperCategory],MATCH(Товары[[#This Row],[SubGroup]],Product_Structure[Subgroup],0)),"")</f>
        <v>W</v>
      </c>
      <c r="D1048" s="113" t="str">
        <f>IFERROR(INDEX(Product_Structure[SuperCategory Name ENG],MATCH(Товары[[#This Row],[SubGroup]],Product_Structure[Subgroup],0)),"")</f>
        <v>Watering (mobile, sprinkler system&amp;MDS, Ponds)</v>
      </c>
      <c r="E10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8" s="113" t="str">
        <f>IFERROR(INDEX(Product_Structure[Product group],MATCH(Товары[[#This Row],[SubGroup]],Product_Structure[Subgroup],0)),"")</f>
        <v>WMH_C</v>
      </c>
      <c r="G1048" s="113" t="str">
        <f>IFERROR(INDEX(Product_Structure[Product group name ENG],MATCH(Товары[[#This Row],[SubGroup]],Product_Structure[Subgroup],0)),"")</f>
        <v>Watering Mobile Hoses</v>
      </c>
      <c r="H1048" s="113" t="str">
        <f>IFERROR(INDEX(Product_Structure[Generic Name (long)3],MATCH(Товары[[#This Row],[SubGroup]],Product_Structure[Subgroup],0)),"")</f>
        <v>Садовые шланги</v>
      </c>
      <c r="I1048" s="36">
        <v>9014</v>
      </c>
      <c r="J1048" s="36" t="str">
        <f>IFERROR(INDEX(Product_Structure[Generic Name (long)],MATCH(Товары[[#This Row],[SubGroup]],Product_Structure[Subgroup],0)),"")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Row],[SubGroup]],DIY!$B:$C,2,FALSE),0)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3" t="str">
        <f>IFERROR(INDEX(Product_Structure[SuperCategory],MATCH(Товары[[#This Row],[SubGroup]],Product_Structure[Subgroup],0)),"")</f>
        <v>W</v>
      </c>
      <c r="D1049" s="113" t="str">
        <f>IFERROR(INDEX(Product_Structure[SuperCategory Name ENG],MATCH(Товары[[#This Row],[SubGroup]],Product_Structure[Subgroup],0)),"")</f>
        <v>Watering (mobile, sprinkler system&amp;MDS, Ponds)</v>
      </c>
      <c r="E10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49" s="113" t="str">
        <f>IFERROR(INDEX(Product_Structure[Product group],MATCH(Товары[[#This Row],[SubGroup]],Product_Structure[Subgroup],0)),"")</f>
        <v>WMH_C</v>
      </c>
      <c r="G1049" s="113" t="str">
        <f>IFERROR(INDEX(Product_Structure[Product group name ENG],MATCH(Товары[[#This Row],[SubGroup]],Product_Structure[Subgroup],0)),"")</f>
        <v>Watering Mobile Hoses</v>
      </c>
      <c r="H1049" s="113" t="str">
        <f>IFERROR(INDEX(Product_Structure[Generic Name (long)3],MATCH(Товары[[#This Row],[SubGroup]],Product_Structure[Subgroup],0)),"")</f>
        <v>Садовые шланги</v>
      </c>
      <c r="I1049" s="36">
        <v>9014</v>
      </c>
      <c r="J1049" s="36" t="str">
        <f>IFERROR(INDEX(Product_Structure[Generic Name (long)],MATCH(Товары[[#This Row],[SubGroup]],Product_Structure[Subgroup],0)),"")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Row],[SubGroup]],DIY!$B:$C,2,FALSE),0)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3" t="str">
        <f>IFERROR(INDEX(Product_Structure[SuperCategory],MATCH(Товары[[#This Row],[SubGroup]],Product_Structure[Subgroup],0)),"")</f>
        <v>W</v>
      </c>
      <c r="D1050" s="113" t="str">
        <f>IFERROR(INDEX(Product_Structure[SuperCategory Name ENG],MATCH(Товары[[#This Row],[SubGroup]],Product_Structure[Subgroup],0)),"")</f>
        <v>Watering (mobile, sprinkler system&amp;MDS, Ponds)</v>
      </c>
      <c r="E10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0" s="113" t="str">
        <f>IFERROR(INDEX(Product_Structure[Product group],MATCH(Товары[[#This Row],[SubGroup]],Product_Structure[Subgroup],0)),"")</f>
        <v>WMH_C</v>
      </c>
      <c r="G1050" s="113" t="str">
        <f>IFERROR(INDEX(Product_Structure[Product group name ENG],MATCH(Товары[[#This Row],[SubGroup]],Product_Structure[Subgroup],0)),"")</f>
        <v>Watering Mobile Hoses</v>
      </c>
      <c r="H1050" s="113" t="str">
        <f>IFERROR(INDEX(Product_Structure[Generic Name (long)3],MATCH(Товары[[#This Row],[SubGroup]],Product_Structure[Subgroup],0)),"")</f>
        <v>Садовые шланги</v>
      </c>
      <c r="I1050" s="36">
        <v>9014</v>
      </c>
      <c r="J1050" s="36" t="str">
        <f>IFERROR(INDEX(Product_Structure[Generic Name (long)],MATCH(Товары[[#This Row],[SubGroup]],Product_Structure[Subgroup],0)),"")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Row],[SubGroup]],DIY!$B:$C,2,FALSE),0)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3" t="str">
        <f>IFERROR(INDEX(Product_Structure[SuperCategory],MATCH(Товары[[#This Row],[SubGroup]],Product_Structure[Subgroup],0)),"")</f>
        <v>W</v>
      </c>
      <c r="D1051" s="113" t="str">
        <f>IFERROR(INDEX(Product_Structure[SuperCategory Name ENG],MATCH(Товары[[#This Row],[SubGroup]],Product_Structure[Subgroup],0)),"")</f>
        <v>Watering (mobile, sprinkler system&amp;MDS, Ponds)</v>
      </c>
      <c r="E10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1" s="113" t="str">
        <f>IFERROR(INDEX(Product_Structure[Product group],MATCH(Товары[[#This Row],[SubGroup]],Product_Structure[Subgroup],0)),"")</f>
        <v>WMH_C</v>
      </c>
      <c r="G1051" s="113" t="str">
        <f>IFERROR(INDEX(Product_Structure[Product group name ENG],MATCH(Товары[[#This Row],[SubGroup]],Product_Structure[Subgroup],0)),"")</f>
        <v>Watering Mobile Hoses</v>
      </c>
      <c r="H1051" s="113" t="str">
        <f>IFERROR(INDEX(Product_Structure[Generic Name (long)3],MATCH(Товары[[#This Row],[SubGroup]],Product_Structure[Subgroup],0)),"")</f>
        <v>Садовые шланги</v>
      </c>
      <c r="I1051" s="36">
        <v>9014</v>
      </c>
      <c r="J1051" s="36" t="str">
        <f>IFERROR(INDEX(Product_Structure[Generic Name (long)],MATCH(Товары[[#This Row],[SubGroup]],Product_Structure[Subgroup],0)),"")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Row],[SubGroup]],DIY!$B:$C,2,FALSE),0)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3" t="str">
        <f>IFERROR(INDEX(Product_Structure[SuperCategory],MATCH(Товары[[#This Row],[SubGroup]],Product_Structure[Subgroup],0)),"")</f>
        <v>W</v>
      </c>
      <c r="D1052" s="113" t="str">
        <f>IFERROR(INDEX(Product_Structure[SuperCategory Name ENG],MATCH(Товары[[#This Row],[SubGroup]],Product_Structure[Subgroup],0)),"")</f>
        <v>Watering (mobile, sprinkler system&amp;MDS, Ponds)</v>
      </c>
      <c r="E10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2" s="113" t="str">
        <f>IFERROR(INDEX(Product_Structure[Product group],MATCH(Товары[[#This Row],[SubGroup]],Product_Structure[Subgroup],0)),"")</f>
        <v>WMH_C</v>
      </c>
      <c r="G1052" s="113" t="str">
        <f>IFERROR(INDEX(Product_Structure[Product group name ENG],MATCH(Товары[[#This Row],[SubGroup]],Product_Structure[Subgroup],0)),"")</f>
        <v>Watering Mobile Hoses</v>
      </c>
      <c r="H1052" s="113" t="str">
        <f>IFERROR(INDEX(Product_Structure[Generic Name (long)3],MATCH(Товары[[#This Row],[SubGroup]],Product_Structure[Subgroup],0)),"")</f>
        <v>Садовые шланги</v>
      </c>
      <c r="I1052" s="36">
        <v>9014</v>
      </c>
      <c r="J1052" s="36" t="str">
        <f>IFERROR(INDEX(Product_Structure[Generic Name (long)],MATCH(Товары[[#This Row],[SubGroup]],Product_Structure[Subgroup],0)),"")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Row],[SubGroup]],DIY!$B:$C,2,FALSE),0)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3" t="str">
        <f>IFERROR(INDEX(Product_Structure[SuperCategory],MATCH(Товары[[#This Row],[SubGroup]],Product_Structure[Subgroup],0)),"")</f>
        <v>W</v>
      </c>
      <c r="D1053" s="113" t="str">
        <f>IFERROR(INDEX(Product_Structure[SuperCategory Name ENG],MATCH(Товары[[#This Row],[SubGroup]],Product_Structure[Subgroup],0)),"")</f>
        <v>Watering (mobile, sprinkler system&amp;MDS, Ponds)</v>
      </c>
      <c r="E10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3" s="113" t="str">
        <f>IFERROR(INDEX(Product_Structure[Product group],MATCH(Товары[[#This Row],[SubGroup]],Product_Structure[Subgroup],0)),"")</f>
        <v>WMH_C</v>
      </c>
      <c r="G1053" s="113" t="str">
        <f>IFERROR(INDEX(Product_Structure[Product group name ENG],MATCH(Товары[[#This Row],[SubGroup]],Product_Structure[Subgroup],0)),"")</f>
        <v>Watering Mobile Hoses</v>
      </c>
      <c r="H1053" s="113" t="str">
        <f>IFERROR(INDEX(Product_Structure[Generic Name (long)3],MATCH(Товары[[#This Row],[SubGroup]],Product_Structure[Subgroup],0)),"")</f>
        <v>Садовые шланги</v>
      </c>
      <c r="I1053" s="36">
        <v>9014</v>
      </c>
      <c r="J1053" s="36" t="str">
        <f>IFERROR(INDEX(Product_Structure[Generic Name (long)],MATCH(Товары[[#This Row],[SubGroup]],Product_Structure[Subgroup],0)),"")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Row],[SubGroup]],DIY!$B:$C,2,FALSE),0)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3" t="str">
        <f>IFERROR(INDEX(Product_Structure[SuperCategory],MATCH(Товары[[#This Row],[SubGroup]],Product_Structure[Subgroup],0)),"")</f>
        <v>W</v>
      </c>
      <c r="D1054" s="113" t="str">
        <f>IFERROR(INDEX(Product_Structure[SuperCategory Name ENG],MATCH(Товары[[#This Row],[SubGroup]],Product_Structure[Subgroup],0)),"")</f>
        <v>Watering (mobile, sprinkler system&amp;MDS, Ponds)</v>
      </c>
      <c r="E10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4" s="113" t="str">
        <f>IFERROR(INDEX(Product_Structure[Product group],MATCH(Товары[[#This Row],[SubGroup]],Product_Structure[Subgroup],0)),"")</f>
        <v>WMO_C</v>
      </c>
      <c r="G1054" s="113" t="str">
        <f>IFERROR(INDEX(Product_Structure[Product group name ENG],MATCH(Товары[[#This Row],[SubGroup]],Product_Structure[Subgroup],0)),"")</f>
        <v>Watering Mobile OGS</v>
      </c>
      <c r="H1054" s="113" t="str">
        <f>IFERROR(INDEX(Product_Structure[Generic Name (long)3],MATCH(Товары[[#This Row],[SubGroup]],Product_Structure[Subgroup],0)),"")</f>
        <v>Фитинги для шлангов</v>
      </c>
      <c r="I1054" s="36">
        <v>9011</v>
      </c>
      <c r="J1054" s="36" t="str">
        <f>IFERROR(INDEX(Product_Structure[Generic Name (long)],MATCH(Товары[[#This Row],[SubGroup]],Product_Structure[Subgroup],0)),"")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Row],[SubGroup]],DIY!$B:$C,2,FALSE),0)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3" t="str">
        <f>IFERROR(INDEX(Product_Structure[SuperCategory],MATCH(Товары[[#This Row],[SubGroup]],Product_Structure[Subgroup],0)),"")</f>
        <v>W</v>
      </c>
      <c r="D1055" s="113" t="str">
        <f>IFERROR(INDEX(Product_Structure[SuperCategory Name ENG],MATCH(Товары[[#This Row],[SubGroup]],Product_Structure[Subgroup],0)),"")</f>
        <v>Watering (mobile, sprinkler system&amp;MDS, Ponds)</v>
      </c>
      <c r="E10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5" s="113" t="str">
        <f>IFERROR(INDEX(Product_Structure[Product group],MATCH(Товары[[#This Row],[SubGroup]],Product_Structure[Subgroup],0)),"")</f>
        <v>WMO_C</v>
      </c>
      <c r="G1055" s="113" t="str">
        <f>IFERROR(INDEX(Product_Structure[Product group name ENG],MATCH(Товары[[#This Row],[SubGroup]],Product_Structure[Subgroup],0)),"")</f>
        <v>Watering Mobile OGS</v>
      </c>
      <c r="H1055" s="113" t="str">
        <f>IFERROR(INDEX(Product_Structure[Generic Name (long)3],MATCH(Товары[[#This Row],[SubGroup]],Product_Structure[Subgroup],0)),"")</f>
        <v>Фитинги для шлангов</v>
      </c>
      <c r="I1055" s="36">
        <v>9011</v>
      </c>
      <c r="J1055" s="36" t="str">
        <f>IFERROR(INDEX(Product_Structure[Generic Name (long)],MATCH(Товары[[#This Row],[SubGroup]],Product_Structure[Subgroup],0)),"")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Row],[SubGroup]],DIY!$B:$C,2,FALSE),0)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3" t="str">
        <f>IFERROR(INDEX(Product_Structure[SuperCategory],MATCH(Товары[[#This Row],[SubGroup]],Product_Structure[Subgroup],0)),"")</f>
        <v>W</v>
      </c>
      <c r="D1056" s="113" t="str">
        <f>IFERROR(INDEX(Product_Structure[SuperCategory Name ENG],MATCH(Товары[[#This Row],[SubGroup]],Product_Structure[Subgroup],0)),"")</f>
        <v>Watering (mobile, sprinkler system&amp;MDS, Ponds)</v>
      </c>
      <c r="E10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6" s="113" t="str">
        <f>IFERROR(INDEX(Product_Structure[Product group],MATCH(Товары[[#This Row],[SubGroup]],Product_Structure[Subgroup],0)),"")</f>
        <v>WMO_C</v>
      </c>
      <c r="G1056" s="113" t="str">
        <f>IFERROR(INDEX(Product_Structure[Product group name ENG],MATCH(Товары[[#This Row],[SubGroup]],Product_Structure[Subgroup],0)),"")</f>
        <v>Watering Mobile OGS</v>
      </c>
      <c r="H1056" s="113" t="str">
        <f>IFERROR(INDEX(Product_Structure[Generic Name (long)3],MATCH(Товары[[#This Row],[SubGroup]],Product_Structure[Subgroup],0)),"")</f>
        <v>Фитинги для шлангов</v>
      </c>
      <c r="I1056" s="36">
        <v>9011</v>
      </c>
      <c r="J1056" s="36" t="str">
        <f>IFERROR(INDEX(Product_Structure[Generic Name (long)],MATCH(Товары[[#This Row],[SubGroup]],Product_Structure[Subgroup],0)),"")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Row],[SubGroup]],DIY!$B:$C,2,FALSE),0)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3" t="str">
        <f>IFERROR(INDEX(Product_Structure[SuperCategory],MATCH(Товары[[#This Row],[SubGroup]],Product_Structure[Subgroup],0)),"")</f>
        <v>W</v>
      </c>
      <c r="D1057" s="113" t="str">
        <f>IFERROR(INDEX(Product_Structure[SuperCategory Name ENG],MATCH(Товары[[#This Row],[SubGroup]],Product_Structure[Subgroup],0)),"")</f>
        <v>Watering (mobile, sprinkler system&amp;MDS, Ponds)</v>
      </c>
      <c r="E10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7" s="113" t="str">
        <f>IFERROR(INDEX(Product_Structure[Product group],MATCH(Товары[[#This Row],[SubGroup]],Product_Structure[Subgroup],0)),"")</f>
        <v>WMO_C</v>
      </c>
      <c r="G1057" s="113" t="str">
        <f>IFERROR(INDEX(Product_Structure[Product group name ENG],MATCH(Товары[[#This Row],[SubGroup]],Product_Structure[Subgroup],0)),"")</f>
        <v>Watering Mobile OGS</v>
      </c>
      <c r="H1057" s="113" t="str">
        <f>IFERROR(INDEX(Product_Structure[Generic Name (long)3],MATCH(Товары[[#This Row],[SubGroup]],Product_Structure[Subgroup],0)),"")</f>
        <v>Фитинги для шлангов</v>
      </c>
      <c r="I1057" s="36">
        <v>9011</v>
      </c>
      <c r="J1057" s="36" t="str">
        <f>IFERROR(INDEX(Product_Structure[Generic Name (long)],MATCH(Товары[[#This Row],[SubGroup]],Product_Structure[Subgroup],0)),"")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Row],[SubGroup]],DIY!$B:$C,2,FALSE),0)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3" t="str">
        <f>IFERROR(INDEX(Product_Structure[SuperCategory],MATCH(Товары[[#This Row],[SubGroup]],Product_Structure[Subgroup],0)),"")</f>
        <v>W</v>
      </c>
      <c r="D1058" s="113" t="str">
        <f>IFERROR(INDEX(Product_Structure[SuperCategory Name ENG],MATCH(Товары[[#This Row],[SubGroup]],Product_Structure[Subgroup],0)),"")</f>
        <v>Watering (mobile, sprinkler system&amp;MDS, Ponds)</v>
      </c>
      <c r="E10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8" s="113" t="str">
        <f>IFERROR(INDEX(Product_Structure[Product group],MATCH(Товары[[#This Row],[SubGroup]],Product_Structure[Subgroup],0)),"")</f>
        <v>WMO_C</v>
      </c>
      <c r="G1058" s="113" t="str">
        <f>IFERROR(INDEX(Product_Structure[Product group name ENG],MATCH(Товары[[#This Row],[SubGroup]],Product_Structure[Subgroup],0)),"")</f>
        <v>Watering Mobile OGS</v>
      </c>
      <c r="H1058" s="113" t="str">
        <f>IFERROR(INDEX(Product_Structure[Generic Name (long)3],MATCH(Товары[[#This Row],[SubGroup]],Product_Structure[Subgroup],0)),"")</f>
        <v>Фитинги для шлангов</v>
      </c>
      <c r="I1058" s="36">
        <v>9011</v>
      </c>
      <c r="J1058" s="36" t="str">
        <f>IFERROR(INDEX(Product_Structure[Generic Name (long)],MATCH(Товары[[#This Row],[SubGroup]],Product_Structure[Subgroup],0)),"")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Row],[SubGroup]],DIY!$B:$C,2,FALSE),0)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3" t="str">
        <f>IFERROR(INDEX(Product_Structure[SuperCategory],MATCH(Товары[[#This Row],[SubGroup]],Product_Structure[Subgroup],0)),"")</f>
        <v>W</v>
      </c>
      <c r="D1059" s="113" t="str">
        <f>IFERROR(INDEX(Product_Structure[SuperCategory Name ENG],MATCH(Товары[[#This Row],[SubGroup]],Product_Structure[Subgroup],0)),"")</f>
        <v>Watering (mobile, sprinkler system&amp;MDS, Ponds)</v>
      </c>
      <c r="E10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59" s="113" t="str">
        <f>IFERROR(INDEX(Product_Structure[Product group],MATCH(Товары[[#This Row],[SubGroup]],Product_Structure[Subgroup],0)),"")</f>
        <v>WMO_C</v>
      </c>
      <c r="G1059" s="113" t="str">
        <f>IFERROR(INDEX(Product_Structure[Product group name ENG],MATCH(Товары[[#This Row],[SubGroup]],Product_Structure[Subgroup],0)),"")</f>
        <v>Watering Mobile OGS</v>
      </c>
      <c r="H1059" s="113" t="str">
        <f>IFERROR(INDEX(Product_Structure[Generic Name (long)3],MATCH(Товары[[#This Row],[SubGroup]],Product_Structure[Subgroup],0)),"")</f>
        <v>Фитинги для шлангов</v>
      </c>
      <c r="I1059" s="36">
        <v>9011</v>
      </c>
      <c r="J1059" s="36" t="str">
        <f>IFERROR(INDEX(Product_Structure[Generic Name (long)],MATCH(Товары[[#This Row],[SubGroup]],Product_Structure[Subgroup],0)),"")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Row],[SubGroup]],DIY!$B:$C,2,FALSE),0)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3" t="str">
        <f>IFERROR(INDEX(Product_Structure[SuperCategory],MATCH(Товары[[#This Row],[SubGroup]],Product_Structure[Subgroup],0)),"")</f>
        <v>W</v>
      </c>
      <c r="D1060" s="113" t="str">
        <f>IFERROR(INDEX(Product_Structure[SuperCategory Name ENG],MATCH(Товары[[#This Row],[SubGroup]],Product_Structure[Subgroup],0)),"")</f>
        <v>Watering (mobile, sprinkler system&amp;MDS, Ponds)</v>
      </c>
      <c r="E10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0" s="113" t="str">
        <f>IFERROR(INDEX(Product_Structure[Product group],MATCH(Товары[[#This Row],[SubGroup]],Product_Structure[Subgroup],0)),"")</f>
        <v>WMO_C</v>
      </c>
      <c r="G1060" s="113" t="str">
        <f>IFERROR(INDEX(Product_Structure[Product group name ENG],MATCH(Товары[[#This Row],[SubGroup]],Product_Structure[Subgroup],0)),"")</f>
        <v>Watering Mobile OGS</v>
      </c>
      <c r="H1060" s="113" t="str">
        <f>IFERROR(INDEX(Product_Structure[Generic Name (long)3],MATCH(Товары[[#This Row],[SubGroup]],Product_Structure[Subgroup],0)),"")</f>
        <v>Фитинги для шлангов</v>
      </c>
      <c r="I1060" s="36">
        <v>9011</v>
      </c>
      <c r="J1060" s="36" t="str">
        <f>IFERROR(INDEX(Product_Structure[Generic Name (long)],MATCH(Товары[[#This Row],[SubGroup]],Product_Structure[Subgroup],0)),"")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Row],[SubGroup]],DIY!$B:$C,2,FALSE),0)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3" t="str">
        <f>IFERROR(INDEX(Product_Structure[SuperCategory],MATCH(Товары[[#This Row],[SubGroup]],Product_Structure[Subgroup],0)),"")</f>
        <v>W</v>
      </c>
      <c r="D1061" s="113" t="str">
        <f>IFERROR(INDEX(Product_Structure[SuperCategory Name ENG],MATCH(Товары[[#This Row],[SubGroup]],Product_Structure[Subgroup],0)),"")</f>
        <v>Watering (mobile, sprinkler system&amp;MDS, Ponds)</v>
      </c>
      <c r="E10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1" s="113" t="str">
        <f>IFERROR(INDEX(Product_Structure[Product group],MATCH(Товары[[#This Row],[SubGroup]],Product_Structure[Subgroup],0)),"")</f>
        <v>WMO_C</v>
      </c>
      <c r="G1061" s="113" t="str">
        <f>IFERROR(INDEX(Product_Structure[Product group name ENG],MATCH(Товары[[#This Row],[SubGroup]],Product_Structure[Subgroup],0)),"")</f>
        <v>Watering Mobile OGS</v>
      </c>
      <c r="H1061" s="113" t="str">
        <f>IFERROR(INDEX(Product_Structure[Generic Name (long)3],MATCH(Товары[[#This Row],[SubGroup]],Product_Structure[Subgroup],0)),"")</f>
        <v>Фитинги для шлангов</v>
      </c>
      <c r="I1061" s="36">
        <v>9011</v>
      </c>
      <c r="J1061" s="36" t="str">
        <f>IFERROR(INDEX(Product_Structure[Generic Name (long)],MATCH(Товары[[#This Row],[SubGroup]],Product_Structure[Subgroup],0)),"")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Row],[SubGroup]],DIY!$B:$C,2,FALSE),0)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3" t="str">
        <f>IFERROR(INDEX(Product_Structure[SuperCategory],MATCH(Товары[[#This Row],[SubGroup]],Product_Structure[Subgroup],0)),"")</f>
        <v>W</v>
      </c>
      <c r="D1062" s="113" t="str">
        <f>IFERROR(INDEX(Product_Structure[SuperCategory Name ENG],MATCH(Товары[[#This Row],[SubGroup]],Product_Structure[Subgroup],0)),"")</f>
        <v>Watering (mobile, sprinkler system&amp;MDS, Ponds)</v>
      </c>
      <c r="E10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2" s="113" t="str">
        <f>IFERROR(INDEX(Product_Structure[Product group],MATCH(Товары[[#This Row],[SubGroup]],Product_Structure[Subgroup],0)),"")</f>
        <v>WMT_C</v>
      </c>
      <c r="G1062" s="113" t="str">
        <f>IFERROR(INDEX(Product_Structure[Product group name ENG],MATCH(Товары[[#This Row],[SubGroup]],Product_Structure[Subgroup],0)),"")</f>
        <v>Watering Mobile Trolleys/ hose reels</v>
      </c>
      <c r="H1062" s="113" t="str">
        <f>IFERROR(INDEX(Product_Structure[Generic Name (long)3],MATCH(Товары[[#This Row],[SubGroup]],Product_Structure[Subgroup],0)),"")</f>
        <v>Тележки и катушки для шлангов</v>
      </c>
      <c r="I1062" s="36">
        <v>9015</v>
      </c>
      <c r="J1062" s="36" t="str">
        <f>IFERROR(INDEX(Product_Structure[Generic Name (long)],MATCH(Товары[[#This Row],[SubGroup]],Product_Structure[Subgroup],0)),"")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Row],[SubGroup]],DIY!$B:$C,2,FALSE),0)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3" t="str">
        <f>IFERROR(INDEX(Product_Structure[SuperCategory],MATCH(Товары[[#This Row],[SubGroup]],Product_Structure[Subgroup],0)),"")</f>
        <v>W</v>
      </c>
      <c r="D1063" s="113" t="str">
        <f>IFERROR(INDEX(Product_Structure[SuperCategory Name ENG],MATCH(Товары[[#This Row],[SubGroup]],Product_Structure[Subgroup],0)),"")</f>
        <v>Watering (mobile, sprinkler system&amp;MDS, Ponds)</v>
      </c>
      <c r="E10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3" s="113" t="str">
        <f>IFERROR(INDEX(Product_Structure[Product group],MATCH(Товары[[#This Row],[SubGroup]],Product_Structure[Subgroup],0)),"")</f>
        <v>WMO_C</v>
      </c>
      <c r="G1063" s="113" t="str">
        <f>IFERROR(INDEX(Product_Structure[Product group name ENG],MATCH(Товары[[#This Row],[SubGroup]],Product_Structure[Subgroup],0)),"")</f>
        <v>Watering Mobile OGS</v>
      </c>
      <c r="H1063" s="113" t="str">
        <f>IFERROR(INDEX(Product_Structure[Generic Name (long)3],MATCH(Товары[[#This Row],[SubGroup]],Product_Structure[Subgroup],0)),"")</f>
        <v>Фитинги для шлангов</v>
      </c>
      <c r="I1063" s="36">
        <v>9011</v>
      </c>
      <c r="J1063" s="36" t="str">
        <f>IFERROR(INDEX(Product_Structure[Generic Name (long)],MATCH(Товары[[#This Row],[SubGroup]],Product_Structure[Subgroup],0)),"")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Row],[SubGroup]],DIY!$B:$C,2,FALSE),0)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3" t="str">
        <f>IFERROR(INDEX(Product_Structure[SuperCategory],MATCH(Товары[[#This Row],[SubGroup]],Product_Structure[Subgroup],0)),"")</f>
        <v>W</v>
      </c>
      <c r="D1064" s="113" t="str">
        <f>IFERROR(INDEX(Product_Structure[SuperCategory Name ENG],MATCH(Товары[[#This Row],[SubGroup]],Product_Structure[Subgroup],0)),"")</f>
        <v>Watering (mobile, sprinkler system&amp;MDS, Ponds)</v>
      </c>
      <c r="E10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4" s="113" t="str">
        <f>IFERROR(INDEX(Product_Structure[Product group],MATCH(Товары[[#This Row],[SubGroup]],Product_Structure[Subgroup],0)),"")</f>
        <v>WMO_C</v>
      </c>
      <c r="G1064" s="113" t="str">
        <f>IFERROR(INDEX(Product_Structure[Product group name ENG],MATCH(Товары[[#This Row],[SubGroup]],Product_Structure[Subgroup],0)),"")</f>
        <v>Watering Mobile OGS</v>
      </c>
      <c r="H1064" s="113" t="str">
        <f>IFERROR(INDEX(Product_Structure[Generic Name (long)3],MATCH(Товары[[#This Row],[SubGroup]],Product_Structure[Subgroup],0)),"")</f>
        <v>Фитинги для шлангов</v>
      </c>
      <c r="I1064" s="36">
        <v>9011</v>
      </c>
      <c r="J1064" s="36" t="str">
        <f>IFERROR(INDEX(Product_Structure[Generic Name (long)],MATCH(Товары[[#This Row],[SubGroup]],Product_Structure[Subgroup],0)),"")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Row],[SubGroup]],DIY!$B:$C,2,FALSE),0)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3" t="str">
        <f>IFERROR(INDEX(Product_Structure[SuperCategory],MATCH(Товары[[#This Row],[SubGroup]],Product_Structure[Subgroup],0)),"")</f>
        <v>W</v>
      </c>
      <c r="D1065" s="113" t="str">
        <f>IFERROR(INDEX(Product_Structure[SuperCategory Name ENG],MATCH(Товары[[#This Row],[SubGroup]],Product_Structure[Subgroup],0)),"")</f>
        <v>Watering (mobile, sprinkler system&amp;MDS, Ponds)</v>
      </c>
      <c r="E10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5" s="113" t="str">
        <f>IFERROR(INDEX(Product_Structure[Product group],MATCH(Товары[[#This Row],[SubGroup]],Product_Structure[Subgroup],0)),"")</f>
        <v>WMO_C</v>
      </c>
      <c r="G1065" s="113" t="str">
        <f>IFERROR(INDEX(Product_Structure[Product group name ENG],MATCH(Товары[[#This Row],[SubGroup]],Product_Structure[Subgroup],0)),"")</f>
        <v>Watering Mobile OGS</v>
      </c>
      <c r="H1065" s="113" t="str">
        <f>IFERROR(INDEX(Product_Structure[Generic Name (long)3],MATCH(Товары[[#This Row],[SubGroup]],Product_Structure[Subgroup],0)),"")</f>
        <v>Фитинги для шлангов</v>
      </c>
      <c r="I1065" s="36">
        <v>9011</v>
      </c>
      <c r="J1065" s="36" t="str">
        <f>IFERROR(INDEX(Product_Structure[Generic Name (long)],MATCH(Товары[[#This Row],[SubGroup]],Product_Structure[Subgroup],0)),"")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Row],[SubGroup]],DIY!$B:$C,2,FALSE),0)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3" t="str">
        <f>IFERROR(INDEX(Product_Structure[SuperCategory],MATCH(Товары[[#This Row],[SubGroup]],Product_Structure[Subgroup],0)),"")</f>
        <v>W</v>
      </c>
      <c r="D1066" s="113" t="str">
        <f>IFERROR(INDEX(Product_Structure[SuperCategory Name ENG],MATCH(Товары[[#This Row],[SubGroup]],Product_Structure[Subgroup],0)),"")</f>
        <v>Watering (mobile, sprinkler system&amp;MDS, Ponds)</v>
      </c>
      <c r="E10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6" s="113" t="str">
        <f>IFERROR(INDEX(Product_Structure[Product group],MATCH(Товары[[#This Row],[SubGroup]],Product_Structure[Subgroup],0)),"")</f>
        <v>WMO_C</v>
      </c>
      <c r="G1066" s="113" t="str">
        <f>IFERROR(INDEX(Product_Structure[Product group name ENG],MATCH(Товары[[#This Row],[SubGroup]],Product_Structure[Subgroup],0)),"")</f>
        <v>Watering Mobile OGS</v>
      </c>
      <c r="H1066" s="113" t="str">
        <f>IFERROR(INDEX(Product_Structure[Generic Name (long)3],MATCH(Товары[[#This Row],[SubGroup]],Product_Structure[Subgroup],0)),"")</f>
        <v>Фитинги для шлангов</v>
      </c>
      <c r="I1066" s="36">
        <v>9011</v>
      </c>
      <c r="J1066" s="36" t="str">
        <f>IFERROR(INDEX(Product_Structure[Generic Name (long)],MATCH(Товары[[#This Row],[SubGroup]],Product_Structure[Subgroup],0)),"")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Row],[SubGroup]],DIY!$B:$C,2,FALSE),0)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3" t="str">
        <f>IFERROR(INDEX(Product_Structure[SuperCategory],MATCH(Товары[[#This Row],[SubGroup]],Product_Structure[Subgroup],0)),"")</f>
        <v>W</v>
      </c>
      <c r="D1067" s="113" t="str">
        <f>IFERROR(INDEX(Product_Structure[SuperCategory Name ENG],MATCH(Товары[[#This Row],[SubGroup]],Product_Structure[Subgroup],0)),"")</f>
        <v>Watering (mobile, sprinkler system&amp;MDS, Ponds)</v>
      </c>
      <c r="E10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7" s="113" t="str">
        <f>IFERROR(INDEX(Product_Structure[Product group],MATCH(Товары[[#This Row],[SubGroup]],Product_Structure[Subgroup],0)),"")</f>
        <v>WMO_C</v>
      </c>
      <c r="G1067" s="113" t="str">
        <f>IFERROR(INDEX(Product_Structure[Product group name ENG],MATCH(Товары[[#This Row],[SubGroup]],Product_Structure[Subgroup],0)),"")</f>
        <v>Watering Mobile OGS</v>
      </c>
      <c r="H1067" s="113" t="str">
        <f>IFERROR(INDEX(Product_Structure[Generic Name (long)3],MATCH(Товары[[#This Row],[SubGroup]],Product_Structure[Subgroup],0)),"")</f>
        <v>Фитинги для шлангов</v>
      </c>
      <c r="I1067" s="36">
        <v>9011</v>
      </c>
      <c r="J1067" s="36" t="str">
        <f>IFERROR(INDEX(Product_Structure[Generic Name (long)],MATCH(Товары[[#This Row],[SubGroup]],Product_Structure[Subgroup],0)),"")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Row],[SubGroup]],DIY!$B:$C,2,FALSE),0)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3" t="str">
        <f>IFERROR(INDEX(Product_Structure[SuperCategory],MATCH(Товары[[#This Row],[SubGroup]],Product_Structure[Subgroup],0)),"")</f>
        <v>W</v>
      </c>
      <c r="D1068" s="113" t="str">
        <f>IFERROR(INDEX(Product_Structure[SuperCategory Name ENG],MATCH(Товары[[#This Row],[SubGroup]],Product_Structure[Subgroup],0)),"")</f>
        <v>Watering (mobile, sprinkler system&amp;MDS, Ponds)</v>
      </c>
      <c r="E10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8" s="113" t="str">
        <f>IFERROR(INDEX(Product_Structure[Product group],MATCH(Товары[[#This Row],[SubGroup]],Product_Structure[Subgroup],0)),"")</f>
        <v>WMO_C</v>
      </c>
      <c r="G1068" s="113" t="str">
        <f>IFERROR(INDEX(Product_Structure[Product group name ENG],MATCH(Товары[[#This Row],[SubGroup]],Product_Structure[Subgroup],0)),"")</f>
        <v>Watering Mobile OGS</v>
      </c>
      <c r="H1068" s="113" t="str">
        <f>IFERROR(INDEX(Product_Structure[Generic Name (long)3],MATCH(Товары[[#This Row],[SubGroup]],Product_Structure[Subgroup],0)),"")</f>
        <v>Фитинги для шлангов</v>
      </c>
      <c r="I1068" s="36">
        <v>9011</v>
      </c>
      <c r="J1068" s="36" t="str">
        <f>IFERROR(INDEX(Product_Structure[Generic Name (long)],MATCH(Товары[[#This Row],[SubGroup]],Product_Structure[Subgroup],0)),"")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Row],[SubGroup]],DIY!$B:$C,2,FALSE),0)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3" t="str">
        <f>IFERROR(INDEX(Product_Structure[SuperCategory],MATCH(Товары[[#This Row],[SubGroup]],Product_Structure[Subgroup],0)),"")</f>
        <v>W</v>
      </c>
      <c r="D1069" s="113" t="str">
        <f>IFERROR(INDEX(Product_Structure[SuperCategory Name ENG],MATCH(Товары[[#This Row],[SubGroup]],Product_Structure[Subgroup],0)),"")</f>
        <v>Watering (mobile, sprinkler system&amp;MDS, Ponds)</v>
      </c>
      <c r="E10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69" s="113" t="str">
        <f>IFERROR(INDEX(Product_Structure[Product group],MATCH(Товары[[#This Row],[SubGroup]],Product_Structure[Subgroup],0)),"")</f>
        <v>WMO_C</v>
      </c>
      <c r="G1069" s="113" t="str">
        <f>IFERROR(INDEX(Product_Structure[Product group name ENG],MATCH(Товары[[#This Row],[SubGroup]],Product_Structure[Subgroup],0)),"")</f>
        <v>Watering Mobile OGS</v>
      </c>
      <c r="H1069" s="113" t="str">
        <f>IFERROR(INDEX(Product_Structure[Generic Name (long)3],MATCH(Товары[[#This Row],[SubGroup]],Product_Structure[Subgroup],0)),"")</f>
        <v>Фитинги для шлангов</v>
      </c>
      <c r="I1069" s="36">
        <v>9011</v>
      </c>
      <c r="J1069" s="36" t="str">
        <f>IFERROR(INDEX(Product_Structure[Generic Name (long)],MATCH(Товары[[#This Row],[SubGroup]],Product_Structure[Subgroup],0)),"")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Row],[SubGroup]],DIY!$B:$C,2,FALSE),0)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3" t="str">
        <f>IFERROR(INDEX(Product_Structure[SuperCategory],MATCH(Товары[[#This Row],[SubGroup]],Product_Structure[Subgroup],0)),"")</f>
        <v>W</v>
      </c>
      <c r="D1070" s="113" t="str">
        <f>IFERROR(INDEX(Product_Structure[SuperCategory Name ENG],MATCH(Товары[[#This Row],[SubGroup]],Product_Structure[Subgroup],0)),"")</f>
        <v>Watering (mobile, sprinkler system&amp;MDS, Ponds)</v>
      </c>
      <c r="E10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0" s="113" t="str">
        <f>IFERROR(INDEX(Product_Structure[Product group],MATCH(Товары[[#This Row],[SubGroup]],Product_Structure[Subgroup],0)),"")</f>
        <v>WMO_C</v>
      </c>
      <c r="G1070" s="113" t="str">
        <f>IFERROR(INDEX(Product_Structure[Product group name ENG],MATCH(Товары[[#This Row],[SubGroup]],Product_Structure[Subgroup],0)),"")</f>
        <v>Watering Mobile OGS</v>
      </c>
      <c r="H1070" s="113" t="str">
        <f>IFERROR(INDEX(Product_Structure[Generic Name (long)3],MATCH(Товары[[#This Row],[SubGroup]],Product_Structure[Subgroup],0)),"")</f>
        <v>Фитинги для шлангов</v>
      </c>
      <c r="I1070" s="36">
        <v>9011</v>
      </c>
      <c r="J1070" s="36" t="str">
        <f>IFERROR(INDEX(Product_Structure[Generic Name (long)],MATCH(Товары[[#This Row],[SubGroup]],Product_Structure[Subgroup],0)),"")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Row],[SubGroup]],DIY!$B:$C,2,FALSE),0)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3" t="str">
        <f>IFERROR(INDEX(Product_Structure[SuperCategory],MATCH(Товары[[#This Row],[SubGroup]],Product_Structure[Subgroup],0)),"")</f>
        <v>W</v>
      </c>
      <c r="D1071" s="113" t="str">
        <f>IFERROR(INDEX(Product_Structure[SuperCategory Name ENG],MATCH(Товары[[#This Row],[SubGroup]],Product_Structure[Subgroup],0)),"")</f>
        <v>Watering (mobile, sprinkler system&amp;MDS, Ponds)</v>
      </c>
      <c r="E10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1" s="113" t="str">
        <f>IFERROR(INDEX(Product_Structure[Product group],MATCH(Товары[[#This Row],[SubGroup]],Product_Structure[Subgroup],0)),"")</f>
        <v>WMO_C</v>
      </c>
      <c r="G1071" s="113" t="str">
        <f>IFERROR(INDEX(Product_Structure[Product group name ENG],MATCH(Товары[[#This Row],[SubGroup]],Product_Structure[Subgroup],0)),"")</f>
        <v>Watering Mobile OGS</v>
      </c>
      <c r="H1071" s="113" t="str">
        <f>IFERROR(INDEX(Product_Structure[Generic Name (long)3],MATCH(Товары[[#This Row],[SubGroup]],Product_Structure[Subgroup],0)),"")</f>
        <v>Фитинги для шлангов</v>
      </c>
      <c r="I1071" s="36">
        <v>9011</v>
      </c>
      <c r="J1071" s="36" t="str">
        <f>IFERROR(INDEX(Product_Structure[Generic Name (long)],MATCH(Товары[[#This Row],[SubGroup]],Product_Structure[Subgroup],0)),"")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Row],[SubGroup]],DIY!$B:$C,2,FALSE),0)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3" t="str">
        <f>IFERROR(INDEX(Product_Structure[SuperCategory],MATCH(Товары[[#This Row],[SubGroup]],Product_Structure[Subgroup],0)),"")</f>
        <v>W</v>
      </c>
      <c r="D1072" s="113" t="str">
        <f>IFERROR(INDEX(Product_Structure[SuperCategory Name ENG],MATCH(Товары[[#This Row],[SubGroup]],Product_Structure[Subgroup],0)),"")</f>
        <v>Watering (mobile, sprinkler system&amp;MDS, Ponds)</v>
      </c>
      <c r="E10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2" s="113" t="str">
        <f>IFERROR(INDEX(Product_Structure[Product group],MATCH(Товары[[#This Row],[SubGroup]],Product_Structure[Subgroup],0)),"")</f>
        <v>WMO_C</v>
      </c>
      <c r="G1072" s="113" t="str">
        <f>IFERROR(INDEX(Product_Structure[Product group name ENG],MATCH(Товары[[#This Row],[SubGroup]],Product_Structure[Subgroup],0)),"")</f>
        <v>Watering Mobile OGS</v>
      </c>
      <c r="H1072" s="113" t="str">
        <f>IFERROR(INDEX(Product_Structure[Generic Name (long)3],MATCH(Товары[[#This Row],[SubGroup]],Product_Structure[Subgroup],0)),"")</f>
        <v>Фитинги для шлангов</v>
      </c>
      <c r="I1072" s="36">
        <v>9011</v>
      </c>
      <c r="J1072" s="36" t="str">
        <f>IFERROR(INDEX(Product_Structure[Generic Name (long)],MATCH(Товары[[#This Row],[SubGroup]],Product_Structure[Subgroup],0)),"")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Row],[SubGroup]],DIY!$B:$C,2,FALSE),0)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3" t="str">
        <f>IFERROR(INDEX(Product_Structure[SuperCategory],MATCH(Товары[[#This Row],[SubGroup]],Product_Structure[Subgroup],0)),"")</f>
        <v>W</v>
      </c>
      <c r="D1073" s="113" t="str">
        <f>IFERROR(INDEX(Product_Structure[SuperCategory Name ENG],MATCH(Товары[[#This Row],[SubGroup]],Product_Structure[Subgroup],0)),"")</f>
        <v>Watering (mobile, sprinkler system&amp;MDS, Ponds)</v>
      </c>
      <c r="E10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3" s="113" t="str">
        <f>IFERROR(INDEX(Product_Structure[Product group],MATCH(Товары[[#This Row],[SubGroup]],Product_Structure[Subgroup],0)),"")</f>
        <v>WMO_C</v>
      </c>
      <c r="G1073" s="113" t="str">
        <f>IFERROR(INDEX(Product_Structure[Product group name ENG],MATCH(Товары[[#This Row],[SubGroup]],Product_Structure[Subgroup],0)),"")</f>
        <v>Watering Mobile OGS</v>
      </c>
      <c r="H1073" s="113" t="str">
        <f>IFERROR(INDEX(Product_Structure[Generic Name (long)3],MATCH(Товары[[#This Row],[SubGroup]],Product_Structure[Subgroup],0)),"")</f>
        <v>Фитинги для шлангов</v>
      </c>
      <c r="I1073" s="36">
        <v>9011</v>
      </c>
      <c r="J1073" s="36" t="str">
        <f>IFERROR(INDEX(Product_Structure[Generic Name (long)],MATCH(Товары[[#This Row],[SubGroup]],Product_Structure[Subgroup],0)),"")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Row],[SubGroup]],DIY!$B:$C,2,FALSE),0)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3" t="str">
        <f>IFERROR(INDEX(Product_Structure[SuperCategory],MATCH(Товары[[#This Row],[SubGroup]],Product_Structure[Subgroup],0)),"")</f>
        <v>W</v>
      </c>
      <c r="D1074" s="113" t="str">
        <f>IFERROR(INDEX(Product_Structure[SuperCategory Name ENG],MATCH(Товары[[#This Row],[SubGroup]],Product_Structure[Subgroup],0)),"")</f>
        <v>Watering (mobile, sprinkler system&amp;MDS, Ponds)</v>
      </c>
      <c r="E10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4" s="113" t="str">
        <f>IFERROR(INDEX(Product_Structure[Product group],MATCH(Товары[[#This Row],[SubGroup]],Product_Structure[Subgroup],0)),"")</f>
        <v>WMO_C</v>
      </c>
      <c r="G1074" s="113" t="str">
        <f>IFERROR(INDEX(Product_Structure[Product group name ENG],MATCH(Товары[[#This Row],[SubGroup]],Product_Structure[Subgroup],0)),"")</f>
        <v>Watering Mobile OGS</v>
      </c>
      <c r="H1074" s="113" t="str">
        <f>IFERROR(INDEX(Product_Structure[Generic Name (long)3],MATCH(Товары[[#This Row],[SubGroup]],Product_Structure[Subgroup],0)),"")</f>
        <v>Фитинги для шлангов</v>
      </c>
      <c r="I1074" s="36">
        <v>9011</v>
      </c>
      <c r="J1074" s="36" t="str">
        <f>IFERROR(INDEX(Product_Structure[Generic Name (long)],MATCH(Товары[[#This Row],[SubGroup]],Product_Structure[Subgroup],0)),"")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Row],[SubGroup]],DIY!$B:$C,2,FALSE),0)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3" t="str">
        <f>IFERROR(INDEX(Product_Structure[SuperCategory],MATCH(Товары[[#This Row],[SubGroup]],Product_Structure[Subgroup],0)),"")</f>
        <v>W</v>
      </c>
      <c r="D1075" s="113" t="str">
        <f>IFERROR(INDEX(Product_Structure[SuperCategory Name ENG],MATCH(Товары[[#This Row],[SubGroup]],Product_Structure[Subgroup],0)),"")</f>
        <v>Watering (mobile, sprinkler system&amp;MDS, Ponds)</v>
      </c>
      <c r="E10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5" s="113" t="str">
        <f>IFERROR(INDEX(Product_Structure[Product group],MATCH(Товары[[#This Row],[SubGroup]],Product_Structure[Subgroup],0)),"")</f>
        <v>WMO_C</v>
      </c>
      <c r="G1075" s="113" t="str">
        <f>IFERROR(INDEX(Product_Structure[Product group name ENG],MATCH(Товары[[#This Row],[SubGroup]],Product_Structure[Subgroup],0)),"")</f>
        <v>Watering Mobile OGS</v>
      </c>
      <c r="H1075" s="113" t="str">
        <f>IFERROR(INDEX(Product_Structure[Generic Name (long)3],MATCH(Товары[[#This Row],[SubGroup]],Product_Structure[Subgroup],0)),"")</f>
        <v>Фитинги для шлангов</v>
      </c>
      <c r="I1075" s="36">
        <v>9011</v>
      </c>
      <c r="J1075" s="36" t="str">
        <f>IFERROR(INDEX(Product_Structure[Generic Name (long)],MATCH(Товары[[#This Row],[SubGroup]],Product_Structure[Subgroup],0)),"")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Row],[SubGroup]],DIY!$B:$C,2,FALSE),0)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3" t="str">
        <f>IFERROR(INDEX(Product_Structure[SuperCategory],MATCH(Товары[[#This Row],[SubGroup]],Product_Structure[Subgroup],0)),"")</f>
        <v>W</v>
      </c>
      <c r="D1076" s="113" t="str">
        <f>IFERROR(INDEX(Product_Structure[SuperCategory Name ENG],MATCH(Товары[[#This Row],[SubGroup]],Product_Structure[Subgroup],0)),"")</f>
        <v>Watering (mobile, sprinkler system&amp;MDS, Ponds)</v>
      </c>
      <c r="E10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6" s="113" t="str">
        <f>IFERROR(INDEX(Product_Structure[Product group],MATCH(Товары[[#This Row],[SubGroup]],Product_Structure[Subgroup],0)),"")</f>
        <v>WMO_C</v>
      </c>
      <c r="G1076" s="113" t="str">
        <f>IFERROR(INDEX(Product_Structure[Product group name ENG],MATCH(Товары[[#This Row],[SubGroup]],Product_Structure[Subgroup],0)),"")</f>
        <v>Watering Mobile OGS</v>
      </c>
      <c r="H1076" s="113" t="str">
        <f>IFERROR(INDEX(Product_Structure[Generic Name (long)3],MATCH(Товары[[#This Row],[SubGroup]],Product_Structure[Subgroup],0)),"")</f>
        <v>Фитинги для шлангов</v>
      </c>
      <c r="I1076" s="36">
        <v>9011</v>
      </c>
      <c r="J1076" s="36" t="str">
        <f>IFERROR(INDEX(Product_Structure[Generic Name (long)],MATCH(Товары[[#This Row],[SubGroup]],Product_Structure[Subgroup],0)),"")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Row],[SubGroup]],DIY!$B:$C,2,FALSE),0)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3" t="str">
        <f>IFERROR(INDEX(Product_Structure[SuperCategory],MATCH(Товары[[#This Row],[SubGroup]],Product_Structure[Subgroup],0)),"")</f>
        <v>W</v>
      </c>
      <c r="D1077" s="113" t="str">
        <f>IFERROR(INDEX(Product_Structure[SuperCategory Name ENG],MATCH(Товары[[#This Row],[SubGroup]],Product_Structure[Subgroup],0)),"")</f>
        <v>Watering (mobile, sprinkler system&amp;MDS, Ponds)</v>
      </c>
      <c r="E10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7" s="113" t="str">
        <f>IFERROR(INDEX(Product_Structure[Product group],MATCH(Товары[[#This Row],[SubGroup]],Product_Structure[Subgroup],0)),"")</f>
        <v>WMO_C</v>
      </c>
      <c r="G1077" s="113" t="str">
        <f>IFERROR(INDEX(Product_Structure[Product group name ENG],MATCH(Товары[[#This Row],[SubGroup]],Product_Structure[Subgroup],0)),"")</f>
        <v>Watering Mobile OGS</v>
      </c>
      <c r="H1077" s="113" t="str">
        <f>IFERROR(INDEX(Product_Structure[Generic Name (long)3],MATCH(Товары[[#This Row],[SubGroup]],Product_Structure[Subgroup],0)),"")</f>
        <v>Фитинги для шлангов</v>
      </c>
      <c r="I1077" s="36">
        <v>9011</v>
      </c>
      <c r="J1077" s="36" t="str">
        <f>IFERROR(INDEX(Product_Structure[Generic Name (long)],MATCH(Товары[[#This Row],[SubGroup]],Product_Structure[Subgroup],0)),"")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Row],[SubGroup]],DIY!$B:$C,2,FALSE),0)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3" t="str">
        <f>IFERROR(INDEX(Product_Structure[SuperCategory],MATCH(Товары[[#This Row],[SubGroup]],Product_Structure[Subgroup],0)),"")</f>
        <v>W</v>
      </c>
      <c r="D1078" s="113" t="str">
        <f>IFERROR(INDEX(Product_Structure[SuperCategory Name ENG],MATCH(Товары[[#This Row],[SubGroup]],Product_Structure[Subgroup],0)),"")</f>
        <v>Watering (mobile, sprinkler system&amp;MDS, Ponds)</v>
      </c>
      <c r="E10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8" s="113" t="str">
        <f>IFERROR(INDEX(Product_Structure[Product group],MATCH(Товары[[#This Row],[SubGroup]],Product_Structure[Subgroup],0)),"")</f>
        <v>WMO_C</v>
      </c>
      <c r="G1078" s="113" t="str">
        <f>IFERROR(INDEX(Product_Structure[Product group name ENG],MATCH(Товары[[#This Row],[SubGroup]],Product_Structure[Subgroup],0)),"")</f>
        <v>Watering Mobile OGS</v>
      </c>
      <c r="H1078" s="113" t="str">
        <f>IFERROR(INDEX(Product_Structure[Generic Name (long)3],MATCH(Товары[[#This Row],[SubGroup]],Product_Structure[Subgroup],0)),"")</f>
        <v>Фитинги для шлангов</v>
      </c>
      <c r="I1078" s="36">
        <v>9011</v>
      </c>
      <c r="J1078" s="36" t="str">
        <f>IFERROR(INDEX(Product_Structure[Generic Name (long)],MATCH(Товары[[#This Row],[SubGroup]],Product_Structure[Subgroup],0)),"")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Row],[SubGroup]],DIY!$B:$C,2,FALSE),0)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3" t="str">
        <f>IFERROR(INDEX(Product_Structure[SuperCategory],MATCH(Товары[[#This Row],[SubGroup]],Product_Structure[Subgroup],0)),"")</f>
        <v>W</v>
      </c>
      <c r="D1079" s="113" t="str">
        <f>IFERROR(INDEX(Product_Structure[SuperCategory Name ENG],MATCH(Товары[[#This Row],[SubGroup]],Product_Structure[Subgroup],0)),"")</f>
        <v>Watering (mobile, sprinkler system&amp;MDS, Ponds)</v>
      </c>
      <c r="E10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79" s="113" t="str">
        <f>IFERROR(INDEX(Product_Structure[Product group],MATCH(Товары[[#This Row],[SubGroup]],Product_Structure[Subgroup],0)),"")</f>
        <v>WMO_C</v>
      </c>
      <c r="G1079" s="113" t="str">
        <f>IFERROR(INDEX(Product_Structure[Product group name ENG],MATCH(Товары[[#This Row],[SubGroup]],Product_Structure[Subgroup],0)),"")</f>
        <v>Watering Mobile OGS</v>
      </c>
      <c r="H1079" s="113" t="str">
        <f>IFERROR(INDEX(Product_Structure[Generic Name (long)3],MATCH(Товары[[#This Row],[SubGroup]],Product_Structure[Subgroup],0)),"")</f>
        <v>Фитинги для шлангов</v>
      </c>
      <c r="I1079" s="36">
        <v>9011</v>
      </c>
      <c r="J1079" s="36" t="str">
        <f>IFERROR(INDEX(Product_Structure[Generic Name (long)],MATCH(Товары[[#This Row],[SubGroup]],Product_Structure[Subgroup],0)),"")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Row],[SubGroup]],DIY!$B:$C,2,FALSE),0)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3" t="str">
        <f>IFERROR(INDEX(Product_Structure[SuperCategory],MATCH(Товары[[#This Row],[SubGroup]],Product_Structure[Subgroup],0)),"")</f>
        <v>W</v>
      </c>
      <c r="D1080" s="113" t="str">
        <f>IFERROR(INDEX(Product_Structure[SuperCategory Name ENG],MATCH(Товары[[#This Row],[SubGroup]],Product_Structure[Subgroup],0)),"")</f>
        <v>Watering (mobile, sprinkler system&amp;MDS, Ponds)</v>
      </c>
      <c r="E10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0" s="113" t="str">
        <f>IFERROR(INDEX(Product_Structure[Product group],MATCH(Товары[[#This Row],[SubGroup]],Product_Structure[Subgroup],0)),"")</f>
        <v>WMO_C</v>
      </c>
      <c r="G1080" s="113" t="str">
        <f>IFERROR(INDEX(Product_Structure[Product group name ENG],MATCH(Товары[[#This Row],[SubGroup]],Product_Structure[Subgroup],0)),"")</f>
        <v>Watering Mobile OGS</v>
      </c>
      <c r="H1080" s="113" t="str">
        <f>IFERROR(INDEX(Product_Structure[Generic Name (long)3],MATCH(Товары[[#This Row],[SubGroup]],Product_Structure[Subgroup],0)),"")</f>
        <v>Фитинги для шлангов</v>
      </c>
      <c r="I1080" s="36">
        <v>9011</v>
      </c>
      <c r="J1080" s="36" t="str">
        <f>IFERROR(INDEX(Product_Structure[Generic Name (long)],MATCH(Товары[[#This Row],[SubGroup]],Product_Structure[Subgroup],0)),"")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Row],[SubGroup]],DIY!$B:$C,2,FALSE),0)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3" t="str">
        <f>IFERROR(INDEX(Product_Structure[SuperCategory],MATCH(Товары[[#This Row],[SubGroup]],Product_Structure[Subgroup],0)),"")</f>
        <v>W</v>
      </c>
      <c r="D1081" s="113" t="str">
        <f>IFERROR(INDEX(Product_Structure[SuperCategory Name ENG],MATCH(Товары[[#This Row],[SubGroup]],Product_Structure[Subgroup],0)),"")</f>
        <v>Watering (mobile, sprinkler system&amp;MDS, Ponds)</v>
      </c>
      <c r="E10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1" s="113" t="str">
        <f>IFERROR(INDEX(Product_Structure[Product group],MATCH(Товары[[#This Row],[SubGroup]],Product_Structure[Subgroup],0)),"")</f>
        <v>WMO_C</v>
      </c>
      <c r="G1081" s="113" t="str">
        <f>IFERROR(INDEX(Product_Structure[Product group name ENG],MATCH(Товары[[#This Row],[SubGroup]],Product_Structure[Subgroup],0)),"")</f>
        <v>Watering Mobile OGS</v>
      </c>
      <c r="H1081" s="113" t="str">
        <f>IFERROR(INDEX(Product_Structure[Generic Name (long)3],MATCH(Товары[[#This Row],[SubGroup]],Product_Structure[Subgroup],0)),"")</f>
        <v>Фитинги для шлангов</v>
      </c>
      <c r="I1081" s="36">
        <v>9011</v>
      </c>
      <c r="J1081" s="36" t="str">
        <f>IFERROR(INDEX(Product_Structure[Generic Name (long)],MATCH(Товары[[#This Row],[SubGroup]],Product_Structure[Subgroup],0)),"")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Row],[SubGroup]],DIY!$B:$C,2,FALSE),0)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3" t="str">
        <f>IFERROR(INDEX(Product_Structure[SuperCategory],MATCH(Товары[[#This Row],[SubGroup]],Product_Structure[Subgroup],0)),"")</f>
        <v>W</v>
      </c>
      <c r="D1082" s="113" t="str">
        <f>IFERROR(INDEX(Product_Structure[SuperCategory Name ENG],MATCH(Товары[[#This Row],[SubGroup]],Product_Structure[Subgroup],0)),"")</f>
        <v>Watering (mobile, sprinkler system&amp;MDS, Ponds)</v>
      </c>
      <c r="E10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2" s="113" t="str">
        <f>IFERROR(INDEX(Product_Structure[Product group],MATCH(Товары[[#This Row],[SubGroup]],Product_Structure[Subgroup],0)),"")</f>
        <v>WMO_C</v>
      </c>
      <c r="G1082" s="113" t="str">
        <f>IFERROR(INDEX(Product_Structure[Product group name ENG],MATCH(Товары[[#This Row],[SubGroup]],Product_Structure[Subgroup],0)),"")</f>
        <v>Watering Mobile OGS</v>
      </c>
      <c r="H1082" s="113" t="str">
        <f>IFERROR(INDEX(Product_Structure[Generic Name (long)3],MATCH(Товары[[#This Row],[SubGroup]],Product_Structure[Subgroup],0)),"")</f>
        <v>Фитинги для шлангов</v>
      </c>
      <c r="I1082" s="36">
        <v>9011</v>
      </c>
      <c r="J1082" s="36" t="str">
        <f>IFERROR(INDEX(Product_Structure[Generic Name (long)],MATCH(Товары[[#This Row],[SubGroup]],Product_Structure[Subgroup],0)),"")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Row],[SubGroup]],DIY!$B:$C,2,FALSE),0)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3" t="str">
        <f>IFERROR(INDEX(Product_Structure[SuperCategory],MATCH(Товары[[#This Row],[SubGroup]],Product_Structure[Subgroup],0)),"")</f>
        <v>W</v>
      </c>
      <c r="D1083" s="113" t="str">
        <f>IFERROR(INDEX(Product_Structure[SuperCategory Name ENG],MATCH(Товары[[#This Row],[SubGroup]],Product_Structure[Subgroup],0)),"")</f>
        <v>Watering (mobile, sprinkler system&amp;MDS, Ponds)</v>
      </c>
      <c r="E10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3" s="113" t="str">
        <f>IFERROR(INDEX(Product_Structure[Product group],MATCH(Товары[[#This Row],[SubGroup]],Product_Structure[Subgroup],0)),"")</f>
        <v>WMO_C</v>
      </c>
      <c r="G1083" s="113" t="str">
        <f>IFERROR(INDEX(Product_Structure[Product group name ENG],MATCH(Товары[[#This Row],[SubGroup]],Product_Structure[Subgroup],0)),"")</f>
        <v>Watering Mobile OGS</v>
      </c>
      <c r="H1083" s="113" t="str">
        <f>IFERROR(INDEX(Product_Structure[Generic Name (long)3],MATCH(Товары[[#This Row],[SubGroup]],Product_Structure[Subgroup],0)),"")</f>
        <v>Фитинги для шлангов</v>
      </c>
      <c r="I1083" s="36">
        <v>9011</v>
      </c>
      <c r="J1083" s="36" t="str">
        <f>IFERROR(INDEX(Product_Structure[Generic Name (long)],MATCH(Товары[[#This Row],[SubGroup]],Product_Structure[Subgroup],0)),"")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Row],[SubGroup]],DIY!$B:$C,2,FALSE),0)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3" t="str">
        <f>IFERROR(INDEX(Product_Structure[SuperCategory],MATCH(Товары[[#This Row],[SubGroup]],Product_Structure[Subgroup],0)),"")</f>
        <v>W</v>
      </c>
      <c r="D1084" s="113" t="str">
        <f>IFERROR(INDEX(Product_Structure[SuperCategory Name ENG],MATCH(Товары[[#This Row],[SubGroup]],Product_Structure[Subgroup],0)),"")</f>
        <v>Watering (mobile, sprinkler system&amp;MDS, Ponds)</v>
      </c>
      <c r="E10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4" s="113" t="str">
        <f>IFERROR(INDEX(Product_Structure[Product group],MATCH(Товары[[#This Row],[SubGroup]],Product_Structure[Subgroup],0)),"")</f>
        <v>WMO_C</v>
      </c>
      <c r="G1084" s="113" t="str">
        <f>IFERROR(INDEX(Product_Structure[Product group name ENG],MATCH(Товары[[#This Row],[SubGroup]],Product_Structure[Subgroup],0)),"")</f>
        <v>Watering Mobile OGS</v>
      </c>
      <c r="H1084" s="113" t="str">
        <f>IFERROR(INDEX(Product_Structure[Generic Name (long)3],MATCH(Товары[[#This Row],[SubGroup]],Product_Structure[Subgroup],0)),"")</f>
        <v>Фитинги для шлангов</v>
      </c>
      <c r="I1084" s="36">
        <v>9011</v>
      </c>
      <c r="J1084" s="36" t="str">
        <f>IFERROR(INDEX(Product_Structure[Generic Name (long)],MATCH(Товары[[#This Row],[SubGroup]],Product_Structure[Subgroup],0)),"")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Row],[SubGroup]],DIY!$B:$C,2,FALSE),0)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3" t="str">
        <f>IFERROR(INDEX(Product_Structure[SuperCategory],MATCH(Товары[[#This Row],[SubGroup]],Product_Structure[Subgroup],0)),"")</f>
        <v>W</v>
      </c>
      <c r="D1085" s="113" t="str">
        <f>IFERROR(INDEX(Product_Structure[SuperCategory Name ENG],MATCH(Товары[[#This Row],[SubGroup]],Product_Structure[Subgroup],0)),"")</f>
        <v>Watering (mobile, sprinkler system&amp;MDS, Ponds)</v>
      </c>
      <c r="E10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5" s="113" t="str">
        <f>IFERROR(INDEX(Product_Structure[Product group],MATCH(Товары[[#This Row],[SubGroup]],Product_Structure[Subgroup],0)),"")</f>
        <v>WMO_C</v>
      </c>
      <c r="G1085" s="113" t="str">
        <f>IFERROR(INDEX(Product_Structure[Product group name ENG],MATCH(Товары[[#This Row],[SubGroup]],Product_Structure[Subgroup],0)),"")</f>
        <v>Watering Mobile OGS</v>
      </c>
      <c r="H1085" s="113" t="str">
        <f>IFERROR(INDEX(Product_Structure[Generic Name (long)3],MATCH(Товары[[#This Row],[SubGroup]],Product_Structure[Subgroup],0)),"")</f>
        <v>Фитинги для шлангов</v>
      </c>
      <c r="I1085" s="36">
        <v>9011</v>
      </c>
      <c r="J1085" s="36" t="str">
        <f>IFERROR(INDEX(Product_Structure[Generic Name (long)],MATCH(Товары[[#This Row],[SubGroup]],Product_Structure[Subgroup],0)),"")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Row],[SubGroup]],DIY!$B:$C,2,FALSE),0)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3" t="str">
        <f>IFERROR(INDEX(Product_Structure[SuperCategory],MATCH(Товары[[#This Row],[SubGroup]],Product_Structure[Subgroup],0)),"")</f>
        <v>W</v>
      </c>
      <c r="D1086" s="113" t="str">
        <f>IFERROR(INDEX(Product_Structure[SuperCategory Name ENG],MATCH(Товары[[#This Row],[SubGroup]],Product_Structure[Subgroup],0)),"")</f>
        <v>Watering (mobile, sprinkler system&amp;MDS, Ponds)</v>
      </c>
      <c r="E10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6" s="113" t="str">
        <f>IFERROR(INDEX(Product_Structure[Product group],MATCH(Товары[[#This Row],[SubGroup]],Product_Structure[Subgroup],0)),"")</f>
        <v>WMO_C</v>
      </c>
      <c r="G1086" s="113" t="str">
        <f>IFERROR(INDEX(Product_Structure[Product group name ENG],MATCH(Товары[[#This Row],[SubGroup]],Product_Structure[Subgroup],0)),"")</f>
        <v>Watering Mobile OGS</v>
      </c>
      <c r="H1086" s="113" t="str">
        <f>IFERROR(INDEX(Product_Structure[Generic Name (long)3],MATCH(Товары[[#This Row],[SubGroup]],Product_Structure[Subgroup],0)),"")</f>
        <v>Фитинги для шлангов</v>
      </c>
      <c r="I1086" s="36">
        <v>9011</v>
      </c>
      <c r="J1086" s="36" t="str">
        <f>IFERROR(INDEX(Product_Structure[Generic Name (long)],MATCH(Товары[[#This Row],[SubGroup]],Product_Structure[Subgroup],0)),"")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Row],[SubGroup]],DIY!$B:$C,2,FALSE),0)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3" t="str">
        <f>IFERROR(INDEX(Product_Structure[SuperCategory],MATCH(Товары[[#This Row],[SubGroup]],Product_Structure[Subgroup],0)),"")</f>
        <v>W</v>
      </c>
      <c r="D1087" s="113" t="str">
        <f>IFERROR(INDEX(Product_Structure[SuperCategory Name ENG],MATCH(Товары[[#This Row],[SubGroup]],Product_Structure[Subgroup],0)),"")</f>
        <v>Watering (mobile, sprinkler system&amp;MDS, Ponds)</v>
      </c>
      <c r="E10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7" s="113" t="str">
        <f>IFERROR(INDEX(Product_Structure[Product group],MATCH(Товары[[#This Row],[SubGroup]],Product_Structure[Subgroup],0)),"")</f>
        <v>WMO_C</v>
      </c>
      <c r="G1087" s="113" t="str">
        <f>IFERROR(INDEX(Product_Structure[Product group name ENG],MATCH(Товары[[#This Row],[SubGroup]],Product_Structure[Subgroup],0)),"")</f>
        <v>Watering Mobile OGS</v>
      </c>
      <c r="H1087" s="113" t="str">
        <f>IFERROR(INDEX(Product_Structure[Generic Name (long)3],MATCH(Товары[[#This Row],[SubGroup]],Product_Structure[Subgroup],0)),"")</f>
        <v>Фитинги для шлангов</v>
      </c>
      <c r="I1087" s="36">
        <v>9011</v>
      </c>
      <c r="J1087" s="36" t="str">
        <f>IFERROR(INDEX(Product_Structure[Generic Name (long)],MATCH(Товары[[#This Row],[SubGroup]],Product_Structure[Subgroup],0)),"")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Row],[SubGroup]],DIY!$B:$C,2,FALSE),0)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3" t="str">
        <f>IFERROR(INDEX(Product_Structure[SuperCategory],MATCH(Товары[[#This Row],[SubGroup]],Product_Structure[Subgroup],0)),"")</f>
        <v>W</v>
      </c>
      <c r="D1088" s="113" t="str">
        <f>IFERROR(INDEX(Product_Structure[SuperCategory Name ENG],MATCH(Товары[[#This Row],[SubGroup]],Product_Structure[Subgroup],0)),"")</f>
        <v>Watering (mobile, sprinkler system&amp;MDS, Ponds)</v>
      </c>
      <c r="E10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8" s="113" t="str">
        <f>IFERROR(INDEX(Product_Structure[Product group],MATCH(Товары[[#This Row],[SubGroup]],Product_Structure[Subgroup],0)),"")</f>
        <v>WMO_C</v>
      </c>
      <c r="G1088" s="113" t="str">
        <f>IFERROR(INDEX(Product_Structure[Product group name ENG],MATCH(Товары[[#This Row],[SubGroup]],Product_Structure[Subgroup],0)),"")</f>
        <v>Watering Mobile OGS</v>
      </c>
      <c r="H1088" s="113" t="str">
        <f>IFERROR(INDEX(Product_Structure[Generic Name (long)3],MATCH(Товары[[#This Row],[SubGroup]],Product_Structure[Subgroup],0)),"")</f>
        <v>Фитинги для шлангов</v>
      </c>
      <c r="I1088" s="36">
        <v>9011</v>
      </c>
      <c r="J1088" s="36" t="str">
        <f>IFERROR(INDEX(Product_Structure[Generic Name (long)],MATCH(Товары[[#This Row],[SubGroup]],Product_Structure[Subgroup],0)),"")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Row],[SubGroup]],DIY!$B:$C,2,FALSE),0)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3" t="str">
        <f>IFERROR(INDEX(Product_Structure[SuperCategory],MATCH(Товары[[#This Row],[SubGroup]],Product_Structure[Subgroup],0)),"")</f>
        <v>W</v>
      </c>
      <c r="D1089" s="113" t="str">
        <f>IFERROR(INDEX(Product_Structure[SuperCategory Name ENG],MATCH(Товары[[#This Row],[SubGroup]],Product_Structure[Subgroup],0)),"")</f>
        <v>Watering (mobile, sprinkler system&amp;MDS, Ponds)</v>
      </c>
      <c r="E10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89" s="113" t="str">
        <f>IFERROR(INDEX(Product_Structure[Product group],MATCH(Товары[[#This Row],[SubGroup]],Product_Structure[Subgroup],0)),"")</f>
        <v>WMO_C</v>
      </c>
      <c r="G1089" s="113" t="str">
        <f>IFERROR(INDEX(Product_Structure[Product group name ENG],MATCH(Товары[[#This Row],[SubGroup]],Product_Structure[Subgroup],0)),"")</f>
        <v>Watering Mobile OGS</v>
      </c>
      <c r="H1089" s="113" t="str">
        <f>IFERROR(INDEX(Product_Structure[Generic Name (long)3],MATCH(Товары[[#This Row],[SubGroup]],Product_Structure[Subgroup],0)),"")</f>
        <v>Фитинги для шлангов</v>
      </c>
      <c r="I1089" s="36">
        <v>9011</v>
      </c>
      <c r="J1089" s="36" t="str">
        <f>IFERROR(INDEX(Product_Structure[Generic Name (long)],MATCH(Товары[[#This Row],[SubGroup]],Product_Structure[Subgroup],0)),"")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Row],[SubGroup]],DIY!$B:$C,2,FALSE),0)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3" t="str">
        <f>IFERROR(INDEX(Product_Structure[SuperCategory],MATCH(Товары[[#This Row],[SubGroup]],Product_Structure[Subgroup],0)),"")</f>
        <v>W</v>
      </c>
      <c r="D1090" s="113" t="str">
        <f>IFERROR(INDEX(Product_Structure[SuperCategory Name ENG],MATCH(Товары[[#This Row],[SubGroup]],Product_Structure[Subgroup],0)),"")</f>
        <v>Watering (mobile, sprinkler system&amp;MDS, Ponds)</v>
      </c>
      <c r="E10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0" s="113" t="str">
        <f>IFERROR(INDEX(Product_Structure[Product group],MATCH(Товары[[#This Row],[SubGroup]],Product_Structure[Subgroup],0)),"")</f>
        <v>WMO_C</v>
      </c>
      <c r="G1090" s="113" t="str">
        <f>IFERROR(INDEX(Product_Structure[Product group name ENG],MATCH(Товары[[#This Row],[SubGroup]],Product_Structure[Subgroup],0)),"")</f>
        <v>Watering Mobile OGS</v>
      </c>
      <c r="H1090" s="113" t="str">
        <f>IFERROR(INDEX(Product_Structure[Generic Name (long)3],MATCH(Товары[[#This Row],[SubGroup]],Product_Structure[Subgroup],0)),"")</f>
        <v>Фитинги для шлангов</v>
      </c>
      <c r="I1090" s="36">
        <v>9011</v>
      </c>
      <c r="J1090" s="36" t="str">
        <f>IFERROR(INDEX(Product_Structure[Generic Name (long)],MATCH(Товары[[#This Row],[SubGroup]],Product_Structure[Subgroup],0)),"")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Row],[SubGroup]],DIY!$B:$C,2,FALSE),0)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3" t="str">
        <f>IFERROR(INDEX(Product_Structure[SuperCategory],MATCH(Товары[[#This Row],[SubGroup]],Product_Structure[Subgroup],0)),"")</f>
        <v>W</v>
      </c>
      <c r="D1091" s="113" t="str">
        <f>IFERROR(INDEX(Product_Structure[SuperCategory Name ENG],MATCH(Товары[[#This Row],[SubGroup]],Product_Structure[Subgroup],0)),"")</f>
        <v>Watering (mobile, sprinkler system&amp;MDS, Ponds)</v>
      </c>
      <c r="E10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1" s="113" t="str">
        <f>IFERROR(INDEX(Product_Structure[Product group],MATCH(Товары[[#This Row],[SubGroup]],Product_Structure[Subgroup],0)),"")</f>
        <v>WMO_C</v>
      </c>
      <c r="G1091" s="113" t="str">
        <f>IFERROR(INDEX(Product_Structure[Product group name ENG],MATCH(Товары[[#This Row],[SubGroup]],Product_Structure[Subgroup],0)),"")</f>
        <v>Watering Mobile OGS</v>
      </c>
      <c r="H1091" s="113" t="str">
        <f>IFERROR(INDEX(Product_Structure[Generic Name (long)3],MATCH(Товары[[#This Row],[SubGroup]],Product_Structure[Subgroup],0)),"")</f>
        <v>Фитинги для шлангов</v>
      </c>
      <c r="I1091" s="36">
        <v>9011</v>
      </c>
      <c r="J1091" s="36" t="str">
        <f>IFERROR(INDEX(Product_Structure[Generic Name (long)],MATCH(Товары[[#This Row],[SubGroup]],Product_Structure[Subgroup],0)),"")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Row],[SubGroup]],DIY!$B:$C,2,FALSE),0)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3" t="str">
        <f>IFERROR(INDEX(Product_Structure[SuperCategory],MATCH(Товары[[#This Row],[SubGroup]],Product_Structure[Subgroup],0)),"")</f>
        <v>W</v>
      </c>
      <c r="D1092" s="113" t="str">
        <f>IFERROR(INDEX(Product_Structure[SuperCategory Name ENG],MATCH(Товары[[#This Row],[SubGroup]],Product_Structure[Subgroup],0)),"")</f>
        <v>Watering (mobile, sprinkler system&amp;MDS, Ponds)</v>
      </c>
      <c r="E10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2" s="113" t="str">
        <f>IFERROR(INDEX(Product_Structure[Product group],MATCH(Товары[[#This Row],[SubGroup]],Product_Structure[Subgroup],0)),"")</f>
        <v>WMO_C</v>
      </c>
      <c r="G1092" s="113" t="str">
        <f>IFERROR(INDEX(Product_Structure[Product group name ENG],MATCH(Товары[[#This Row],[SubGroup]],Product_Structure[Subgroup],0)),"")</f>
        <v>Watering Mobile OGS</v>
      </c>
      <c r="H1092" s="113" t="str">
        <f>IFERROR(INDEX(Product_Structure[Generic Name (long)3],MATCH(Товары[[#This Row],[SubGroup]],Product_Structure[Subgroup],0)),"")</f>
        <v>Фитинги для шлангов</v>
      </c>
      <c r="I1092" s="36">
        <v>9011</v>
      </c>
      <c r="J1092" s="36" t="str">
        <f>IFERROR(INDEX(Product_Structure[Generic Name (long)],MATCH(Товары[[#This Row],[SubGroup]],Product_Structure[Subgroup],0)),"")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Row],[SubGroup]],DIY!$B:$C,2,FALSE),0)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3" t="str">
        <f>IFERROR(INDEX(Product_Structure[SuperCategory],MATCH(Товары[[#This Row],[SubGroup]],Product_Structure[Subgroup],0)),"")</f>
        <v>W</v>
      </c>
      <c r="D1093" s="113" t="str">
        <f>IFERROR(INDEX(Product_Structure[SuperCategory Name ENG],MATCH(Товары[[#This Row],[SubGroup]],Product_Structure[Subgroup],0)),"")</f>
        <v>Watering (mobile, sprinkler system&amp;MDS, Ponds)</v>
      </c>
      <c r="E10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3" s="113" t="str">
        <f>IFERROR(INDEX(Product_Structure[Product group],MATCH(Товары[[#This Row],[SubGroup]],Product_Structure[Subgroup],0)),"")</f>
        <v>WMO_C</v>
      </c>
      <c r="G1093" s="113" t="str">
        <f>IFERROR(INDEX(Product_Structure[Product group name ENG],MATCH(Товары[[#This Row],[SubGroup]],Product_Structure[Subgroup],0)),"")</f>
        <v>Watering Mobile OGS</v>
      </c>
      <c r="H1093" s="113" t="str">
        <f>IFERROR(INDEX(Product_Structure[Generic Name (long)3],MATCH(Товары[[#This Row],[SubGroup]],Product_Structure[Subgroup],0)),"")</f>
        <v>Фитинги для шлангов</v>
      </c>
      <c r="I1093" s="36">
        <v>9011</v>
      </c>
      <c r="J1093" s="36" t="str">
        <f>IFERROR(INDEX(Product_Structure[Generic Name (long)],MATCH(Товары[[#This Row],[SubGroup]],Product_Structure[Subgroup],0)),"")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Row],[SubGroup]],DIY!$B:$C,2,FALSE),0)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3" t="str">
        <f>IFERROR(INDEX(Product_Structure[SuperCategory],MATCH(Товары[[#This Row],[SubGroup]],Product_Structure[Subgroup],0)),"")</f>
        <v>W</v>
      </c>
      <c r="D1094" s="113" t="str">
        <f>IFERROR(INDEX(Product_Structure[SuperCategory Name ENG],MATCH(Товары[[#This Row],[SubGroup]],Product_Structure[Subgroup],0)),"")</f>
        <v>Watering (mobile, sprinkler system&amp;MDS, Ponds)</v>
      </c>
      <c r="E10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4" s="113" t="str">
        <f>IFERROR(INDEX(Product_Structure[Product group],MATCH(Товары[[#This Row],[SubGroup]],Product_Structure[Subgroup],0)),"")</f>
        <v>WMO_C</v>
      </c>
      <c r="G1094" s="113" t="str">
        <f>IFERROR(INDEX(Product_Structure[Product group name ENG],MATCH(Товары[[#This Row],[SubGroup]],Product_Structure[Subgroup],0)),"")</f>
        <v>Watering Mobile OGS</v>
      </c>
      <c r="H1094" s="113" t="str">
        <f>IFERROR(INDEX(Product_Structure[Generic Name (long)3],MATCH(Товары[[#This Row],[SubGroup]],Product_Structure[Subgroup],0)),"")</f>
        <v>Фитинги для шлангов</v>
      </c>
      <c r="I1094" s="36">
        <v>9011</v>
      </c>
      <c r="J1094" s="36" t="str">
        <f>IFERROR(INDEX(Product_Structure[Generic Name (long)],MATCH(Товары[[#This Row],[SubGroup]],Product_Structure[Subgroup],0)),"")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Row],[SubGroup]],DIY!$B:$C,2,FALSE),0)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3" t="str">
        <f>IFERROR(INDEX(Product_Structure[SuperCategory],MATCH(Товары[[#This Row],[SubGroup]],Product_Structure[Subgroup],0)),"")</f>
        <v>W</v>
      </c>
      <c r="D1095" s="113" t="str">
        <f>IFERROR(INDEX(Product_Structure[SuperCategory Name ENG],MATCH(Товары[[#This Row],[SubGroup]],Product_Structure[Subgroup],0)),"")</f>
        <v>Watering (mobile, sprinkler system&amp;MDS, Ponds)</v>
      </c>
      <c r="E10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5" s="113" t="str">
        <f>IFERROR(INDEX(Product_Structure[Product group],MATCH(Товары[[#This Row],[SubGroup]],Product_Structure[Subgroup],0)),"")</f>
        <v>WMO_C</v>
      </c>
      <c r="G1095" s="113" t="str">
        <f>IFERROR(INDEX(Product_Structure[Product group name ENG],MATCH(Товары[[#This Row],[SubGroup]],Product_Structure[Subgroup],0)),"")</f>
        <v>Watering Mobile OGS</v>
      </c>
      <c r="H1095" s="113" t="str">
        <f>IFERROR(INDEX(Product_Structure[Generic Name (long)3],MATCH(Товары[[#This Row],[SubGroup]],Product_Structure[Subgroup],0)),"")</f>
        <v>Фитинги для шлангов</v>
      </c>
      <c r="I1095" s="36">
        <v>9011</v>
      </c>
      <c r="J1095" s="36" t="str">
        <f>IFERROR(INDEX(Product_Structure[Generic Name (long)],MATCH(Товары[[#This Row],[SubGroup]],Product_Structure[Subgroup],0)),"")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Row],[SubGroup]],DIY!$B:$C,2,FALSE),0)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3" t="str">
        <f>IFERROR(INDEX(Product_Structure[SuperCategory],MATCH(Товары[[#This Row],[SubGroup]],Product_Structure[Subgroup],0)),"")</f>
        <v>W</v>
      </c>
      <c r="D1096" s="113" t="str">
        <f>IFERROR(INDEX(Product_Structure[SuperCategory Name ENG],MATCH(Товары[[#This Row],[SubGroup]],Product_Structure[Subgroup],0)),"")</f>
        <v>Watering (mobile, sprinkler system&amp;MDS, Ponds)</v>
      </c>
      <c r="E10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6" s="113" t="str">
        <f>IFERROR(INDEX(Product_Structure[Product group],MATCH(Товары[[#This Row],[SubGroup]],Product_Structure[Subgroup],0)),"")</f>
        <v>WMO_C</v>
      </c>
      <c r="G1096" s="113" t="str">
        <f>IFERROR(INDEX(Product_Structure[Product group name ENG],MATCH(Товары[[#This Row],[SubGroup]],Product_Structure[Subgroup],0)),"")</f>
        <v>Watering Mobile OGS</v>
      </c>
      <c r="H1096" s="113" t="str">
        <f>IFERROR(INDEX(Product_Structure[Generic Name (long)3],MATCH(Товары[[#This Row],[SubGroup]],Product_Structure[Subgroup],0)),"")</f>
        <v>Фитинги для шлангов</v>
      </c>
      <c r="I1096" s="36">
        <v>9011</v>
      </c>
      <c r="J1096" s="36" t="str">
        <f>IFERROR(INDEX(Product_Structure[Generic Name (long)],MATCH(Товары[[#This Row],[SubGroup]],Product_Structure[Subgroup],0)),"")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Row],[SubGroup]],DIY!$B:$C,2,FALSE),0)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3" t="str">
        <f>IFERROR(INDEX(Product_Structure[SuperCategory],MATCH(Товары[[#This Row],[SubGroup]],Product_Structure[Subgroup],0)),"")</f>
        <v>W</v>
      </c>
      <c r="D1097" s="113" t="str">
        <f>IFERROR(INDEX(Product_Structure[SuperCategory Name ENG],MATCH(Товары[[#This Row],[SubGroup]],Product_Structure[Subgroup],0)),"")</f>
        <v>Watering (mobile, sprinkler system&amp;MDS, Ponds)</v>
      </c>
      <c r="E10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7" s="113" t="str">
        <f>IFERROR(INDEX(Product_Structure[Product group],MATCH(Товары[[#This Row],[SubGroup]],Product_Structure[Subgroup],0)),"")</f>
        <v>WMO_C</v>
      </c>
      <c r="G1097" s="113" t="str">
        <f>IFERROR(INDEX(Product_Structure[Product group name ENG],MATCH(Товары[[#This Row],[SubGroup]],Product_Structure[Subgroup],0)),"")</f>
        <v>Watering Mobile OGS</v>
      </c>
      <c r="H1097" s="113" t="str">
        <f>IFERROR(INDEX(Product_Structure[Generic Name (long)3],MATCH(Товары[[#This Row],[SubGroup]],Product_Structure[Subgroup],0)),"")</f>
        <v>Фитинги для шлангов</v>
      </c>
      <c r="I1097" s="36">
        <v>9011</v>
      </c>
      <c r="J1097" s="36" t="str">
        <f>IFERROR(INDEX(Product_Structure[Generic Name (long)],MATCH(Товары[[#This Row],[SubGroup]],Product_Structure[Subgroup],0)),"")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Row],[SubGroup]],DIY!$B:$C,2,FALSE),0)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3" t="str">
        <f>IFERROR(INDEX(Product_Structure[SuperCategory],MATCH(Товары[[#This Row],[SubGroup]],Product_Structure[Subgroup],0)),"")</f>
        <v>W</v>
      </c>
      <c r="D1098" s="113" t="str">
        <f>IFERROR(INDEX(Product_Structure[SuperCategory Name ENG],MATCH(Товары[[#This Row],[SubGroup]],Product_Structure[Subgroup],0)),"")</f>
        <v>Watering (mobile, sprinkler system&amp;MDS, Ponds)</v>
      </c>
      <c r="E10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8" s="113" t="str">
        <f>IFERROR(INDEX(Product_Structure[Product group],MATCH(Товары[[#This Row],[SubGroup]],Product_Structure[Subgroup],0)),"")</f>
        <v>WMO_C</v>
      </c>
      <c r="G1098" s="113" t="str">
        <f>IFERROR(INDEX(Product_Structure[Product group name ENG],MATCH(Товары[[#This Row],[SubGroup]],Product_Structure[Subgroup],0)),"")</f>
        <v>Watering Mobile OGS</v>
      </c>
      <c r="H1098" s="113" t="str">
        <f>IFERROR(INDEX(Product_Structure[Generic Name (long)3],MATCH(Товары[[#This Row],[SubGroup]],Product_Structure[Subgroup],0)),"")</f>
        <v>Фитинги для шлангов</v>
      </c>
      <c r="I1098" s="36">
        <v>9011</v>
      </c>
      <c r="J1098" s="36" t="str">
        <f>IFERROR(INDEX(Product_Structure[Generic Name (long)],MATCH(Товары[[#This Row],[SubGroup]],Product_Structure[Subgroup],0)),"")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Row],[SubGroup]],DIY!$B:$C,2,FALSE),0)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3" t="str">
        <f>IFERROR(INDEX(Product_Structure[SuperCategory],MATCH(Товары[[#This Row],[SubGroup]],Product_Structure[Subgroup],0)),"")</f>
        <v>W</v>
      </c>
      <c r="D1099" s="113" t="str">
        <f>IFERROR(INDEX(Product_Structure[SuperCategory Name ENG],MATCH(Товары[[#This Row],[SubGroup]],Product_Structure[Subgroup],0)),"")</f>
        <v>Watering (mobile, sprinkler system&amp;MDS, Ponds)</v>
      </c>
      <c r="E10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99" s="113" t="str">
        <f>IFERROR(INDEX(Product_Structure[Product group],MATCH(Товары[[#This Row],[SubGroup]],Product_Structure[Subgroup],0)),"")</f>
        <v>WMO_C</v>
      </c>
      <c r="G1099" s="113" t="str">
        <f>IFERROR(INDEX(Product_Structure[Product group name ENG],MATCH(Товары[[#This Row],[SubGroup]],Product_Structure[Subgroup],0)),"")</f>
        <v>Watering Mobile OGS</v>
      </c>
      <c r="H1099" s="113" t="str">
        <f>IFERROR(INDEX(Product_Structure[Generic Name (long)3],MATCH(Товары[[#This Row],[SubGroup]],Product_Structure[Subgroup],0)),"")</f>
        <v>Фитинги для шлангов</v>
      </c>
      <c r="I1099" s="36">
        <v>9011</v>
      </c>
      <c r="J1099" s="36" t="str">
        <f>IFERROR(INDEX(Product_Structure[Generic Name (long)],MATCH(Товары[[#This Row],[SubGroup]],Product_Structure[Subgroup],0)),"")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Row],[SubGroup]],DIY!$B:$C,2,FALSE),0)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3" t="str">
        <f>IFERROR(INDEX(Product_Structure[SuperCategory],MATCH(Товары[[#This Row],[SubGroup]],Product_Structure[Subgroup],0)),"")</f>
        <v>W</v>
      </c>
      <c r="D1100" s="113" t="str">
        <f>IFERROR(INDEX(Product_Structure[SuperCategory Name ENG],MATCH(Товары[[#This Row],[SubGroup]],Product_Structure[Subgroup],0)),"")</f>
        <v>Watering (mobile, sprinkler system&amp;MDS, Ponds)</v>
      </c>
      <c r="E11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0" s="113" t="str">
        <f>IFERROR(INDEX(Product_Structure[Product group],MATCH(Товары[[#This Row],[SubGroup]],Product_Structure[Subgroup],0)),"")</f>
        <v>WMO_C</v>
      </c>
      <c r="G1100" s="113" t="str">
        <f>IFERROR(INDEX(Product_Structure[Product group name ENG],MATCH(Товары[[#This Row],[SubGroup]],Product_Structure[Subgroup],0)),"")</f>
        <v>Watering Mobile OGS</v>
      </c>
      <c r="H1100" s="113" t="str">
        <f>IFERROR(INDEX(Product_Structure[Generic Name (long)3],MATCH(Товары[[#This Row],[SubGroup]],Product_Structure[Subgroup],0)),"")</f>
        <v>Фитинги для шлангов</v>
      </c>
      <c r="I1100" s="36">
        <v>9011</v>
      </c>
      <c r="J1100" s="36" t="str">
        <f>IFERROR(INDEX(Product_Structure[Generic Name (long)],MATCH(Товары[[#This Row],[SubGroup]],Product_Structure[Subgroup],0)),"")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Row],[SubGroup]],DIY!$B:$C,2,FALSE),0)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3" t="str">
        <f>IFERROR(INDEX(Product_Structure[SuperCategory],MATCH(Товары[[#This Row],[SubGroup]],Product_Structure[Subgroup],0)),"")</f>
        <v>W</v>
      </c>
      <c r="D1101" s="113" t="str">
        <f>IFERROR(INDEX(Product_Structure[SuperCategory Name ENG],MATCH(Товары[[#This Row],[SubGroup]],Product_Structure[Subgroup],0)),"")</f>
        <v>Watering (mobile, sprinkler system&amp;MDS, Ponds)</v>
      </c>
      <c r="E11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1" s="113" t="str">
        <f>IFERROR(INDEX(Product_Structure[Product group],MATCH(Товары[[#This Row],[SubGroup]],Product_Structure[Subgroup],0)),"")</f>
        <v>WMO_C</v>
      </c>
      <c r="G1101" s="113" t="str">
        <f>IFERROR(INDEX(Product_Structure[Product group name ENG],MATCH(Товары[[#This Row],[SubGroup]],Product_Structure[Subgroup],0)),"")</f>
        <v>Watering Mobile OGS</v>
      </c>
      <c r="H1101" s="113" t="str">
        <f>IFERROR(INDEX(Product_Structure[Generic Name (long)3],MATCH(Товары[[#This Row],[SubGroup]],Product_Structure[Subgroup],0)),"")</f>
        <v>Фитинги для шлангов</v>
      </c>
      <c r="I1101" s="36">
        <v>9011</v>
      </c>
      <c r="J1101" s="36" t="str">
        <f>IFERROR(INDEX(Product_Structure[Generic Name (long)],MATCH(Товары[[#This Row],[SubGroup]],Product_Structure[Subgroup],0)),"")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Row],[SubGroup]],DIY!$B:$C,2,FALSE),0)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3" t="str">
        <f>IFERROR(INDEX(Product_Structure[SuperCategory],MATCH(Товары[[#This Row],[SubGroup]],Product_Structure[Subgroup],0)),"")</f>
        <v>W</v>
      </c>
      <c r="D1102" s="113" t="str">
        <f>IFERROR(INDEX(Product_Structure[SuperCategory Name ENG],MATCH(Товары[[#This Row],[SubGroup]],Product_Structure[Subgroup],0)),"")</f>
        <v>Watering (mobile, sprinkler system&amp;MDS, Ponds)</v>
      </c>
      <c r="E11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2" s="113" t="str">
        <f>IFERROR(INDEX(Product_Structure[Product group],MATCH(Товары[[#This Row],[SubGroup]],Product_Structure[Subgroup],0)),"")</f>
        <v>WMO_C</v>
      </c>
      <c r="G1102" s="113" t="str">
        <f>IFERROR(INDEX(Product_Structure[Product group name ENG],MATCH(Товары[[#This Row],[SubGroup]],Product_Structure[Subgroup],0)),"")</f>
        <v>Watering Mobile OGS</v>
      </c>
      <c r="H1102" s="113" t="str">
        <f>IFERROR(INDEX(Product_Structure[Generic Name (long)3],MATCH(Товары[[#This Row],[SubGroup]],Product_Structure[Subgroup],0)),"")</f>
        <v>Фитинги для шлангов</v>
      </c>
      <c r="I1102" s="36">
        <v>9011</v>
      </c>
      <c r="J1102" s="36" t="str">
        <f>IFERROR(INDEX(Product_Structure[Generic Name (long)],MATCH(Товары[[#This Row],[SubGroup]],Product_Structure[Subgroup],0)),"")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Row],[SubGroup]],DIY!$B:$C,2,FALSE),0)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3" t="str">
        <f>IFERROR(INDEX(Product_Structure[SuperCategory],MATCH(Товары[[#This Row],[SubGroup]],Product_Structure[Subgroup],0)),"")</f>
        <v>W</v>
      </c>
      <c r="D1103" s="113" t="str">
        <f>IFERROR(INDEX(Product_Structure[SuperCategory Name ENG],MATCH(Товары[[#This Row],[SubGroup]],Product_Structure[Subgroup],0)),"")</f>
        <v>Watering (mobile, sprinkler system&amp;MDS, Ponds)</v>
      </c>
      <c r="E11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3" s="113" t="str">
        <f>IFERROR(INDEX(Product_Structure[Product group],MATCH(Товары[[#This Row],[SubGroup]],Product_Structure[Subgroup],0)),"")</f>
        <v>WMO_C</v>
      </c>
      <c r="G1103" s="113" t="str">
        <f>IFERROR(INDEX(Product_Structure[Product group name ENG],MATCH(Товары[[#This Row],[SubGroup]],Product_Structure[Subgroup],0)),"")</f>
        <v>Watering Mobile OGS</v>
      </c>
      <c r="H1103" s="113" t="str">
        <f>IFERROR(INDEX(Product_Structure[Generic Name (long)3],MATCH(Товары[[#This Row],[SubGroup]],Product_Structure[Subgroup],0)),"")</f>
        <v>Фитинги для шлангов</v>
      </c>
      <c r="I1103" s="36">
        <v>9011</v>
      </c>
      <c r="J1103" s="36" t="str">
        <f>IFERROR(INDEX(Product_Structure[Generic Name (long)],MATCH(Товары[[#This Row],[SubGroup]],Product_Structure[Subgroup],0)),"")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Row],[SubGroup]],DIY!$B:$C,2,FALSE),0)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3" t="str">
        <f>IFERROR(INDEX(Product_Structure[SuperCategory],MATCH(Товары[[#This Row],[SubGroup]],Product_Structure[Subgroup],0)),"")</f>
        <v>W</v>
      </c>
      <c r="D1104" s="113" t="str">
        <f>IFERROR(INDEX(Product_Structure[SuperCategory Name ENG],MATCH(Товары[[#This Row],[SubGroup]],Product_Structure[Subgroup],0)),"")</f>
        <v>Watering (mobile, sprinkler system&amp;MDS, Ponds)</v>
      </c>
      <c r="E11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4" s="113" t="str">
        <f>IFERROR(INDEX(Product_Structure[Product group],MATCH(Товары[[#This Row],[SubGroup]],Product_Structure[Subgroup],0)),"")</f>
        <v>WMO_C</v>
      </c>
      <c r="G1104" s="113" t="str">
        <f>IFERROR(INDEX(Product_Structure[Product group name ENG],MATCH(Товары[[#This Row],[SubGroup]],Product_Structure[Subgroup],0)),"")</f>
        <v>Watering Mobile OGS</v>
      </c>
      <c r="H1104" s="113" t="str">
        <f>IFERROR(INDEX(Product_Structure[Generic Name (long)3],MATCH(Товары[[#This Row],[SubGroup]],Product_Structure[Subgroup],0)),"")</f>
        <v>Фитинги для шлангов</v>
      </c>
      <c r="I1104" s="36">
        <v>9011</v>
      </c>
      <c r="J1104" s="36" t="str">
        <f>IFERROR(INDEX(Product_Structure[Generic Name (long)],MATCH(Товары[[#This Row],[SubGroup]],Product_Structure[Subgroup],0)),"")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Row],[SubGroup]],DIY!$B:$C,2,FALSE),0)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3" t="str">
        <f>IFERROR(INDEX(Product_Structure[SuperCategory],MATCH(Товары[[#This Row],[SubGroup]],Product_Structure[Subgroup],0)),"")</f>
        <v>W</v>
      </c>
      <c r="D1105" s="113" t="str">
        <f>IFERROR(INDEX(Product_Structure[SuperCategory Name ENG],MATCH(Товары[[#This Row],[SubGroup]],Product_Structure[Subgroup],0)),"")</f>
        <v>Watering (mobile, sprinkler system&amp;MDS, Ponds)</v>
      </c>
      <c r="E11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5" s="113" t="str">
        <f>IFERROR(INDEX(Product_Structure[Product group],MATCH(Товары[[#This Row],[SubGroup]],Product_Structure[Subgroup],0)),"")</f>
        <v>WMO_C</v>
      </c>
      <c r="G1105" s="113" t="str">
        <f>IFERROR(INDEX(Product_Structure[Product group name ENG],MATCH(Товары[[#This Row],[SubGroup]],Product_Structure[Subgroup],0)),"")</f>
        <v>Watering Mobile OGS</v>
      </c>
      <c r="H1105" s="113" t="str">
        <f>IFERROR(INDEX(Product_Structure[Generic Name (long)3],MATCH(Товары[[#This Row],[SubGroup]],Product_Structure[Subgroup],0)),"")</f>
        <v>Фитинги для шлангов</v>
      </c>
      <c r="I1105" s="36">
        <v>9011</v>
      </c>
      <c r="J1105" s="36" t="str">
        <f>IFERROR(INDEX(Product_Structure[Generic Name (long)],MATCH(Товары[[#This Row],[SubGroup]],Product_Structure[Subgroup],0)),"")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Row],[SubGroup]],DIY!$B:$C,2,FALSE),0)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3" t="str">
        <f>IFERROR(INDEX(Product_Structure[SuperCategory],MATCH(Товары[[#This Row],[SubGroup]],Product_Structure[Subgroup],0)),"")</f>
        <v>W</v>
      </c>
      <c r="D1106" s="113" t="str">
        <f>IFERROR(INDEX(Product_Structure[SuperCategory Name ENG],MATCH(Товары[[#This Row],[SubGroup]],Product_Structure[Subgroup],0)),"")</f>
        <v>Watering (mobile, sprinkler system&amp;MDS, Ponds)</v>
      </c>
      <c r="E11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6" s="113" t="str">
        <f>IFERROR(INDEX(Product_Structure[Product group],MATCH(Товары[[#This Row],[SubGroup]],Product_Structure[Subgroup],0)),"")</f>
        <v>WMO_C</v>
      </c>
      <c r="G1106" s="113" t="str">
        <f>IFERROR(INDEX(Product_Structure[Product group name ENG],MATCH(Товары[[#This Row],[SubGroup]],Product_Structure[Subgroup],0)),"")</f>
        <v>Watering Mobile OGS</v>
      </c>
      <c r="H1106" s="113" t="str">
        <f>IFERROR(INDEX(Product_Structure[Generic Name (long)3],MATCH(Товары[[#This Row],[SubGroup]],Product_Structure[Subgroup],0)),"")</f>
        <v>Фитинги для шлангов</v>
      </c>
      <c r="I1106" s="36">
        <v>9011</v>
      </c>
      <c r="J1106" s="36" t="str">
        <f>IFERROR(INDEX(Product_Structure[Generic Name (long)],MATCH(Товары[[#This Row],[SubGroup]],Product_Structure[Subgroup],0)),"")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Row],[SubGroup]],DIY!$B:$C,2,FALSE),0)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3" t="str">
        <f>IFERROR(INDEX(Product_Structure[SuperCategory],MATCH(Товары[[#This Row],[SubGroup]],Product_Structure[Subgroup],0)),"")</f>
        <v>W</v>
      </c>
      <c r="D1107" s="113" t="str">
        <f>IFERROR(INDEX(Product_Structure[SuperCategory Name ENG],MATCH(Товары[[#This Row],[SubGroup]],Product_Structure[Subgroup],0)),"")</f>
        <v>Watering (mobile, sprinkler system&amp;MDS, Ponds)</v>
      </c>
      <c r="E11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7" s="113" t="str">
        <f>IFERROR(INDEX(Product_Structure[Product group],MATCH(Товары[[#This Row],[SubGroup]],Product_Structure[Subgroup],0)),"")</f>
        <v>WMO_C</v>
      </c>
      <c r="G1107" s="113" t="str">
        <f>IFERROR(INDEX(Product_Structure[Product group name ENG],MATCH(Товары[[#This Row],[SubGroup]],Product_Structure[Subgroup],0)),"")</f>
        <v>Watering Mobile OGS</v>
      </c>
      <c r="H1107" s="113" t="str">
        <f>IFERROR(INDEX(Product_Structure[Generic Name (long)3],MATCH(Товары[[#This Row],[SubGroup]],Product_Structure[Subgroup],0)),"")</f>
        <v>Фитинги для шлангов</v>
      </c>
      <c r="I1107" s="36">
        <v>9011</v>
      </c>
      <c r="J1107" s="36" t="str">
        <f>IFERROR(INDEX(Product_Structure[Generic Name (long)],MATCH(Товары[[#This Row],[SubGroup]],Product_Structure[Subgroup],0)),"")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Row],[SubGroup]],DIY!$B:$C,2,FALSE),0)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3" t="str">
        <f>IFERROR(INDEX(Product_Structure[SuperCategory],MATCH(Товары[[#This Row],[SubGroup]],Product_Structure[Subgroup],0)),"")</f>
        <v>W</v>
      </c>
      <c r="D1108" s="113" t="str">
        <f>IFERROR(INDEX(Product_Structure[SuperCategory Name ENG],MATCH(Товары[[#This Row],[SubGroup]],Product_Structure[Subgroup],0)),"")</f>
        <v>Watering (mobile, sprinkler system&amp;MDS, Ponds)</v>
      </c>
      <c r="E11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8" s="113" t="str">
        <f>IFERROR(INDEX(Product_Structure[Product group],MATCH(Товары[[#This Row],[SubGroup]],Product_Structure[Subgroup],0)),"")</f>
        <v>WMO_C</v>
      </c>
      <c r="G1108" s="113" t="str">
        <f>IFERROR(INDEX(Product_Structure[Product group name ENG],MATCH(Товары[[#This Row],[SubGroup]],Product_Structure[Subgroup],0)),"")</f>
        <v>Watering Mobile OGS</v>
      </c>
      <c r="H1108" s="113" t="str">
        <f>IFERROR(INDEX(Product_Structure[Generic Name (long)3],MATCH(Товары[[#This Row],[SubGroup]],Product_Structure[Subgroup],0)),"")</f>
        <v>Фитинги для шлангов</v>
      </c>
      <c r="I1108" s="36">
        <v>9011</v>
      </c>
      <c r="J1108" s="36" t="str">
        <f>IFERROR(INDEX(Product_Structure[Generic Name (long)],MATCH(Товары[[#This Row],[SubGroup]],Product_Structure[Subgroup],0)),"")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Row],[SubGroup]],DIY!$B:$C,2,FALSE),0)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3" t="str">
        <f>IFERROR(INDEX(Product_Structure[SuperCategory],MATCH(Товары[[#This Row],[SubGroup]],Product_Structure[Subgroup],0)),"")</f>
        <v>W</v>
      </c>
      <c r="D1109" s="113" t="str">
        <f>IFERROR(INDEX(Product_Structure[SuperCategory Name ENG],MATCH(Товары[[#This Row],[SubGroup]],Product_Structure[Subgroup],0)),"")</f>
        <v>Watering (mobile, sprinkler system&amp;MDS, Ponds)</v>
      </c>
      <c r="E11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09" s="113" t="str">
        <f>IFERROR(INDEX(Product_Structure[Product group],MATCH(Товары[[#This Row],[SubGroup]],Product_Structure[Subgroup],0)),"")</f>
        <v>WMO_C</v>
      </c>
      <c r="G1109" s="113" t="str">
        <f>IFERROR(INDEX(Product_Structure[Product group name ENG],MATCH(Товары[[#This Row],[SubGroup]],Product_Structure[Subgroup],0)),"")</f>
        <v>Watering Mobile OGS</v>
      </c>
      <c r="H1109" s="113" t="str">
        <f>IFERROR(INDEX(Product_Structure[Generic Name (long)3],MATCH(Товары[[#This Row],[SubGroup]],Product_Structure[Subgroup],0)),"")</f>
        <v>Фитинги для шлангов</v>
      </c>
      <c r="I1109" s="36">
        <v>9011</v>
      </c>
      <c r="J1109" s="36" t="str">
        <f>IFERROR(INDEX(Product_Structure[Generic Name (long)],MATCH(Товары[[#This Row],[SubGroup]],Product_Structure[Subgroup],0)),"")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Row],[SubGroup]],DIY!$B:$C,2,FALSE),0)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3" t="str">
        <f>IFERROR(INDEX(Product_Structure[SuperCategory],MATCH(Товары[[#This Row],[SubGroup]],Product_Structure[Subgroup],0)),"")</f>
        <v>W</v>
      </c>
      <c r="D1110" s="113" t="str">
        <f>IFERROR(INDEX(Product_Structure[SuperCategory Name ENG],MATCH(Товары[[#This Row],[SubGroup]],Product_Structure[Subgroup],0)),"")</f>
        <v>Watering (mobile, sprinkler system&amp;MDS, Ponds)</v>
      </c>
      <c r="E11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0" s="113" t="str">
        <f>IFERROR(INDEX(Product_Structure[Product group],MATCH(Товары[[#This Row],[SubGroup]],Product_Structure[Subgroup],0)),"")</f>
        <v>WMO_C</v>
      </c>
      <c r="G1110" s="113" t="str">
        <f>IFERROR(INDEX(Product_Structure[Product group name ENG],MATCH(Товары[[#This Row],[SubGroup]],Product_Structure[Subgroup],0)),"")</f>
        <v>Watering Mobile OGS</v>
      </c>
      <c r="H1110" s="113" t="str">
        <f>IFERROR(INDEX(Product_Structure[Generic Name (long)3],MATCH(Товары[[#This Row],[SubGroup]],Product_Structure[Subgroup],0)),"")</f>
        <v>Фитинги для шлангов</v>
      </c>
      <c r="I1110" s="36">
        <v>9011</v>
      </c>
      <c r="J1110" s="36" t="str">
        <f>IFERROR(INDEX(Product_Structure[Generic Name (long)],MATCH(Товары[[#This Row],[SubGroup]],Product_Structure[Subgroup],0)),"")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Row],[SubGroup]],DIY!$B:$C,2,FALSE),0)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3" t="str">
        <f>IFERROR(INDEX(Product_Structure[SuperCategory],MATCH(Товары[[#This Row],[SubGroup]],Product_Structure[Subgroup],0)),"")</f>
        <v>W</v>
      </c>
      <c r="D1111" s="113" t="str">
        <f>IFERROR(INDEX(Product_Structure[SuperCategory Name ENG],MATCH(Товары[[#This Row],[SubGroup]],Product_Structure[Subgroup],0)),"")</f>
        <v>Watering (mobile, sprinkler system&amp;MDS, Ponds)</v>
      </c>
      <c r="E11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1" s="113" t="str">
        <f>IFERROR(INDEX(Product_Structure[Product group],MATCH(Товары[[#This Row],[SubGroup]],Product_Structure[Subgroup],0)),"")</f>
        <v>WMO_C</v>
      </c>
      <c r="G1111" s="113" t="str">
        <f>IFERROR(INDEX(Product_Structure[Product group name ENG],MATCH(Товары[[#This Row],[SubGroup]],Product_Structure[Subgroup],0)),"")</f>
        <v>Watering Mobile OGS</v>
      </c>
      <c r="H1111" s="113" t="str">
        <f>IFERROR(INDEX(Product_Structure[Generic Name (long)3],MATCH(Товары[[#This Row],[SubGroup]],Product_Structure[Subgroup],0)),"")</f>
        <v>Фитинги для шлангов</v>
      </c>
      <c r="I1111" s="36">
        <v>9011</v>
      </c>
      <c r="J1111" s="36" t="str">
        <f>IFERROR(INDEX(Product_Structure[Generic Name (long)],MATCH(Товары[[#This Row],[SubGroup]],Product_Structure[Subgroup],0)),"")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Row],[SubGroup]],DIY!$B:$C,2,FALSE),0)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3" t="str">
        <f>IFERROR(INDEX(Product_Structure[SuperCategory],MATCH(Товары[[#This Row],[SubGroup]],Product_Structure[Subgroup],0)),"")</f>
        <v>W</v>
      </c>
      <c r="D1112" s="113" t="str">
        <f>IFERROR(INDEX(Product_Structure[SuperCategory Name ENG],MATCH(Товары[[#This Row],[SubGroup]],Product_Structure[Subgroup],0)),"")</f>
        <v>Watering (mobile, sprinkler system&amp;MDS, Ponds)</v>
      </c>
      <c r="E11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2" s="113" t="str">
        <f>IFERROR(INDEX(Product_Structure[Product group],MATCH(Товары[[#This Row],[SubGroup]],Product_Structure[Subgroup],0)),"")</f>
        <v>WMO_C</v>
      </c>
      <c r="G1112" s="113" t="str">
        <f>IFERROR(INDEX(Product_Structure[Product group name ENG],MATCH(Товары[[#This Row],[SubGroup]],Product_Structure[Subgroup],0)),"")</f>
        <v>Watering Mobile OGS</v>
      </c>
      <c r="H1112" s="113" t="str">
        <f>IFERROR(INDEX(Product_Structure[Generic Name (long)3],MATCH(Товары[[#This Row],[SubGroup]],Product_Structure[Subgroup],0)),"")</f>
        <v>Фитинги для шлангов</v>
      </c>
      <c r="I1112" s="36">
        <v>9011</v>
      </c>
      <c r="J1112" s="36" t="str">
        <f>IFERROR(INDEX(Product_Structure[Generic Name (long)],MATCH(Товары[[#This Row],[SubGroup]],Product_Structure[Subgroup],0)),"")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Row],[SubGroup]],DIY!$B:$C,2,FALSE),0)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3" t="str">
        <f>IFERROR(INDEX(Product_Structure[SuperCategory],MATCH(Товары[[#This Row],[SubGroup]],Product_Structure[Subgroup],0)),"")</f>
        <v>W</v>
      </c>
      <c r="D1113" s="113" t="str">
        <f>IFERROR(INDEX(Product_Structure[SuperCategory Name ENG],MATCH(Товары[[#This Row],[SubGroup]],Product_Structure[Subgroup],0)),"")</f>
        <v>Watering (mobile, sprinkler system&amp;MDS, Ponds)</v>
      </c>
      <c r="E11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3" s="113" t="str">
        <f>IFERROR(INDEX(Product_Structure[Product group],MATCH(Товары[[#This Row],[SubGroup]],Product_Structure[Subgroup],0)),"")</f>
        <v>WMO_C</v>
      </c>
      <c r="G1113" s="113" t="str">
        <f>IFERROR(INDEX(Product_Structure[Product group name ENG],MATCH(Товары[[#This Row],[SubGroup]],Product_Structure[Subgroup],0)),"")</f>
        <v>Watering Mobile OGS</v>
      </c>
      <c r="H1113" s="113" t="str">
        <f>IFERROR(INDEX(Product_Structure[Generic Name (long)3],MATCH(Товары[[#This Row],[SubGroup]],Product_Structure[Subgroup],0)),"")</f>
        <v>Фитинги для шлангов</v>
      </c>
      <c r="I1113" s="36">
        <v>9011</v>
      </c>
      <c r="J1113" s="36" t="str">
        <f>IFERROR(INDEX(Product_Structure[Generic Name (long)],MATCH(Товары[[#This Row],[SubGroup]],Product_Structure[Subgroup],0)),"")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Row],[SubGroup]],DIY!$B:$C,2,FALSE),0)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3" t="str">
        <f>IFERROR(INDEX(Product_Structure[SuperCategory],MATCH(Товары[[#This Row],[SubGroup]],Product_Structure[Subgroup],0)),"")</f>
        <v>W</v>
      </c>
      <c r="D1114" s="113" t="str">
        <f>IFERROR(INDEX(Product_Structure[SuperCategory Name ENG],MATCH(Товары[[#This Row],[SubGroup]],Product_Structure[Subgroup],0)),"")</f>
        <v>Watering (mobile, sprinkler system&amp;MDS, Ponds)</v>
      </c>
      <c r="E11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4" s="113" t="str">
        <f>IFERROR(INDEX(Product_Structure[Product group],MATCH(Товары[[#This Row],[SubGroup]],Product_Structure[Subgroup],0)),"")</f>
        <v>WMO_C</v>
      </c>
      <c r="G1114" s="113" t="str">
        <f>IFERROR(INDEX(Product_Structure[Product group name ENG],MATCH(Товары[[#This Row],[SubGroup]],Product_Structure[Subgroup],0)),"")</f>
        <v>Watering Mobile OGS</v>
      </c>
      <c r="H1114" s="113" t="str">
        <f>IFERROR(INDEX(Product_Structure[Generic Name (long)3],MATCH(Товары[[#This Row],[SubGroup]],Product_Structure[Subgroup],0)),"")</f>
        <v>Фитинги для шлангов</v>
      </c>
      <c r="I1114" s="36">
        <v>9011</v>
      </c>
      <c r="J1114" s="36" t="str">
        <f>IFERROR(INDEX(Product_Structure[Generic Name (long)],MATCH(Товары[[#This Row],[SubGroup]],Product_Structure[Subgroup],0)),"")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Row],[SubGroup]],DIY!$B:$C,2,FALSE),0)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3" t="str">
        <f>IFERROR(INDEX(Product_Structure[SuperCategory],MATCH(Товары[[#This Row],[SubGroup]],Product_Structure[Subgroup],0)),"")</f>
        <v>W</v>
      </c>
      <c r="D1115" s="113" t="str">
        <f>IFERROR(INDEX(Product_Structure[SuperCategory Name ENG],MATCH(Товары[[#This Row],[SubGroup]],Product_Structure[Subgroup],0)),"")</f>
        <v>Watering (mobile, sprinkler system&amp;MDS, Ponds)</v>
      </c>
      <c r="E11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5" s="113" t="str">
        <f>IFERROR(INDEX(Product_Structure[Product group],MATCH(Товары[[#This Row],[SubGroup]],Product_Structure[Subgroup],0)),"")</f>
        <v>WMO_C</v>
      </c>
      <c r="G1115" s="113" t="str">
        <f>IFERROR(INDEX(Product_Structure[Product group name ENG],MATCH(Товары[[#This Row],[SubGroup]],Product_Structure[Subgroup],0)),"")</f>
        <v>Watering Mobile OGS</v>
      </c>
      <c r="H1115" s="113" t="str">
        <f>IFERROR(INDEX(Product_Structure[Generic Name (long)3],MATCH(Товары[[#This Row],[SubGroup]],Product_Structure[Subgroup],0)),"")</f>
        <v>Фитинги для шлангов</v>
      </c>
      <c r="I1115" s="36">
        <v>9011</v>
      </c>
      <c r="J1115" s="36" t="str">
        <f>IFERROR(INDEX(Product_Structure[Generic Name (long)],MATCH(Товары[[#This Row],[SubGroup]],Product_Structure[Subgroup],0)),"")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Row],[SubGroup]],DIY!$B:$C,2,FALSE),0)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3" t="str">
        <f>IFERROR(INDEX(Product_Structure[SuperCategory],MATCH(Товары[[#This Row],[SubGroup]],Product_Structure[Subgroup],0)),"")</f>
        <v>W</v>
      </c>
      <c r="D1116" s="113" t="str">
        <f>IFERROR(INDEX(Product_Structure[SuperCategory Name ENG],MATCH(Товары[[#This Row],[SubGroup]],Product_Structure[Subgroup],0)),"")</f>
        <v>Watering (mobile, sprinkler system&amp;MDS, Ponds)</v>
      </c>
      <c r="E11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6" s="113" t="str">
        <f>IFERROR(INDEX(Product_Structure[Product group],MATCH(Товары[[#This Row],[SubGroup]],Product_Structure[Subgroup],0)),"")</f>
        <v>WMO_C</v>
      </c>
      <c r="G1116" s="113" t="str">
        <f>IFERROR(INDEX(Product_Structure[Product group name ENG],MATCH(Товары[[#This Row],[SubGroup]],Product_Structure[Subgroup],0)),"")</f>
        <v>Watering Mobile OGS</v>
      </c>
      <c r="H1116" s="113" t="str">
        <f>IFERROR(INDEX(Product_Structure[Generic Name (long)3],MATCH(Товары[[#This Row],[SubGroup]],Product_Structure[Subgroup],0)),"")</f>
        <v>Фитинги для шлангов</v>
      </c>
      <c r="I1116" s="36">
        <v>9011</v>
      </c>
      <c r="J1116" s="36" t="str">
        <f>IFERROR(INDEX(Product_Structure[Generic Name (long)],MATCH(Товары[[#This Row],[SubGroup]],Product_Structure[Subgroup],0)),"")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Row],[SubGroup]],DIY!$B:$C,2,FALSE),0)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3" t="str">
        <f>IFERROR(INDEX(Product_Structure[SuperCategory],MATCH(Товары[[#This Row],[SubGroup]],Product_Structure[Subgroup],0)),"")</f>
        <v>W</v>
      </c>
      <c r="D1117" s="113" t="str">
        <f>IFERROR(INDEX(Product_Structure[SuperCategory Name ENG],MATCH(Товары[[#This Row],[SubGroup]],Product_Structure[Subgroup],0)),"")</f>
        <v>Watering (mobile, sprinkler system&amp;MDS, Ponds)</v>
      </c>
      <c r="E11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7" s="113" t="str">
        <f>IFERROR(INDEX(Product_Structure[Product group],MATCH(Товары[[#This Row],[SubGroup]],Product_Structure[Subgroup],0)),"")</f>
        <v>WMO_C</v>
      </c>
      <c r="G1117" s="113" t="str">
        <f>IFERROR(INDEX(Product_Structure[Product group name ENG],MATCH(Товары[[#This Row],[SubGroup]],Product_Structure[Subgroup],0)),"")</f>
        <v>Watering Mobile OGS</v>
      </c>
      <c r="H1117" s="113" t="str">
        <f>IFERROR(INDEX(Product_Structure[Generic Name (long)3],MATCH(Товары[[#This Row],[SubGroup]],Product_Structure[Subgroup],0)),"")</f>
        <v>Фитинги для шлангов</v>
      </c>
      <c r="I1117" s="36">
        <v>9011</v>
      </c>
      <c r="J1117" s="36" t="str">
        <f>IFERROR(INDEX(Product_Structure[Generic Name (long)],MATCH(Товары[[#This Row],[SubGroup]],Product_Structure[Subgroup],0)),"")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Row],[SubGroup]],DIY!$B:$C,2,FALSE),0)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3" t="str">
        <f>IFERROR(INDEX(Product_Structure[SuperCategory],MATCH(Товары[[#This Row],[SubGroup]],Product_Structure[Subgroup],0)),"")</f>
        <v>W</v>
      </c>
      <c r="D1118" s="113" t="str">
        <f>IFERROR(INDEX(Product_Structure[SuperCategory Name ENG],MATCH(Товары[[#This Row],[SubGroup]],Product_Structure[Subgroup],0)),"")</f>
        <v>Watering (mobile, sprinkler system&amp;MDS, Ponds)</v>
      </c>
      <c r="E11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8" s="113" t="str">
        <f>IFERROR(INDEX(Product_Structure[Product group],MATCH(Товары[[#This Row],[SubGroup]],Product_Structure[Subgroup],0)),"")</f>
        <v>WMO_C</v>
      </c>
      <c r="G1118" s="113" t="str">
        <f>IFERROR(INDEX(Product_Structure[Product group name ENG],MATCH(Товары[[#This Row],[SubGroup]],Product_Structure[Subgroup],0)),"")</f>
        <v>Watering Mobile OGS</v>
      </c>
      <c r="H1118" s="113" t="str">
        <f>IFERROR(INDEX(Product_Structure[Generic Name (long)3],MATCH(Товары[[#This Row],[SubGroup]],Product_Structure[Subgroup],0)),"")</f>
        <v>Фитинги для шлангов</v>
      </c>
      <c r="I1118" s="36">
        <v>9011</v>
      </c>
      <c r="J1118" s="36" t="str">
        <f>IFERROR(INDEX(Product_Structure[Generic Name (long)],MATCH(Товары[[#This Row],[SubGroup]],Product_Structure[Subgroup],0)),"")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Row],[SubGroup]],DIY!$B:$C,2,FALSE),0)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3" t="str">
        <f>IFERROR(INDEX(Product_Structure[SuperCategory],MATCH(Товары[[#This Row],[SubGroup]],Product_Structure[Subgroup],0)),"")</f>
        <v>W</v>
      </c>
      <c r="D1119" s="113" t="str">
        <f>IFERROR(INDEX(Product_Structure[SuperCategory Name ENG],MATCH(Товары[[#This Row],[SubGroup]],Product_Structure[Subgroup],0)),"")</f>
        <v>Watering (mobile, sprinkler system&amp;MDS, Ponds)</v>
      </c>
      <c r="E11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19" s="113" t="str">
        <f>IFERROR(INDEX(Product_Structure[Product group],MATCH(Товары[[#This Row],[SubGroup]],Product_Structure[Subgroup],0)),"")</f>
        <v>WMO_C</v>
      </c>
      <c r="G1119" s="113" t="str">
        <f>IFERROR(INDEX(Product_Structure[Product group name ENG],MATCH(Товары[[#This Row],[SubGroup]],Product_Structure[Subgroup],0)),"")</f>
        <v>Watering Mobile OGS</v>
      </c>
      <c r="H1119" s="113" t="str">
        <f>IFERROR(INDEX(Product_Structure[Generic Name (long)3],MATCH(Товары[[#This Row],[SubGroup]],Product_Structure[Subgroup],0)),"")</f>
        <v>Фитинги для шлангов</v>
      </c>
      <c r="I1119" s="36">
        <v>9011</v>
      </c>
      <c r="J1119" s="36" t="str">
        <f>IFERROR(INDEX(Product_Structure[Generic Name (long)],MATCH(Товары[[#This Row],[SubGroup]],Product_Structure[Subgroup],0)),"")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Row],[SubGroup]],DIY!$B:$C,2,FALSE),0)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3" t="str">
        <f>IFERROR(INDEX(Product_Structure[SuperCategory],MATCH(Товары[[#This Row],[SubGroup]],Product_Structure[Subgroup],0)),"")</f>
        <v>W</v>
      </c>
      <c r="D1120" s="113" t="str">
        <f>IFERROR(INDEX(Product_Structure[SuperCategory Name ENG],MATCH(Товары[[#This Row],[SubGroup]],Product_Structure[Subgroup],0)),"")</f>
        <v>Watering (mobile, sprinkler system&amp;MDS, Ponds)</v>
      </c>
      <c r="E11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0" s="113" t="str">
        <f>IFERROR(INDEX(Product_Structure[Product group],MATCH(Товары[[#This Row],[SubGroup]],Product_Structure[Subgroup],0)),"")</f>
        <v>WMO_C</v>
      </c>
      <c r="G1120" s="113" t="str">
        <f>IFERROR(INDEX(Product_Structure[Product group name ENG],MATCH(Товары[[#This Row],[SubGroup]],Product_Structure[Subgroup],0)),"")</f>
        <v>Watering Mobile OGS</v>
      </c>
      <c r="H1120" s="113" t="str">
        <f>IFERROR(INDEX(Product_Structure[Generic Name (long)3],MATCH(Товары[[#This Row],[SubGroup]],Product_Structure[Subgroup],0)),"")</f>
        <v>Фитинги для шлангов</v>
      </c>
      <c r="I1120" s="36">
        <v>9011</v>
      </c>
      <c r="J1120" s="36" t="str">
        <f>IFERROR(INDEX(Product_Structure[Generic Name (long)],MATCH(Товары[[#This Row],[SubGroup]],Product_Structure[Subgroup],0)),"")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Row],[SubGroup]],DIY!$B:$C,2,FALSE),0)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3" t="str">
        <f>IFERROR(INDEX(Product_Structure[SuperCategory],MATCH(Товары[[#This Row],[SubGroup]],Product_Structure[Subgroup],0)),"")</f>
        <v>W</v>
      </c>
      <c r="D1121" s="113" t="str">
        <f>IFERROR(INDEX(Product_Structure[SuperCategory Name ENG],MATCH(Товары[[#This Row],[SubGroup]],Product_Structure[Subgroup],0)),"")</f>
        <v>Watering (mobile, sprinkler system&amp;MDS, Ponds)</v>
      </c>
      <c r="E11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1" s="113" t="str">
        <f>IFERROR(INDEX(Product_Structure[Product group],MATCH(Товары[[#This Row],[SubGroup]],Product_Structure[Subgroup],0)),"")</f>
        <v>WMO_C</v>
      </c>
      <c r="G1121" s="113" t="str">
        <f>IFERROR(INDEX(Product_Structure[Product group name ENG],MATCH(Товары[[#This Row],[SubGroup]],Product_Structure[Subgroup],0)),"")</f>
        <v>Watering Mobile OGS</v>
      </c>
      <c r="H1121" s="113" t="str">
        <f>IFERROR(INDEX(Product_Structure[Generic Name (long)3],MATCH(Товары[[#This Row],[SubGroup]],Product_Structure[Subgroup],0)),"")</f>
        <v>Фитинги для шлангов</v>
      </c>
      <c r="I1121" s="36">
        <v>9011</v>
      </c>
      <c r="J1121" s="36" t="str">
        <f>IFERROR(INDEX(Product_Structure[Generic Name (long)],MATCH(Товары[[#This Row],[SubGroup]],Product_Structure[Subgroup],0)),"")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Row],[SubGroup]],DIY!$B:$C,2,FALSE),0)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3" t="str">
        <f>IFERROR(INDEX(Product_Structure[SuperCategory],MATCH(Товары[[#This Row],[SubGroup]],Product_Structure[Subgroup],0)),"")</f>
        <v>W</v>
      </c>
      <c r="D1122" s="113" t="str">
        <f>IFERROR(INDEX(Product_Structure[SuperCategory Name ENG],MATCH(Товары[[#This Row],[SubGroup]],Product_Structure[Subgroup],0)),"")</f>
        <v>Watering (mobile, sprinkler system&amp;MDS, Ponds)</v>
      </c>
      <c r="E11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2" s="113" t="str">
        <f>IFERROR(INDEX(Product_Structure[Product group],MATCH(Товары[[#This Row],[SubGroup]],Product_Structure[Subgroup],0)),"")</f>
        <v>WMO_C</v>
      </c>
      <c r="G1122" s="113" t="str">
        <f>IFERROR(INDEX(Product_Structure[Product group name ENG],MATCH(Товары[[#This Row],[SubGroup]],Product_Structure[Subgroup],0)),"")</f>
        <v>Watering Mobile OGS</v>
      </c>
      <c r="H1122" s="113" t="str">
        <f>IFERROR(INDEX(Product_Structure[Generic Name (long)3],MATCH(Товары[[#This Row],[SubGroup]],Product_Structure[Subgroup],0)),"")</f>
        <v>Фитинги для шлангов</v>
      </c>
      <c r="I1122" s="36">
        <v>9011</v>
      </c>
      <c r="J1122" s="36" t="str">
        <f>IFERROR(INDEX(Product_Structure[Generic Name (long)],MATCH(Товары[[#This Row],[SubGroup]],Product_Structure[Subgroup],0)),"")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Row],[SubGroup]],DIY!$B:$C,2,FALSE),0)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3" t="str">
        <f>IFERROR(INDEX(Product_Structure[SuperCategory],MATCH(Товары[[#This Row],[SubGroup]],Product_Structure[Subgroup],0)),"")</f>
        <v>W</v>
      </c>
      <c r="D1123" s="113" t="str">
        <f>IFERROR(INDEX(Product_Structure[SuperCategory Name ENG],MATCH(Товары[[#This Row],[SubGroup]],Product_Structure[Subgroup],0)),"")</f>
        <v>Watering (mobile, sprinkler system&amp;MDS, Ponds)</v>
      </c>
      <c r="E11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3" s="113" t="str">
        <f>IFERROR(INDEX(Product_Structure[Product group],MATCH(Товары[[#This Row],[SubGroup]],Product_Structure[Subgroup],0)),"")</f>
        <v>WMO_C</v>
      </c>
      <c r="G1123" s="113" t="str">
        <f>IFERROR(INDEX(Product_Structure[Product group name ENG],MATCH(Товары[[#This Row],[SubGroup]],Product_Structure[Subgroup],0)),"")</f>
        <v>Watering Mobile OGS</v>
      </c>
      <c r="H1123" s="113" t="str">
        <f>IFERROR(INDEX(Product_Structure[Generic Name (long)3],MATCH(Товары[[#This Row],[SubGroup]],Product_Structure[Subgroup],0)),"")</f>
        <v>Фитинги для шлангов</v>
      </c>
      <c r="I1123" s="36">
        <v>9011</v>
      </c>
      <c r="J1123" s="36" t="str">
        <f>IFERROR(INDEX(Product_Structure[Generic Name (long)],MATCH(Товары[[#This Row],[SubGroup]],Product_Structure[Subgroup],0)),"")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Row],[SubGroup]],DIY!$B:$C,2,FALSE),0)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3" t="str">
        <f>IFERROR(INDEX(Product_Structure[SuperCategory],MATCH(Товары[[#This Row],[SubGroup]],Product_Structure[Subgroup],0)),"")</f>
        <v>W</v>
      </c>
      <c r="D1124" s="113" t="str">
        <f>IFERROR(INDEX(Product_Structure[SuperCategory Name ENG],MATCH(Товары[[#This Row],[SubGroup]],Product_Structure[Subgroup],0)),"")</f>
        <v>Watering (mobile, sprinkler system&amp;MDS, Ponds)</v>
      </c>
      <c r="E11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4" s="113" t="str">
        <f>IFERROR(INDEX(Product_Structure[Product group],MATCH(Товары[[#This Row],[SubGroup]],Product_Structure[Subgroup],0)),"")</f>
        <v>WMO_C</v>
      </c>
      <c r="G1124" s="113" t="str">
        <f>IFERROR(INDEX(Product_Structure[Product group name ENG],MATCH(Товары[[#This Row],[SubGroup]],Product_Structure[Subgroup],0)),"")</f>
        <v>Watering Mobile OGS</v>
      </c>
      <c r="H1124" s="113" t="str">
        <f>IFERROR(INDEX(Product_Structure[Generic Name (long)3],MATCH(Товары[[#This Row],[SubGroup]],Product_Structure[Subgroup],0)),"")</f>
        <v>Фитинги для шлангов</v>
      </c>
      <c r="I1124" s="36">
        <v>9011</v>
      </c>
      <c r="J1124" s="36" t="str">
        <f>IFERROR(INDEX(Product_Structure[Generic Name (long)],MATCH(Товары[[#This Row],[SubGroup]],Product_Structure[Subgroup],0)),"")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Row],[SubGroup]],DIY!$B:$C,2,FALSE),0)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3" t="str">
        <f>IFERROR(INDEX(Product_Structure[SuperCategory],MATCH(Товары[[#This Row],[SubGroup]],Product_Structure[Subgroup],0)),"")</f>
        <v>W</v>
      </c>
      <c r="D1125" s="113" t="str">
        <f>IFERROR(INDEX(Product_Structure[SuperCategory Name ENG],MATCH(Товары[[#This Row],[SubGroup]],Product_Structure[Subgroup],0)),"")</f>
        <v>Watering (mobile, sprinkler system&amp;MDS, Ponds)</v>
      </c>
      <c r="E11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5" s="113" t="str">
        <f>IFERROR(INDEX(Product_Structure[Product group],MATCH(Товары[[#This Row],[SubGroup]],Product_Structure[Subgroup],0)),"")</f>
        <v>WMO_C</v>
      </c>
      <c r="G1125" s="113" t="str">
        <f>IFERROR(INDEX(Product_Structure[Product group name ENG],MATCH(Товары[[#This Row],[SubGroup]],Product_Structure[Subgroup],0)),"")</f>
        <v>Watering Mobile OGS</v>
      </c>
      <c r="H1125" s="113" t="str">
        <f>IFERROR(INDEX(Product_Structure[Generic Name (long)3],MATCH(Товары[[#This Row],[SubGroup]],Product_Structure[Subgroup],0)),"")</f>
        <v>Фитинги для шлангов</v>
      </c>
      <c r="I1125" s="36">
        <v>9011</v>
      </c>
      <c r="J1125" s="36" t="str">
        <f>IFERROR(INDEX(Product_Structure[Generic Name (long)],MATCH(Товары[[#This Row],[SubGroup]],Product_Structure[Subgroup],0)),"")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Row],[SubGroup]],DIY!$B:$C,2,FALSE),0)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3" t="str">
        <f>IFERROR(INDEX(Product_Structure[SuperCategory],MATCH(Товары[[#This Row],[SubGroup]],Product_Structure[Subgroup],0)),"")</f>
        <v>W</v>
      </c>
      <c r="D1126" s="113" t="str">
        <f>IFERROR(INDEX(Product_Structure[SuperCategory Name ENG],MATCH(Товары[[#This Row],[SubGroup]],Product_Structure[Subgroup],0)),"")</f>
        <v>Watering (mobile, sprinkler system&amp;MDS, Ponds)</v>
      </c>
      <c r="E11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6" s="113" t="str">
        <f>IFERROR(INDEX(Product_Structure[Product group],MATCH(Товары[[#This Row],[SubGroup]],Product_Structure[Subgroup],0)),"")</f>
        <v>WMO_C</v>
      </c>
      <c r="G1126" s="113" t="str">
        <f>IFERROR(INDEX(Product_Structure[Product group name ENG],MATCH(Товары[[#This Row],[SubGroup]],Product_Structure[Subgroup],0)),"")</f>
        <v>Watering Mobile OGS</v>
      </c>
      <c r="H1126" s="113" t="str">
        <f>IFERROR(INDEX(Product_Structure[Generic Name (long)3],MATCH(Товары[[#This Row],[SubGroup]],Product_Structure[Subgroup],0)),"")</f>
        <v>Фитинги для шлангов</v>
      </c>
      <c r="I1126" s="36">
        <v>9011</v>
      </c>
      <c r="J1126" s="36" t="str">
        <f>IFERROR(INDEX(Product_Structure[Generic Name (long)],MATCH(Товары[[#This Row],[SubGroup]],Product_Structure[Subgroup],0)),"")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Row],[SubGroup]],DIY!$B:$C,2,FALSE),0)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3" t="str">
        <f>IFERROR(INDEX(Product_Structure[SuperCategory],MATCH(Товары[[#This Row],[SubGroup]],Product_Structure[Subgroup],0)),"")</f>
        <v>W</v>
      </c>
      <c r="D1127" s="113" t="str">
        <f>IFERROR(INDEX(Product_Structure[SuperCategory Name ENG],MATCH(Товары[[#This Row],[SubGroup]],Product_Structure[Subgroup],0)),"")</f>
        <v>Watering (mobile, sprinkler system&amp;MDS, Ponds)</v>
      </c>
      <c r="E11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7" s="113" t="str">
        <f>IFERROR(INDEX(Product_Structure[Product group],MATCH(Товары[[#This Row],[SubGroup]],Product_Structure[Subgroup],0)),"")</f>
        <v>WMO_C</v>
      </c>
      <c r="G1127" s="113" t="str">
        <f>IFERROR(INDEX(Product_Structure[Product group name ENG],MATCH(Товары[[#This Row],[SubGroup]],Product_Structure[Subgroup],0)),"")</f>
        <v>Watering Mobile OGS</v>
      </c>
      <c r="H1127" s="113" t="str">
        <f>IFERROR(INDEX(Product_Structure[Generic Name (long)3],MATCH(Товары[[#This Row],[SubGroup]],Product_Structure[Subgroup],0)),"")</f>
        <v>Фитинги для шлангов</v>
      </c>
      <c r="I1127" s="36">
        <v>9011</v>
      </c>
      <c r="J1127" s="36" t="str">
        <f>IFERROR(INDEX(Product_Structure[Generic Name (long)],MATCH(Товары[[#This Row],[SubGroup]],Product_Structure[Subgroup],0)),"")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Row],[SubGroup]],DIY!$B:$C,2,FALSE),0)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3" t="str">
        <f>IFERROR(INDEX(Product_Structure[SuperCategory],MATCH(Товары[[#This Row],[SubGroup]],Product_Structure[Subgroup],0)),"")</f>
        <v>W</v>
      </c>
      <c r="D1128" s="113" t="str">
        <f>IFERROR(INDEX(Product_Structure[SuperCategory Name ENG],MATCH(Товары[[#This Row],[SubGroup]],Product_Structure[Subgroup],0)),"")</f>
        <v>Watering (mobile, sprinkler system&amp;MDS, Ponds)</v>
      </c>
      <c r="E11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8" s="113" t="str">
        <f>IFERROR(INDEX(Product_Structure[Product group],MATCH(Товары[[#This Row],[SubGroup]],Product_Structure[Subgroup],0)),"")</f>
        <v>WMO_C</v>
      </c>
      <c r="G1128" s="113" t="str">
        <f>IFERROR(INDEX(Product_Structure[Product group name ENG],MATCH(Товары[[#This Row],[SubGroup]],Product_Structure[Subgroup],0)),"")</f>
        <v>Watering Mobile OGS</v>
      </c>
      <c r="H1128" s="113" t="str">
        <f>IFERROR(INDEX(Product_Structure[Generic Name (long)3],MATCH(Товары[[#This Row],[SubGroup]],Product_Structure[Subgroup],0)),"")</f>
        <v>Фитинги для шлангов</v>
      </c>
      <c r="I1128" s="36">
        <v>9011</v>
      </c>
      <c r="J1128" s="36" t="str">
        <f>IFERROR(INDEX(Product_Structure[Generic Name (long)],MATCH(Товары[[#This Row],[SubGroup]],Product_Structure[Subgroup],0)),"")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Row],[SubGroup]],DIY!$B:$C,2,FALSE),0)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3" t="str">
        <f>IFERROR(INDEX(Product_Structure[SuperCategory],MATCH(Товары[[#This Row],[SubGroup]],Product_Structure[Subgroup],0)),"")</f>
        <v>W</v>
      </c>
      <c r="D1129" s="113" t="str">
        <f>IFERROR(INDEX(Product_Structure[SuperCategory Name ENG],MATCH(Товары[[#This Row],[SubGroup]],Product_Structure[Subgroup],0)),"")</f>
        <v>Watering (mobile, sprinkler system&amp;MDS, Ponds)</v>
      </c>
      <c r="E11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29" s="113" t="str">
        <f>IFERROR(INDEX(Product_Structure[Product group],MATCH(Товары[[#This Row],[SubGroup]],Product_Structure[Subgroup],0)),"")</f>
        <v>WMO_C</v>
      </c>
      <c r="G1129" s="113" t="str">
        <f>IFERROR(INDEX(Product_Structure[Product group name ENG],MATCH(Товары[[#This Row],[SubGroup]],Product_Structure[Subgroup],0)),"")</f>
        <v>Watering Mobile OGS</v>
      </c>
      <c r="H1129" s="113" t="str">
        <f>IFERROR(INDEX(Product_Structure[Generic Name (long)3],MATCH(Товары[[#This Row],[SubGroup]],Product_Structure[Subgroup],0)),"")</f>
        <v>Фитинги для шлангов</v>
      </c>
      <c r="I1129" s="36">
        <v>9011</v>
      </c>
      <c r="J1129" s="36" t="str">
        <f>IFERROR(INDEX(Product_Structure[Generic Name (long)],MATCH(Товары[[#This Row],[SubGroup]],Product_Structure[Subgroup],0)),"")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Row],[SubGroup]],DIY!$B:$C,2,FALSE),0)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3" t="str">
        <f>IFERROR(INDEX(Product_Structure[SuperCategory],MATCH(Товары[[#This Row],[SubGroup]],Product_Structure[Subgroup],0)),"")</f>
        <v>W</v>
      </c>
      <c r="D1130" s="113" t="str">
        <f>IFERROR(INDEX(Product_Structure[SuperCategory Name ENG],MATCH(Товары[[#This Row],[SubGroup]],Product_Structure[Subgroup],0)),"")</f>
        <v>Watering (mobile, sprinkler system&amp;MDS, Ponds)</v>
      </c>
      <c r="E11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0" s="113" t="str">
        <f>IFERROR(INDEX(Product_Structure[Product group],MATCH(Товары[[#This Row],[SubGroup]],Product_Structure[Subgroup],0)),"")</f>
        <v>WMO_C</v>
      </c>
      <c r="G1130" s="113" t="str">
        <f>IFERROR(INDEX(Product_Structure[Product group name ENG],MATCH(Товары[[#This Row],[SubGroup]],Product_Structure[Subgroup],0)),"")</f>
        <v>Watering Mobile OGS</v>
      </c>
      <c r="H1130" s="113" t="str">
        <f>IFERROR(INDEX(Product_Structure[Generic Name (long)3],MATCH(Товары[[#This Row],[SubGroup]],Product_Structure[Subgroup],0)),"")</f>
        <v>Фитинги для шлангов</v>
      </c>
      <c r="I1130" s="36">
        <v>9011</v>
      </c>
      <c r="J1130" s="36" t="str">
        <f>IFERROR(INDEX(Product_Structure[Generic Name (long)],MATCH(Товары[[#This Row],[SubGroup]],Product_Structure[Subgroup],0)),"")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Row],[SubGroup]],DIY!$B:$C,2,FALSE),0)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3" t="str">
        <f>IFERROR(INDEX(Product_Structure[SuperCategory],MATCH(Товары[[#This Row],[SubGroup]],Product_Structure[Subgroup],0)),"")</f>
        <v>W</v>
      </c>
      <c r="D1131" s="113" t="str">
        <f>IFERROR(INDEX(Product_Structure[SuperCategory Name ENG],MATCH(Товары[[#This Row],[SubGroup]],Product_Structure[Subgroup],0)),"")</f>
        <v>Watering (mobile, sprinkler system&amp;MDS, Ponds)</v>
      </c>
      <c r="E11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1" s="113" t="str">
        <f>IFERROR(INDEX(Product_Structure[Product group],MATCH(Товары[[#This Row],[SubGroup]],Product_Structure[Subgroup],0)),"")</f>
        <v>WMO_C</v>
      </c>
      <c r="G1131" s="113" t="str">
        <f>IFERROR(INDEX(Product_Structure[Product group name ENG],MATCH(Товары[[#This Row],[SubGroup]],Product_Structure[Subgroup],0)),"")</f>
        <v>Watering Mobile OGS</v>
      </c>
      <c r="H1131" s="113" t="str">
        <f>IFERROR(INDEX(Product_Structure[Generic Name (long)3],MATCH(Товары[[#This Row],[SubGroup]],Product_Structure[Subgroup],0)),"")</f>
        <v>Фитинги для шлангов</v>
      </c>
      <c r="I1131" s="36">
        <v>9011</v>
      </c>
      <c r="J1131" s="36" t="str">
        <f>IFERROR(INDEX(Product_Structure[Generic Name (long)],MATCH(Товары[[#This Row],[SubGroup]],Product_Structure[Subgroup],0)),"")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Row],[SubGroup]],DIY!$B:$C,2,FALSE),0)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3" t="str">
        <f>IFERROR(INDEX(Product_Structure[SuperCategory],MATCH(Товары[[#This Row],[SubGroup]],Product_Structure[Subgroup],0)),"")</f>
        <v>W</v>
      </c>
      <c r="D1132" s="113" t="str">
        <f>IFERROR(INDEX(Product_Structure[SuperCategory Name ENG],MATCH(Товары[[#This Row],[SubGroup]],Product_Structure[Subgroup],0)),"")</f>
        <v>Watering (mobile, sprinkler system&amp;MDS, Ponds)</v>
      </c>
      <c r="E11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2" s="113" t="str">
        <f>IFERROR(INDEX(Product_Structure[Product group],MATCH(Товары[[#This Row],[SubGroup]],Product_Structure[Subgroup],0)),"")</f>
        <v>WMO_C</v>
      </c>
      <c r="G1132" s="113" t="str">
        <f>IFERROR(INDEX(Product_Structure[Product group name ENG],MATCH(Товары[[#This Row],[SubGroup]],Product_Structure[Subgroup],0)),"")</f>
        <v>Watering Mobile OGS</v>
      </c>
      <c r="H1132" s="113" t="str">
        <f>IFERROR(INDEX(Product_Structure[Generic Name (long)3],MATCH(Товары[[#This Row],[SubGroup]],Product_Structure[Subgroup],0)),"")</f>
        <v>Фитинги для шлангов</v>
      </c>
      <c r="I1132" s="36">
        <v>9011</v>
      </c>
      <c r="J1132" s="36" t="str">
        <f>IFERROR(INDEX(Product_Structure[Generic Name (long)],MATCH(Товары[[#This Row],[SubGroup]],Product_Structure[Subgroup],0)),"")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Row],[SubGroup]],DIY!$B:$C,2,FALSE),0)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3" t="str">
        <f>IFERROR(INDEX(Product_Structure[SuperCategory],MATCH(Товары[[#This Row],[SubGroup]],Product_Structure[Subgroup],0)),"")</f>
        <v>W</v>
      </c>
      <c r="D1133" s="113" t="str">
        <f>IFERROR(INDEX(Product_Structure[SuperCategory Name ENG],MATCH(Товары[[#This Row],[SubGroup]],Product_Structure[Subgroup],0)),"")</f>
        <v>Watering (mobile, sprinkler system&amp;MDS, Ponds)</v>
      </c>
      <c r="E11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3" s="113" t="str">
        <f>IFERROR(INDEX(Product_Structure[Product group],MATCH(Товары[[#This Row],[SubGroup]],Product_Structure[Subgroup],0)),"")</f>
        <v>WMO_C</v>
      </c>
      <c r="G1133" s="113" t="str">
        <f>IFERROR(INDEX(Product_Structure[Product group name ENG],MATCH(Товары[[#This Row],[SubGroup]],Product_Structure[Subgroup],0)),"")</f>
        <v>Watering Mobile OGS</v>
      </c>
      <c r="H1133" s="113" t="str">
        <f>IFERROR(INDEX(Product_Structure[Generic Name (long)3],MATCH(Товары[[#This Row],[SubGroup]],Product_Structure[Subgroup],0)),"")</f>
        <v>Фитинги для шлангов</v>
      </c>
      <c r="I1133" s="36">
        <v>9011</v>
      </c>
      <c r="J1133" s="36" t="str">
        <f>IFERROR(INDEX(Product_Structure[Generic Name (long)],MATCH(Товары[[#This Row],[SubGroup]],Product_Structure[Subgroup],0)),"")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Row],[SubGroup]],DIY!$B:$C,2,FALSE),0)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3" t="str">
        <f>IFERROR(INDEX(Product_Structure[SuperCategory],MATCH(Товары[[#This Row],[SubGroup]],Product_Structure[Subgroup],0)),"")</f>
        <v>W</v>
      </c>
      <c r="D1134" s="113" t="str">
        <f>IFERROR(INDEX(Product_Structure[SuperCategory Name ENG],MATCH(Товары[[#This Row],[SubGroup]],Product_Structure[Subgroup],0)),"")</f>
        <v>Watering (mobile, sprinkler system&amp;MDS, Ponds)</v>
      </c>
      <c r="E11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4" s="113" t="str">
        <f>IFERROR(INDEX(Product_Structure[Product group],MATCH(Товары[[#This Row],[SubGroup]],Product_Structure[Subgroup],0)),"")</f>
        <v>WMO_C</v>
      </c>
      <c r="G1134" s="113" t="str">
        <f>IFERROR(INDEX(Product_Structure[Product group name ENG],MATCH(Товары[[#This Row],[SubGroup]],Product_Structure[Subgroup],0)),"")</f>
        <v>Watering Mobile OGS</v>
      </c>
      <c r="H1134" s="113" t="str">
        <f>IFERROR(INDEX(Product_Structure[Generic Name (long)3],MATCH(Товары[[#This Row],[SubGroup]],Product_Structure[Subgroup],0)),"")</f>
        <v>Фитинги для шлангов</v>
      </c>
      <c r="I1134" s="36">
        <v>9011</v>
      </c>
      <c r="J1134" s="36" t="str">
        <f>IFERROR(INDEX(Product_Structure[Generic Name (long)],MATCH(Товары[[#This Row],[SubGroup]],Product_Structure[Subgroup],0)),"")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Row],[SubGroup]],DIY!$B:$C,2,FALSE),0)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3" t="str">
        <f>IFERROR(INDEX(Product_Structure[SuperCategory],MATCH(Товары[[#This Row],[SubGroup]],Product_Structure[Subgroup],0)),"")</f>
        <v>W</v>
      </c>
      <c r="D1135" s="113" t="str">
        <f>IFERROR(INDEX(Product_Structure[SuperCategory Name ENG],MATCH(Товары[[#This Row],[SubGroup]],Product_Structure[Subgroup],0)),"")</f>
        <v>Watering (mobile, sprinkler system&amp;MDS, Ponds)</v>
      </c>
      <c r="E11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5" s="113" t="str">
        <f>IFERROR(INDEX(Product_Structure[Product group],MATCH(Товары[[#This Row],[SubGroup]],Product_Structure[Subgroup],0)),"")</f>
        <v>WMO_C</v>
      </c>
      <c r="G1135" s="113" t="str">
        <f>IFERROR(INDEX(Product_Structure[Product group name ENG],MATCH(Товары[[#This Row],[SubGroup]],Product_Structure[Subgroup],0)),"")</f>
        <v>Watering Mobile OGS</v>
      </c>
      <c r="H1135" s="113" t="str">
        <f>IFERROR(INDEX(Product_Structure[Generic Name (long)3],MATCH(Товары[[#This Row],[SubGroup]],Product_Structure[Subgroup],0)),"")</f>
        <v>Фитинги для шлангов</v>
      </c>
      <c r="I1135" s="36">
        <v>9011</v>
      </c>
      <c r="J1135" s="36" t="str">
        <f>IFERROR(INDEX(Product_Structure[Generic Name (long)],MATCH(Товары[[#This Row],[SubGroup]],Product_Structure[Subgroup],0)),"")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Row],[SubGroup]],DIY!$B:$C,2,FALSE),0)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3" t="str">
        <f>IFERROR(INDEX(Product_Structure[SuperCategory],MATCH(Товары[[#This Row],[SubGroup]],Product_Structure[Subgroup],0)),"")</f>
        <v>W</v>
      </c>
      <c r="D1136" s="113" t="str">
        <f>IFERROR(INDEX(Product_Structure[SuperCategory Name ENG],MATCH(Товары[[#This Row],[SubGroup]],Product_Structure[Subgroup],0)),"")</f>
        <v>Watering (mobile, sprinkler system&amp;MDS, Ponds)</v>
      </c>
      <c r="E11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6" s="113" t="str">
        <f>IFERROR(INDEX(Product_Structure[Product group],MATCH(Товары[[#This Row],[SubGroup]],Product_Structure[Subgroup],0)),"")</f>
        <v>WMO_C</v>
      </c>
      <c r="G1136" s="113" t="str">
        <f>IFERROR(INDEX(Product_Structure[Product group name ENG],MATCH(Товары[[#This Row],[SubGroup]],Product_Structure[Subgroup],0)),"")</f>
        <v>Watering Mobile OGS</v>
      </c>
      <c r="H1136" s="113" t="str">
        <f>IFERROR(INDEX(Product_Structure[Generic Name (long)3],MATCH(Товары[[#This Row],[SubGroup]],Product_Structure[Subgroup],0)),"")</f>
        <v>Фитинги для шлангов</v>
      </c>
      <c r="I1136" s="36">
        <v>9011</v>
      </c>
      <c r="J1136" s="36" t="str">
        <f>IFERROR(INDEX(Product_Structure[Generic Name (long)],MATCH(Товары[[#This Row],[SubGroup]],Product_Structure[Subgroup],0)),"")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Row],[SubGroup]],DIY!$B:$C,2,FALSE),0)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3" t="str">
        <f>IFERROR(INDEX(Product_Structure[SuperCategory],MATCH(Товары[[#This Row],[SubGroup]],Product_Structure[Subgroup],0)),"")</f>
        <v>W</v>
      </c>
      <c r="D1137" s="113" t="str">
        <f>IFERROR(INDEX(Product_Structure[SuperCategory Name ENG],MATCH(Товары[[#This Row],[SubGroup]],Product_Structure[Subgroup],0)),"")</f>
        <v>Watering (mobile, sprinkler system&amp;MDS, Ponds)</v>
      </c>
      <c r="E11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7" s="113" t="str">
        <f>IFERROR(INDEX(Product_Structure[Product group],MATCH(Товары[[#This Row],[SubGroup]],Product_Structure[Subgroup],0)),"")</f>
        <v>WMO_C</v>
      </c>
      <c r="G1137" s="113" t="str">
        <f>IFERROR(INDEX(Product_Structure[Product group name ENG],MATCH(Товары[[#This Row],[SubGroup]],Product_Structure[Subgroup],0)),"")</f>
        <v>Watering Mobile OGS</v>
      </c>
      <c r="H1137" s="113" t="str">
        <f>IFERROR(INDEX(Product_Structure[Generic Name (long)3],MATCH(Товары[[#This Row],[SubGroup]],Product_Structure[Subgroup],0)),"")</f>
        <v>Фитинги для шлангов</v>
      </c>
      <c r="I1137" s="36">
        <v>9011</v>
      </c>
      <c r="J1137" s="36" t="str">
        <f>IFERROR(INDEX(Product_Structure[Generic Name (long)],MATCH(Товары[[#This Row],[SubGroup]],Product_Structure[Subgroup],0)),"")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Row],[SubGroup]],DIY!$B:$C,2,FALSE),0)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3" t="str">
        <f>IFERROR(INDEX(Product_Structure[SuperCategory],MATCH(Товары[[#This Row],[SubGroup]],Product_Structure[Subgroup],0)),"")</f>
        <v>W</v>
      </c>
      <c r="D1138" s="113" t="str">
        <f>IFERROR(INDEX(Product_Structure[SuperCategory Name ENG],MATCH(Товары[[#This Row],[SubGroup]],Product_Structure[Subgroup],0)),"")</f>
        <v>Watering (mobile, sprinkler system&amp;MDS, Ponds)</v>
      </c>
      <c r="E11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8" s="113" t="str">
        <f>IFERROR(INDEX(Product_Structure[Product group],MATCH(Товары[[#This Row],[SubGroup]],Product_Structure[Subgroup],0)),"")</f>
        <v>WMO_C</v>
      </c>
      <c r="G1138" s="113" t="str">
        <f>IFERROR(INDEX(Product_Structure[Product group name ENG],MATCH(Товары[[#This Row],[SubGroup]],Product_Structure[Subgroup],0)),"")</f>
        <v>Watering Mobile OGS</v>
      </c>
      <c r="H1138" s="113" t="str">
        <f>IFERROR(INDEX(Product_Structure[Generic Name (long)3],MATCH(Товары[[#This Row],[SubGroup]],Product_Structure[Subgroup],0)),"")</f>
        <v>Фитинги для шлангов</v>
      </c>
      <c r="I1138" s="36">
        <v>9011</v>
      </c>
      <c r="J1138" s="36" t="str">
        <f>IFERROR(INDEX(Product_Structure[Generic Name (long)],MATCH(Товары[[#This Row],[SubGroup]],Product_Structure[Subgroup],0)),"")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Row],[SubGroup]],DIY!$B:$C,2,FALSE),0)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3" t="str">
        <f>IFERROR(INDEX(Product_Structure[SuperCategory],MATCH(Товары[[#This Row],[SubGroup]],Product_Structure[Subgroup],0)),"")</f>
        <v>W</v>
      </c>
      <c r="D1139" s="113" t="str">
        <f>IFERROR(INDEX(Product_Structure[SuperCategory Name ENG],MATCH(Товары[[#This Row],[SubGroup]],Product_Structure[Subgroup],0)),"")</f>
        <v>Watering (mobile, sprinkler system&amp;MDS, Ponds)</v>
      </c>
      <c r="E11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39" s="113" t="str">
        <f>IFERROR(INDEX(Product_Structure[Product group],MATCH(Товары[[#This Row],[SubGroup]],Product_Structure[Subgroup],0)),"")</f>
        <v>WMO_C</v>
      </c>
      <c r="G1139" s="113" t="str">
        <f>IFERROR(INDEX(Product_Structure[Product group name ENG],MATCH(Товары[[#This Row],[SubGroup]],Product_Structure[Subgroup],0)),"")</f>
        <v>Watering Mobile OGS</v>
      </c>
      <c r="H1139" s="113" t="str">
        <f>IFERROR(INDEX(Product_Structure[Generic Name (long)3],MATCH(Товары[[#This Row],[SubGroup]],Product_Structure[Subgroup],0)),"")</f>
        <v>Фитинги для шлангов</v>
      </c>
      <c r="I1139" s="36">
        <v>9011</v>
      </c>
      <c r="J1139" s="36" t="str">
        <f>IFERROR(INDEX(Product_Structure[Generic Name (long)],MATCH(Товары[[#This Row],[SubGroup]],Product_Structure[Subgroup],0)),"")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Row],[SubGroup]],DIY!$B:$C,2,FALSE),0)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3" t="str">
        <f>IFERROR(INDEX(Product_Structure[SuperCategory],MATCH(Товары[[#This Row],[SubGroup]],Product_Structure[Subgroup],0)),"")</f>
        <v>W</v>
      </c>
      <c r="D1140" s="113" t="str">
        <f>IFERROR(INDEX(Product_Structure[SuperCategory Name ENG],MATCH(Товары[[#This Row],[SubGroup]],Product_Structure[Subgroup],0)),"")</f>
        <v>Watering (mobile, sprinkler system&amp;MDS, Ponds)</v>
      </c>
      <c r="E11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0" s="113" t="str">
        <f>IFERROR(INDEX(Product_Structure[Product group],MATCH(Товары[[#This Row],[SubGroup]],Product_Structure[Subgroup],0)),"")</f>
        <v>WMO_C</v>
      </c>
      <c r="G1140" s="113" t="str">
        <f>IFERROR(INDEX(Product_Structure[Product group name ENG],MATCH(Товары[[#This Row],[SubGroup]],Product_Structure[Subgroup],0)),"")</f>
        <v>Watering Mobile OGS</v>
      </c>
      <c r="H1140" s="113" t="str">
        <f>IFERROR(INDEX(Product_Structure[Generic Name (long)3],MATCH(Товары[[#This Row],[SubGroup]],Product_Structure[Subgroup],0)),"")</f>
        <v>Фитинги для шлангов</v>
      </c>
      <c r="I1140" s="36">
        <v>9011</v>
      </c>
      <c r="J1140" s="36" t="str">
        <f>IFERROR(INDEX(Product_Structure[Generic Name (long)],MATCH(Товары[[#This Row],[SubGroup]],Product_Structure[Subgroup],0)),"")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Row],[SubGroup]],DIY!$B:$C,2,FALSE),0)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3" t="str">
        <f>IFERROR(INDEX(Product_Structure[SuperCategory],MATCH(Товары[[#This Row],[SubGroup]],Product_Structure[Subgroup],0)),"")</f>
        <v>W</v>
      </c>
      <c r="D1141" s="113" t="str">
        <f>IFERROR(INDEX(Product_Structure[SuperCategory Name ENG],MATCH(Товары[[#This Row],[SubGroup]],Product_Structure[Subgroup],0)),"")</f>
        <v>Watering (mobile, sprinkler system&amp;MDS, Ponds)</v>
      </c>
      <c r="E11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1" s="113" t="str">
        <f>IFERROR(INDEX(Product_Structure[Product group],MATCH(Товары[[#This Row],[SubGroup]],Product_Structure[Subgroup],0)),"")</f>
        <v>WMO_C</v>
      </c>
      <c r="G1141" s="113" t="str">
        <f>IFERROR(INDEX(Product_Structure[Product group name ENG],MATCH(Товары[[#This Row],[SubGroup]],Product_Structure[Subgroup],0)),"")</f>
        <v>Watering Mobile OGS</v>
      </c>
      <c r="H1141" s="113" t="str">
        <f>IFERROR(INDEX(Product_Structure[Generic Name (long)3],MATCH(Товары[[#This Row],[SubGroup]],Product_Structure[Subgroup],0)),"")</f>
        <v>Фитинги для шлангов</v>
      </c>
      <c r="I1141" s="36">
        <v>9011</v>
      </c>
      <c r="J1141" s="36" t="str">
        <f>IFERROR(INDEX(Product_Structure[Generic Name (long)],MATCH(Товары[[#This Row],[SubGroup]],Product_Structure[Subgroup],0)),"")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Row],[SubGroup]],DIY!$B:$C,2,FALSE),0)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3" t="str">
        <f>IFERROR(INDEX(Product_Structure[SuperCategory],MATCH(Товары[[#This Row],[SubGroup]],Product_Structure[Subgroup],0)),"")</f>
        <v>W</v>
      </c>
      <c r="D1142" s="113" t="str">
        <f>IFERROR(INDEX(Product_Structure[SuperCategory Name ENG],MATCH(Товары[[#This Row],[SubGroup]],Product_Structure[Subgroup],0)),"")</f>
        <v>Watering (mobile, sprinkler system&amp;MDS, Ponds)</v>
      </c>
      <c r="E11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2" s="113" t="str">
        <f>IFERROR(INDEX(Product_Structure[Product group],MATCH(Товары[[#This Row],[SubGroup]],Product_Structure[Subgroup],0)),"")</f>
        <v>WMO_C</v>
      </c>
      <c r="G1142" s="113" t="str">
        <f>IFERROR(INDEX(Product_Structure[Product group name ENG],MATCH(Товары[[#This Row],[SubGroup]],Product_Structure[Subgroup],0)),"")</f>
        <v>Watering Mobile OGS</v>
      </c>
      <c r="H1142" s="113" t="str">
        <f>IFERROR(INDEX(Product_Structure[Generic Name (long)3],MATCH(Товары[[#This Row],[SubGroup]],Product_Structure[Subgroup],0)),"")</f>
        <v>Фитинги для шлангов</v>
      </c>
      <c r="I1142" s="36">
        <v>9011</v>
      </c>
      <c r="J1142" s="36" t="str">
        <f>IFERROR(INDEX(Product_Structure[Generic Name (long)],MATCH(Товары[[#This Row],[SubGroup]],Product_Structure[Subgroup],0)),"")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Row],[SubGroup]],DIY!$B:$C,2,FALSE),0)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3" t="str">
        <f>IFERROR(INDEX(Product_Structure[SuperCategory],MATCH(Товары[[#This Row],[SubGroup]],Product_Structure[Subgroup],0)),"")</f>
        <v>W</v>
      </c>
      <c r="D1143" s="113" t="str">
        <f>IFERROR(INDEX(Product_Structure[SuperCategory Name ENG],MATCH(Товары[[#This Row],[SubGroup]],Product_Structure[Subgroup],0)),"")</f>
        <v>Watering (mobile, sprinkler system&amp;MDS, Ponds)</v>
      </c>
      <c r="E11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3" s="113" t="str">
        <f>IFERROR(INDEX(Product_Structure[Product group],MATCH(Товары[[#This Row],[SubGroup]],Product_Structure[Subgroup],0)),"")</f>
        <v>WMO_C</v>
      </c>
      <c r="G1143" s="113" t="str">
        <f>IFERROR(INDEX(Product_Structure[Product group name ENG],MATCH(Товары[[#This Row],[SubGroup]],Product_Structure[Subgroup],0)),"")</f>
        <v>Watering Mobile OGS</v>
      </c>
      <c r="H1143" s="113" t="str">
        <f>IFERROR(INDEX(Product_Structure[Generic Name (long)3],MATCH(Товары[[#This Row],[SubGroup]],Product_Structure[Subgroup],0)),"")</f>
        <v>Фитинги для шлангов</v>
      </c>
      <c r="I1143" s="36">
        <v>9011</v>
      </c>
      <c r="J1143" s="36" t="str">
        <f>IFERROR(INDEX(Product_Structure[Generic Name (long)],MATCH(Товары[[#This Row],[SubGroup]],Product_Structure[Subgroup],0)),"")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Row],[SubGroup]],DIY!$B:$C,2,FALSE),0)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3" t="str">
        <f>IFERROR(INDEX(Product_Structure[SuperCategory],MATCH(Товары[[#This Row],[SubGroup]],Product_Structure[Subgroup],0)),"")</f>
        <v>W</v>
      </c>
      <c r="D1144" s="113" t="str">
        <f>IFERROR(INDEX(Product_Structure[SuperCategory Name ENG],MATCH(Товары[[#This Row],[SubGroup]],Product_Structure[Subgroup],0)),"")</f>
        <v>Watering (mobile, sprinkler system&amp;MDS, Ponds)</v>
      </c>
      <c r="E11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4" s="113" t="str">
        <f>IFERROR(INDEX(Product_Structure[Product group],MATCH(Товары[[#This Row],[SubGroup]],Product_Structure[Subgroup],0)),"")</f>
        <v>WMO_C</v>
      </c>
      <c r="G1144" s="113" t="str">
        <f>IFERROR(INDEX(Product_Structure[Product group name ENG],MATCH(Товары[[#This Row],[SubGroup]],Product_Structure[Subgroup],0)),"")</f>
        <v>Watering Mobile OGS</v>
      </c>
      <c r="H1144" s="113" t="str">
        <f>IFERROR(INDEX(Product_Structure[Generic Name (long)3],MATCH(Товары[[#This Row],[SubGroup]],Product_Structure[Subgroup],0)),"")</f>
        <v>Фитинги для шлангов</v>
      </c>
      <c r="I1144" s="36">
        <v>9011</v>
      </c>
      <c r="J1144" s="36" t="str">
        <f>IFERROR(INDEX(Product_Structure[Generic Name (long)],MATCH(Товары[[#This Row],[SubGroup]],Product_Structure[Subgroup],0)),"")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Row],[SubGroup]],DIY!$B:$C,2,FALSE),0)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3" t="str">
        <f>IFERROR(INDEX(Product_Structure[SuperCategory],MATCH(Товары[[#This Row],[SubGroup]],Product_Structure[Subgroup],0)),"")</f>
        <v>W</v>
      </c>
      <c r="D1145" s="113" t="str">
        <f>IFERROR(INDEX(Product_Structure[SuperCategory Name ENG],MATCH(Товары[[#This Row],[SubGroup]],Product_Structure[Subgroup],0)),"")</f>
        <v>Watering (mobile, sprinkler system&amp;MDS, Ponds)</v>
      </c>
      <c r="E11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5" s="113" t="str">
        <f>IFERROR(INDEX(Product_Structure[Product group],MATCH(Товары[[#This Row],[SubGroup]],Product_Structure[Subgroup],0)),"")</f>
        <v>WMO_C</v>
      </c>
      <c r="G1145" s="113" t="str">
        <f>IFERROR(INDEX(Product_Structure[Product group name ENG],MATCH(Товары[[#This Row],[SubGroup]],Product_Structure[Subgroup],0)),"")</f>
        <v>Watering Mobile OGS</v>
      </c>
      <c r="H1145" s="113" t="str">
        <f>IFERROR(INDEX(Product_Structure[Generic Name (long)3],MATCH(Товары[[#This Row],[SubGroup]],Product_Structure[Subgroup],0)),"")</f>
        <v>Комплекты фитингов</v>
      </c>
      <c r="I1145" s="36">
        <v>9012</v>
      </c>
      <c r="J1145" s="36" t="str">
        <f>IFERROR(INDEX(Product_Structure[Generic Name (long)],MATCH(Товары[[#This Row],[SubGroup]],Product_Structure[Subgroup],0)),"")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Row],[SubGroup]],DIY!$B:$C,2,FALSE),0)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3" t="str">
        <f>IFERROR(INDEX(Product_Structure[SuperCategory],MATCH(Товары[[#This Row],[SubGroup]],Product_Structure[Subgroup],0)),"")</f>
        <v>W</v>
      </c>
      <c r="D1146" s="113" t="str">
        <f>IFERROR(INDEX(Product_Structure[SuperCategory Name ENG],MATCH(Товары[[#This Row],[SubGroup]],Product_Structure[Subgroup],0)),"")</f>
        <v>Watering (mobile, sprinkler system&amp;MDS, Ponds)</v>
      </c>
      <c r="E11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6" s="113" t="str">
        <f>IFERROR(INDEX(Product_Structure[Product group],MATCH(Товары[[#This Row],[SubGroup]],Product_Structure[Subgroup],0)),"")</f>
        <v>WMO_C</v>
      </c>
      <c r="G1146" s="113" t="str">
        <f>IFERROR(INDEX(Product_Structure[Product group name ENG],MATCH(Товары[[#This Row],[SubGroup]],Product_Structure[Subgroup],0)),"")</f>
        <v>Watering Mobile OGS</v>
      </c>
      <c r="H1146" s="113" t="str">
        <f>IFERROR(INDEX(Product_Structure[Generic Name (long)3],MATCH(Товары[[#This Row],[SubGroup]],Product_Structure[Subgroup],0)),"")</f>
        <v>Комплекты фитингов</v>
      </c>
      <c r="I1146" s="36">
        <v>9012</v>
      </c>
      <c r="J1146" s="36" t="str">
        <f>IFERROR(INDEX(Product_Structure[Generic Name (long)],MATCH(Товары[[#This Row],[SubGroup]],Product_Structure[Subgroup],0)),"")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Row],[SubGroup]],DIY!$B:$C,2,FALSE),0)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3" t="str">
        <f>IFERROR(INDEX(Product_Structure[SuperCategory],MATCH(Товары[[#This Row],[SubGroup]],Product_Structure[Subgroup],0)),"")</f>
        <v>W</v>
      </c>
      <c r="D1147" s="113" t="str">
        <f>IFERROR(INDEX(Product_Structure[SuperCategory Name ENG],MATCH(Товары[[#This Row],[SubGroup]],Product_Structure[Subgroup],0)),"")</f>
        <v>Watering (mobile, sprinkler system&amp;MDS, Ponds)</v>
      </c>
      <c r="E11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7" s="113" t="str">
        <f>IFERROR(INDEX(Product_Structure[Product group],MATCH(Товары[[#This Row],[SubGroup]],Product_Structure[Subgroup],0)),"")</f>
        <v>WMO_C</v>
      </c>
      <c r="G1147" s="113" t="str">
        <f>IFERROR(INDEX(Product_Structure[Product group name ENG],MATCH(Товары[[#This Row],[SubGroup]],Product_Structure[Subgroup],0)),"")</f>
        <v>Watering Mobile OGS</v>
      </c>
      <c r="H1147" s="113" t="str">
        <f>IFERROR(INDEX(Product_Structure[Generic Name (long)3],MATCH(Товары[[#This Row],[SubGroup]],Product_Structure[Subgroup],0)),"")</f>
        <v>Комплекты фитингов</v>
      </c>
      <c r="I1147" s="36">
        <v>9012</v>
      </c>
      <c r="J1147" s="36" t="str">
        <f>IFERROR(INDEX(Product_Structure[Generic Name (long)],MATCH(Товары[[#This Row],[SubGroup]],Product_Structure[Subgroup],0)),"")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Row],[SubGroup]],DIY!$B:$C,2,FALSE),0)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3" t="str">
        <f>IFERROR(INDEX(Product_Structure[SuperCategory],MATCH(Товары[[#This Row],[SubGroup]],Product_Structure[Subgroup],0)),"")</f>
        <v>W</v>
      </c>
      <c r="D1148" s="113" t="str">
        <f>IFERROR(INDEX(Product_Structure[SuperCategory Name ENG],MATCH(Товары[[#This Row],[SubGroup]],Product_Structure[Subgroup],0)),"")</f>
        <v>Watering (mobile, sprinkler system&amp;MDS, Ponds)</v>
      </c>
      <c r="E11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8" s="113" t="str">
        <f>IFERROR(INDEX(Product_Structure[Product group],MATCH(Товары[[#This Row],[SubGroup]],Product_Structure[Subgroup],0)),"")</f>
        <v>WMO_C</v>
      </c>
      <c r="G1148" s="113" t="str">
        <f>IFERROR(INDEX(Product_Structure[Product group name ENG],MATCH(Товары[[#This Row],[SubGroup]],Product_Structure[Subgroup],0)),"")</f>
        <v>Watering Mobile OGS</v>
      </c>
      <c r="H1148" s="113" t="str">
        <f>IFERROR(INDEX(Product_Structure[Generic Name (long)3],MATCH(Товары[[#This Row],[SubGroup]],Product_Structure[Subgroup],0)),"")</f>
        <v>Комплекты фитингов</v>
      </c>
      <c r="I1148" s="36">
        <v>9012</v>
      </c>
      <c r="J1148" s="36" t="str">
        <f>IFERROR(INDEX(Product_Structure[Generic Name (long)],MATCH(Товары[[#This Row],[SubGroup]],Product_Structure[Subgroup],0)),"")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Row],[SubGroup]],DIY!$B:$C,2,FALSE),0)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3" t="str">
        <f>IFERROR(INDEX(Product_Structure[SuperCategory],MATCH(Товары[[#This Row],[SubGroup]],Product_Structure[Subgroup],0)),"")</f>
        <v>W</v>
      </c>
      <c r="D1149" s="113" t="str">
        <f>IFERROR(INDEX(Product_Structure[SuperCategory Name ENG],MATCH(Товары[[#This Row],[SubGroup]],Product_Structure[Subgroup],0)),"")</f>
        <v>Watering (mobile, sprinkler system&amp;MDS, Ponds)</v>
      </c>
      <c r="E11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49" s="113" t="str">
        <f>IFERROR(INDEX(Product_Structure[Product group],MATCH(Товары[[#This Row],[SubGroup]],Product_Structure[Subgroup],0)),"")</f>
        <v>WMO_C</v>
      </c>
      <c r="G1149" s="113" t="str">
        <f>IFERROR(INDEX(Product_Structure[Product group name ENG],MATCH(Товары[[#This Row],[SubGroup]],Product_Structure[Subgroup],0)),"")</f>
        <v>Watering Mobile OGS</v>
      </c>
      <c r="H1149" s="113" t="str">
        <f>IFERROR(INDEX(Product_Structure[Generic Name (long)3],MATCH(Товары[[#This Row],[SubGroup]],Product_Structure[Subgroup],0)),"")</f>
        <v>Комплекты фитингов</v>
      </c>
      <c r="I1149" s="36">
        <v>9012</v>
      </c>
      <c r="J1149" s="36" t="str">
        <f>IFERROR(INDEX(Product_Structure[Generic Name (long)],MATCH(Товары[[#This Row],[SubGroup]],Product_Structure[Subgroup],0)),"")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Row],[SubGroup]],DIY!$B:$C,2,FALSE),0)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3" t="str">
        <f>IFERROR(INDEX(Product_Structure[SuperCategory],MATCH(Товары[[#This Row],[SubGroup]],Product_Structure[Subgroup],0)),"")</f>
        <v>W</v>
      </c>
      <c r="D1150" s="113" t="str">
        <f>IFERROR(INDEX(Product_Structure[SuperCategory Name ENG],MATCH(Товары[[#This Row],[SubGroup]],Product_Structure[Subgroup],0)),"")</f>
        <v>Watering (mobile, sprinkler system&amp;MDS, Ponds)</v>
      </c>
      <c r="E11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0" s="113" t="str">
        <f>IFERROR(INDEX(Product_Structure[Product group],MATCH(Товары[[#This Row],[SubGroup]],Product_Structure[Subgroup],0)),"")</f>
        <v>WMO_C</v>
      </c>
      <c r="G1150" s="113" t="str">
        <f>IFERROR(INDEX(Product_Structure[Product group name ENG],MATCH(Товары[[#This Row],[SubGroup]],Product_Structure[Subgroup],0)),"")</f>
        <v>Watering Mobile OGS</v>
      </c>
      <c r="H1150" s="113" t="str">
        <f>IFERROR(INDEX(Product_Structure[Generic Name (long)3],MATCH(Товары[[#This Row],[SubGroup]],Product_Structure[Subgroup],0)),"")</f>
        <v>Комплекты фитингов</v>
      </c>
      <c r="I1150" s="36">
        <v>9012</v>
      </c>
      <c r="J1150" s="36" t="str">
        <f>IFERROR(INDEX(Product_Structure[Generic Name (long)],MATCH(Товары[[#This Row],[SubGroup]],Product_Structure[Subgroup],0)),"")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Row],[SubGroup]],DIY!$B:$C,2,FALSE),0)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3" t="str">
        <f>IFERROR(INDEX(Product_Structure[SuperCategory],MATCH(Товары[[#This Row],[SubGroup]],Product_Structure[Subgroup],0)),"")</f>
        <v>W</v>
      </c>
      <c r="D1151" s="113" t="str">
        <f>IFERROR(INDEX(Product_Structure[SuperCategory Name ENG],MATCH(Товары[[#This Row],[SubGroup]],Product_Structure[Subgroup],0)),"")</f>
        <v>Watering (mobile, sprinkler system&amp;MDS, Ponds)</v>
      </c>
      <c r="E11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1" s="113" t="str">
        <f>IFERROR(INDEX(Product_Structure[Product group],MATCH(Товары[[#This Row],[SubGroup]],Product_Structure[Subgroup],0)),"")</f>
        <v>WMO_C</v>
      </c>
      <c r="G1151" s="113" t="str">
        <f>IFERROR(INDEX(Product_Structure[Product group name ENG],MATCH(Товары[[#This Row],[SubGroup]],Product_Structure[Subgroup],0)),"")</f>
        <v>Watering Mobile OGS</v>
      </c>
      <c r="H1151" s="113" t="str">
        <f>IFERROR(INDEX(Product_Structure[Generic Name (long)3],MATCH(Товары[[#This Row],[SubGroup]],Product_Structure[Subgroup],0)),"")</f>
        <v>Комплекты фитингов</v>
      </c>
      <c r="I1151" s="36">
        <v>9012</v>
      </c>
      <c r="J1151" s="36" t="str">
        <f>IFERROR(INDEX(Product_Structure[Generic Name (long)],MATCH(Товары[[#This Row],[SubGroup]],Product_Structure[Subgroup],0)),"")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Row],[SubGroup]],DIY!$B:$C,2,FALSE),0)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3" t="str">
        <f>IFERROR(INDEX(Product_Structure[SuperCategory],MATCH(Товары[[#This Row],[SubGroup]],Product_Structure[Subgroup],0)),"")</f>
        <v>W</v>
      </c>
      <c r="D1152" s="113" t="str">
        <f>IFERROR(INDEX(Product_Structure[SuperCategory Name ENG],MATCH(Товары[[#This Row],[SubGroup]],Product_Structure[Subgroup],0)),"")</f>
        <v>Watering (mobile, sprinkler system&amp;MDS, Ponds)</v>
      </c>
      <c r="E11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2" s="113" t="str">
        <f>IFERROR(INDEX(Product_Structure[Product group],MATCH(Товары[[#This Row],[SubGroup]],Product_Structure[Subgroup],0)),"")</f>
        <v>WMO_C</v>
      </c>
      <c r="G1152" s="113" t="str">
        <f>IFERROR(INDEX(Product_Structure[Product group name ENG],MATCH(Товары[[#This Row],[SubGroup]],Product_Structure[Subgroup],0)),"")</f>
        <v>Watering Mobile OGS</v>
      </c>
      <c r="H1152" s="113" t="str">
        <f>IFERROR(INDEX(Product_Structure[Generic Name (long)3],MATCH(Товары[[#This Row],[SubGroup]],Product_Structure[Subgroup],0)),"")</f>
        <v>Комплекты фитингов</v>
      </c>
      <c r="I1152" s="36">
        <v>9012</v>
      </c>
      <c r="J1152" s="36" t="str">
        <f>IFERROR(INDEX(Product_Structure[Generic Name (long)],MATCH(Товары[[#This Row],[SubGroup]],Product_Structure[Subgroup],0)),"")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Row],[SubGroup]],DIY!$B:$C,2,FALSE),0)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3" t="str">
        <f>IFERROR(INDEX(Product_Structure[SuperCategory],MATCH(Товары[[#This Row],[SubGroup]],Product_Structure[Subgroup],0)),"")</f>
        <v>W</v>
      </c>
      <c r="D1153" s="113" t="str">
        <f>IFERROR(INDEX(Product_Structure[SuperCategory Name ENG],MATCH(Товары[[#This Row],[SubGroup]],Product_Structure[Subgroup],0)),"")</f>
        <v>Watering (mobile, sprinkler system&amp;MDS, Ponds)</v>
      </c>
      <c r="E11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3" s="113" t="str">
        <f>IFERROR(INDEX(Product_Structure[Product group],MATCH(Товары[[#This Row],[SubGroup]],Product_Structure[Subgroup],0)),"")</f>
        <v>WMO_C</v>
      </c>
      <c r="G1153" s="113" t="str">
        <f>IFERROR(INDEX(Product_Structure[Product group name ENG],MATCH(Товары[[#This Row],[SubGroup]],Product_Structure[Subgroup],0)),"")</f>
        <v>Watering Mobile OGS</v>
      </c>
      <c r="H1153" s="113" t="str">
        <f>IFERROR(INDEX(Product_Structure[Generic Name (long)3],MATCH(Товары[[#This Row],[SubGroup]],Product_Structure[Subgroup],0)),"")</f>
        <v>Комплекты фитингов</v>
      </c>
      <c r="I1153" s="36">
        <v>9012</v>
      </c>
      <c r="J1153" s="36" t="str">
        <f>IFERROR(INDEX(Product_Structure[Generic Name (long)],MATCH(Товары[[#This Row],[SubGroup]],Product_Structure[Subgroup],0)),"")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Row],[SubGroup]],DIY!$B:$C,2,FALSE),0)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3" t="str">
        <f>IFERROR(INDEX(Product_Structure[SuperCategory],MATCH(Товары[[#This Row],[SubGroup]],Product_Structure[Subgroup],0)),"")</f>
        <v>W</v>
      </c>
      <c r="D1154" s="113" t="str">
        <f>IFERROR(INDEX(Product_Structure[SuperCategory Name ENG],MATCH(Товары[[#This Row],[SubGroup]],Product_Structure[Subgroup],0)),"")</f>
        <v>Watering (mobile, sprinkler system&amp;MDS, Ponds)</v>
      </c>
      <c r="E11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4" s="113" t="str">
        <f>IFERROR(INDEX(Product_Structure[Product group],MATCH(Товары[[#This Row],[SubGroup]],Product_Structure[Subgroup],0)),"")</f>
        <v>WMO_C</v>
      </c>
      <c r="G1154" s="113" t="str">
        <f>IFERROR(INDEX(Product_Structure[Product group name ENG],MATCH(Товары[[#This Row],[SubGroup]],Product_Structure[Subgroup],0)),"")</f>
        <v>Watering Mobile OGS</v>
      </c>
      <c r="H1154" s="113" t="str">
        <f>IFERROR(INDEX(Product_Structure[Generic Name (long)3],MATCH(Товары[[#This Row],[SubGroup]],Product_Structure[Subgroup],0)),"")</f>
        <v>Комплекты фитингов</v>
      </c>
      <c r="I1154" s="36">
        <v>9012</v>
      </c>
      <c r="J1154" s="36" t="str">
        <f>IFERROR(INDEX(Product_Structure[Generic Name (long)],MATCH(Товары[[#This Row],[SubGroup]],Product_Structure[Subgroup],0)),"")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Row],[SubGroup]],DIY!$B:$C,2,FALSE),0)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3" t="str">
        <f>IFERROR(INDEX(Product_Structure[SuperCategory],MATCH(Товары[[#This Row],[SubGroup]],Product_Structure[Subgroup],0)),"")</f>
        <v>W</v>
      </c>
      <c r="D1155" s="113" t="str">
        <f>IFERROR(INDEX(Product_Structure[SuperCategory Name ENG],MATCH(Товары[[#This Row],[SubGroup]],Product_Structure[Subgroup],0)),"")</f>
        <v>Watering (mobile, sprinkler system&amp;MDS, Ponds)</v>
      </c>
      <c r="E11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5" s="113" t="str">
        <f>IFERROR(INDEX(Product_Structure[Product group],MATCH(Товары[[#This Row],[SubGroup]],Product_Structure[Subgroup],0)),"")</f>
        <v>WMO_C</v>
      </c>
      <c r="G1155" s="113" t="str">
        <f>IFERROR(INDEX(Product_Structure[Product group name ENG],MATCH(Товары[[#This Row],[SubGroup]],Product_Structure[Subgroup],0)),"")</f>
        <v>Watering Mobile OGS</v>
      </c>
      <c r="H1155" s="113" t="str">
        <f>IFERROR(INDEX(Product_Structure[Generic Name (long)3],MATCH(Товары[[#This Row],[SubGroup]],Product_Structure[Subgroup],0)),"")</f>
        <v>Комплекты фитингов</v>
      </c>
      <c r="I1155" s="36">
        <v>9012</v>
      </c>
      <c r="J1155" s="36" t="str">
        <f>IFERROR(INDEX(Product_Structure[Generic Name (long)],MATCH(Товары[[#This Row],[SubGroup]],Product_Structure[Subgroup],0)),"")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Row],[SubGroup]],DIY!$B:$C,2,FALSE),0)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3" t="str">
        <f>IFERROR(INDEX(Product_Structure[SuperCategory],MATCH(Товары[[#This Row],[SubGroup]],Product_Structure[Subgroup],0)),"")</f>
        <v>W</v>
      </c>
      <c r="D1156" s="113" t="str">
        <f>IFERROR(INDEX(Product_Structure[SuperCategory Name ENG],MATCH(Товары[[#This Row],[SubGroup]],Product_Structure[Subgroup],0)),"")</f>
        <v>Watering (mobile, sprinkler system&amp;MDS, Ponds)</v>
      </c>
      <c r="E11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6" s="113" t="str">
        <f>IFERROR(INDEX(Product_Structure[Product group],MATCH(Товары[[#This Row],[SubGroup]],Product_Structure[Subgroup],0)),"")</f>
        <v>WMO_C</v>
      </c>
      <c r="G1156" s="113" t="str">
        <f>IFERROR(INDEX(Product_Structure[Product group name ENG],MATCH(Товары[[#This Row],[SubGroup]],Product_Structure[Subgroup],0)),"")</f>
        <v>Watering Mobile OGS</v>
      </c>
      <c r="H1156" s="113" t="str">
        <f>IFERROR(INDEX(Product_Structure[Generic Name (long)3],MATCH(Товары[[#This Row],[SubGroup]],Product_Structure[Subgroup],0)),"")</f>
        <v>Комплекты фитингов</v>
      </c>
      <c r="I1156" s="36">
        <v>9012</v>
      </c>
      <c r="J1156" s="36" t="str">
        <f>IFERROR(INDEX(Product_Structure[Generic Name (long)],MATCH(Товары[[#This Row],[SubGroup]],Product_Structure[Subgroup],0)),"")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Row],[SubGroup]],DIY!$B:$C,2,FALSE),0)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3" t="str">
        <f>IFERROR(INDEX(Product_Structure[SuperCategory],MATCH(Товары[[#This Row],[SubGroup]],Product_Structure[Subgroup],0)),"")</f>
        <v>W</v>
      </c>
      <c r="D1157" s="113" t="str">
        <f>IFERROR(INDEX(Product_Structure[SuperCategory Name ENG],MATCH(Товары[[#This Row],[SubGroup]],Product_Structure[Subgroup],0)),"")</f>
        <v>Watering (mobile, sprinkler system&amp;MDS, Ponds)</v>
      </c>
      <c r="E11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7" s="113" t="str">
        <f>IFERROR(INDEX(Product_Structure[Product group],MATCH(Товары[[#This Row],[SubGroup]],Product_Structure[Subgroup],0)),"")</f>
        <v>WMO_C</v>
      </c>
      <c r="G1157" s="113" t="str">
        <f>IFERROR(INDEX(Product_Structure[Product group name ENG],MATCH(Товары[[#This Row],[SubGroup]],Product_Structure[Subgroup],0)),"")</f>
        <v>Watering Mobile OGS</v>
      </c>
      <c r="H1157" s="113" t="str">
        <f>IFERROR(INDEX(Product_Structure[Generic Name (long)3],MATCH(Товары[[#This Row],[SubGroup]],Product_Structure[Subgroup],0)),"")</f>
        <v>Комплекты фитингов</v>
      </c>
      <c r="I1157" s="36">
        <v>9012</v>
      </c>
      <c r="J1157" s="36" t="str">
        <f>IFERROR(INDEX(Product_Structure[Generic Name (long)],MATCH(Товары[[#This Row],[SubGroup]],Product_Structure[Subgroup],0)),"")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Row],[SubGroup]],DIY!$B:$C,2,FALSE),0)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3" t="str">
        <f>IFERROR(INDEX(Product_Structure[SuperCategory],MATCH(Товары[[#This Row],[SubGroup]],Product_Structure[Subgroup],0)),"")</f>
        <v>W</v>
      </c>
      <c r="D1158" s="113" t="str">
        <f>IFERROR(INDEX(Product_Structure[SuperCategory Name ENG],MATCH(Товары[[#This Row],[SubGroup]],Product_Structure[Subgroup],0)),"")</f>
        <v>Watering (mobile, sprinkler system&amp;MDS, Ponds)</v>
      </c>
      <c r="E11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8" s="113" t="str">
        <f>IFERROR(INDEX(Product_Structure[Product group],MATCH(Товары[[#This Row],[SubGroup]],Product_Structure[Subgroup],0)),"")</f>
        <v>WMO_C</v>
      </c>
      <c r="G1158" s="113" t="str">
        <f>IFERROR(INDEX(Product_Structure[Product group name ENG],MATCH(Товары[[#This Row],[SubGroup]],Product_Structure[Subgroup],0)),"")</f>
        <v>Watering Mobile OGS</v>
      </c>
      <c r="H1158" s="113" t="str">
        <f>IFERROR(INDEX(Product_Structure[Generic Name (long)3],MATCH(Товары[[#This Row],[SubGroup]],Product_Structure[Subgroup],0)),"")</f>
        <v>Комплекты фитингов</v>
      </c>
      <c r="I1158" s="36">
        <v>9012</v>
      </c>
      <c r="J1158" s="36" t="str">
        <f>IFERROR(INDEX(Product_Structure[Generic Name (long)],MATCH(Товары[[#This Row],[SubGroup]],Product_Structure[Subgroup],0)),"")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Row],[SubGroup]],DIY!$B:$C,2,FALSE),0)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3" t="str">
        <f>IFERROR(INDEX(Product_Structure[SuperCategory],MATCH(Товары[[#This Row],[SubGroup]],Product_Structure[Subgroup],0)),"")</f>
        <v>W</v>
      </c>
      <c r="D1159" s="113" t="str">
        <f>IFERROR(INDEX(Product_Structure[SuperCategory Name ENG],MATCH(Товары[[#This Row],[SubGroup]],Product_Structure[Subgroup],0)),"")</f>
        <v>Watering (mobile, sprinkler system&amp;MDS, Ponds)</v>
      </c>
      <c r="E11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59" s="113" t="str">
        <f>IFERROR(INDEX(Product_Structure[Product group],MATCH(Товары[[#This Row],[SubGroup]],Product_Structure[Subgroup],0)),"")</f>
        <v>WMO_C</v>
      </c>
      <c r="G1159" s="113" t="str">
        <f>IFERROR(INDEX(Product_Structure[Product group name ENG],MATCH(Товары[[#This Row],[SubGroup]],Product_Structure[Subgroup],0)),"")</f>
        <v>Watering Mobile OGS</v>
      </c>
      <c r="H1159" s="113" t="str">
        <f>IFERROR(INDEX(Product_Structure[Generic Name (long)3],MATCH(Товары[[#This Row],[SubGroup]],Product_Structure[Subgroup],0)),"")</f>
        <v>Комплекты фитингов</v>
      </c>
      <c r="I1159" s="36">
        <v>9012</v>
      </c>
      <c r="J1159" s="36" t="str">
        <f>IFERROR(INDEX(Product_Structure[Generic Name (long)],MATCH(Товары[[#This Row],[SubGroup]],Product_Structure[Subgroup],0)),"")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Row],[SubGroup]],DIY!$B:$C,2,FALSE),0)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3" t="str">
        <f>IFERROR(INDEX(Product_Structure[SuperCategory],MATCH(Товары[[#This Row],[SubGroup]],Product_Structure[Subgroup],0)),"")</f>
        <v>W</v>
      </c>
      <c r="D1160" s="113" t="str">
        <f>IFERROR(INDEX(Product_Structure[SuperCategory Name ENG],MATCH(Товары[[#This Row],[SubGroup]],Product_Structure[Subgroup],0)),"")</f>
        <v>Watering (mobile, sprinkler system&amp;MDS, Ponds)</v>
      </c>
      <c r="E11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0" s="113" t="str">
        <f>IFERROR(INDEX(Product_Structure[Product group],MATCH(Товары[[#This Row],[SubGroup]],Product_Structure[Subgroup],0)),"")</f>
        <v>WMO_C</v>
      </c>
      <c r="G1160" s="113" t="str">
        <f>IFERROR(INDEX(Product_Structure[Product group name ENG],MATCH(Товары[[#This Row],[SubGroup]],Product_Structure[Subgroup],0)),"")</f>
        <v>Watering Mobile OGS</v>
      </c>
      <c r="H1160" s="113" t="str">
        <f>IFERROR(INDEX(Product_Structure[Generic Name (long)3],MATCH(Товары[[#This Row],[SubGroup]],Product_Structure[Subgroup],0)),"")</f>
        <v>Комплекты фитингов</v>
      </c>
      <c r="I1160" s="36">
        <v>9012</v>
      </c>
      <c r="J1160" s="36" t="str">
        <f>IFERROR(INDEX(Product_Structure[Generic Name (long)],MATCH(Товары[[#This Row],[SubGroup]],Product_Structure[Subgroup],0)),"")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Row],[SubGroup]],DIY!$B:$C,2,FALSE),0)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3" t="str">
        <f>IFERROR(INDEX(Product_Structure[SuperCategory],MATCH(Товары[[#This Row],[SubGroup]],Product_Structure[Subgroup],0)),"")</f>
        <v>W</v>
      </c>
      <c r="D1161" s="113" t="str">
        <f>IFERROR(INDEX(Product_Structure[SuperCategory Name ENG],MATCH(Товары[[#This Row],[SubGroup]],Product_Structure[Subgroup],0)),"")</f>
        <v>Watering (mobile, sprinkler system&amp;MDS, Ponds)</v>
      </c>
      <c r="E11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1" s="113" t="str">
        <f>IFERROR(INDEX(Product_Structure[Product group],MATCH(Товары[[#This Row],[SubGroup]],Product_Structure[Subgroup],0)),"")</f>
        <v>WMO_C</v>
      </c>
      <c r="G1161" s="113" t="str">
        <f>IFERROR(INDEX(Product_Structure[Product group name ENG],MATCH(Товары[[#This Row],[SubGroup]],Product_Structure[Subgroup],0)),"")</f>
        <v>Watering Mobile OGS</v>
      </c>
      <c r="H1161" s="113" t="str">
        <f>IFERROR(INDEX(Product_Structure[Generic Name (long)3],MATCH(Товары[[#This Row],[SubGroup]],Product_Structure[Subgroup],0)),"")</f>
        <v>Система "Профи"</v>
      </c>
      <c r="I1161" s="36">
        <v>9013</v>
      </c>
      <c r="J1161" s="36" t="str">
        <f>IFERROR(INDEX(Product_Structure[Generic Name (long)],MATCH(Товары[[#This Row],[SubGroup]],Product_Structure[Subgroup],0)),"")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Row],[SubGroup]],DIY!$B:$C,2,FALSE),0)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3" t="str">
        <f>IFERROR(INDEX(Product_Structure[SuperCategory],MATCH(Товары[[#This Row],[SubGroup]],Product_Structure[Subgroup],0)),"")</f>
        <v>W</v>
      </c>
      <c r="D1162" s="113" t="str">
        <f>IFERROR(INDEX(Product_Structure[SuperCategory Name ENG],MATCH(Товары[[#This Row],[SubGroup]],Product_Structure[Subgroup],0)),"")</f>
        <v>Watering (mobile, sprinkler system&amp;MDS, Ponds)</v>
      </c>
      <c r="E11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2" s="113" t="str">
        <f>IFERROR(INDEX(Product_Structure[Product group],MATCH(Товары[[#This Row],[SubGroup]],Product_Structure[Subgroup],0)),"")</f>
        <v>WMO_C</v>
      </c>
      <c r="G1162" s="113" t="str">
        <f>IFERROR(INDEX(Product_Structure[Product group name ENG],MATCH(Товары[[#This Row],[SubGroup]],Product_Structure[Subgroup],0)),"")</f>
        <v>Watering Mobile OGS</v>
      </c>
      <c r="H1162" s="113" t="str">
        <f>IFERROR(INDEX(Product_Structure[Generic Name (long)3],MATCH(Товары[[#This Row],[SubGroup]],Product_Structure[Subgroup],0)),"")</f>
        <v>Система "Профи"</v>
      </c>
      <c r="I1162" s="36">
        <v>9013</v>
      </c>
      <c r="J1162" s="36" t="str">
        <f>IFERROR(INDEX(Product_Structure[Generic Name (long)],MATCH(Товары[[#This Row],[SubGroup]],Product_Structure[Subgroup],0)),"")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Row],[SubGroup]],DIY!$B:$C,2,FALSE),0)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3" t="str">
        <f>IFERROR(INDEX(Product_Structure[SuperCategory],MATCH(Товары[[#This Row],[SubGroup]],Product_Structure[Subgroup],0)),"")</f>
        <v>W</v>
      </c>
      <c r="D1163" s="113" t="str">
        <f>IFERROR(INDEX(Product_Structure[SuperCategory Name ENG],MATCH(Товары[[#This Row],[SubGroup]],Product_Structure[Subgroup],0)),"")</f>
        <v>Watering (mobile, sprinkler system&amp;MDS, Ponds)</v>
      </c>
      <c r="E11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3" s="113" t="str">
        <f>IFERROR(INDEX(Product_Structure[Product group],MATCH(Товары[[#This Row],[SubGroup]],Product_Structure[Subgroup],0)),"")</f>
        <v>WMO_C</v>
      </c>
      <c r="G1163" s="113" t="str">
        <f>IFERROR(INDEX(Product_Structure[Product group name ENG],MATCH(Товары[[#This Row],[SubGroup]],Product_Structure[Subgroup],0)),"")</f>
        <v>Watering Mobile OGS</v>
      </c>
      <c r="H1163" s="113" t="str">
        <f>IFERROR(INDEX(Product_Structure[Generic Name (long)3],MATCH(Товары[[#This Row],[SubGroup]],Product_Structure[Subgroup],0)),"")</f>
        <v>Система "Профи"</v>
      </c>
      <c r="I1163" s="36">
        <v>9013</v>
      </c>
      <c r="J1163" s="36" t="str">
        <f>IFERROR(INDEX(Product_Structure[Generic Name (long)],MATCH(Товары[[#This Row],[SubGroup]],Product_Structure[Subgroup],0)),"")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Row],[SubGroup]],DIY!$B:$C,2,FALSE),0)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3" t="str">
        <f>IFERROR(INDEX(Product_Structure[SuperCategory],MATCH(Товары[[#This Row],[SubGroup]],Product_Structure[Subgroup],0)),"")</f>
        <v>W</v>
      </c>
      <c r="D1164" s="113" t="str">
        <f>IFERROR(INDEX(Product_Structure[SuperCategory Name ENG],MATCH(Товары[[#This Row],[SubGroup]],Product_Structure[Subgroup],0)),"")</f>
        <v>Watering (mobile, sprinkler system&amp;MDS, Ponds)</v>
      </c>
      <c r="E11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4" s="113" t="str">
        <f>IFERROR(INDEX(Product_Structure[Product group],MATCH(Товары[[#This Row],[SubGroup]],Product_Structure[Subgroup],0)),"")</f>
        <v>WMO_C</v>
      </c>
      <c r="G1164" s="113" t="str">
        <f>IFERROR(INDEX(Product_Structure[Product group name ENG],MATCH(Товары[[#This Row],[SubGroup]],Product_Structure[Subgroup],0)),"")</f>
        <v>Watering Mobile OGS</v>
      </c>
      <c r="H1164" s="113" t="str">
        <f>IFERROR(INDEX(Product_Structure[Generic Name (long)3],MATCH(Товары[[#This Row],[SubGroup]],Product_Structure[Subgroup],0)),"")</f>
        <v>Система "Профи"</v>
      </c>
      <c r="I1164" s="36">
        <v>9013</v>
      </c>
      <c r="J1164" s="36" t="str">
        <f>IFERROR(INDEX(Product_Structure[Generic Name (long)],MATCH(Товары[[#This Row],[SubGroup]],Product_Structure[Subgroup],0)),"")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Row],[SubGroup]],DIY!$B:$C,2,FALSE),0)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3" t="str">
        <f>IFERROR(INDEX(Product_Structure[SuperCategory],MATCH(Товары[[#This Row],[SubGroup]],Product_Structure[Subgroup],0)),"")</f>
        <v>W</v>
      </c>
      <c r="D1165" s="113" t="str">
        <f>IFERROR(INDEX(Product_Structure[SuperCategory Name ENG],MATCH(Товары[[#This Row],[SubGroup]],Product_Structure[Subgroup],0)),"")</f>
        <v>Watering (mobile, sprinkler system&amp;MDS, Ponds)</v>
      </c>
      <c r="E11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5" s="113" t="str">
        <f>IFERROR(INDEX(Product_Structure[Product group],MATCH(Товары[[#This Row],[SubGroup]],Product_Structure[Subgroup],0)),"")</f>
        <v>WMO_C</v>
      </c>
      <c r="G1165" s="113" t="str">
        <f>IFERROR(INDEX(Product_Structure[Product group name ENG],MATCH(Товары[[#This Row],[SubGroup]],Product_Structure[Subgroup],0)),"")</f>
        <v>Watering Mobile OGS</v>
      </c>
      <c r="H1165" s="113" t="str">
        <f>IFERROR(INDEX(Product_Structure[Generic Name (long)3],MATCH(Товары[[#This Row],[SubGroup]],Product_Structure[Subgroup],0)),"")</f>
        <v>Система "Профи"</v>
      </c>
      <c r="I1165" s="36">
        <v>9013</v>
      </c>
      <c r="J1165" s="36" t="str">
        <f>IFERROR(INDEX(Product_Structure[Generic Name (long)],MATCH(Товары[[#This Row],[SubGroup]],Product_Structure[Subgroup],0)),"")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Row],[SubGroup]],DIY!$B:$C,2,FALSE),0)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3" t="str">
        <f>IFERROR(INDEX(Product_Structure[SuperCategory],MATCH(Товары[[#This Row],[SubGroup]],Product_Structure[Subgroup],0)),"")</f>
        <v>W</v>
      </c>
      <c r="D1166" s="113" t="str">
        <f>IFERROR(INDEX(Product_Structure[SuperCategory Name ENG],MATCH(Товары[[#This Row],[SubGroup]],Product_Structure[Subgroup],0)),"")</f>
        <v>Watering (mobile, sprinkler system&amp;MDS, Ponds)</v>
      </c>
      <c r="E11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6" s="113" t="str">
        <f>IFERROR(INDEX(Product_Structure[Product group],MATCH(Товары[[#This Row],[SubGroup]],Product_Structure[Subgroup],0)),"")</f>
        <v>WMO_C</v>
      </c>
      <c r="G1166" s="113" t="str">
        <f>IFERROR(INDEX(Product_Structure[Product group name ENG],MATCH(Товары[[#This Row],[SubGroup]],Product_Structure[Subgroup],0)),"")</f>
        <v>Watering Mobile OGS</v>
      </c>
      <c r="H1166" s="113" t="str">
        <f>IFERROR(INDEX(Product_Structure[Generic Name (long)3],MATCH(Товары[[#This Row],[SubGroup]],Product_Structure[Subgroup],0)),"")</f>
        <v>Система "Профи"</v>
      </c>
      <c r="I1166" s="36">
        <v>9013</v>
      </c>
      <c r="J1166" s="36" t="str">
        <f>IFERROR(INDEX(Product_Structure[Generic Name (long)],MATCH(Товары[[#This Row],[SubGroup]],Product_Structure[Subgroup],0)),"")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Row],[SubGroup]],DIY!$B:$C,2,FALSE),0)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3" t="str">
        <f>IFERROR(INDEX(Product_Structure[SuperCategory],MATCH(Товары[[#This Row],[SubGroup]],Product_Structure[Subgroup],0)),"")</f>
        <v>W</v>
      </c>
      <c r="D1167" s="113" t="str">
        <f>IFERROR(INDEX(Product_Structure[SuperCategory Name ENG],MATCH(Товары[[#This Row],[SubGroup]],Product_Structure[Subgroup],0)),"")</f>
        <v>Watering (mobile, sprinkler system&amp;MDS, Ponds)</v>
      </c>
      <c r="E11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7" s="113" t="str">
        <f>IFERROR(INDEX(Product_Structure[Product group],MATCH(Товары[[#This Row],[SubGroup]],Product_Structure[Subgroup],0)),"")</f>
        <v>WMO_C</v>
      </c>
      <c r="G1167" s="113" t="str">
        <f>IFERROR(INDEX(Product_Structure[Product group name ENG],MATCH(Товары[[#This Row],[SubGroup]],Product_Structure[Subgroup],0)),"")</f>
        <v>Watering Mobile OGS</v>
      </c>
      <c r="H1167" s="113" t="str">
        <f>IFERROR(INDEX(Product_Structure[Generic Name (long)3],MATCH(Товары[[#This Row],[SubGroup]],Product_Structure[Subgroup],0)),"")</f>
        <v>Система "Профи"</v>
      </c>
      <c r="I1167" s="36">
        <v>9013</v>
      </c>
      <c r="J1167" s="36" t="str">
        <f>IFERROR(INDEX(Product_Structure[Generic Name (long)],MATCH(Товары[[#This Row],[SubGroup]],Product_Structure[Subgroup],0)),"")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Row],[SubGroup]],DIY!$B:$C,2,FALSE),0)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3" t="str">
        <f>IFERROR(INDEX(Product_Structure[SuperCategory],MATCH(Товары[[#This Row],[SubGroup]],Product_Structure[Subgroup],0)),"")</f>
        <v>W</v>
      </c>
      <c r="D1168" s="113" t="str">
        <f>IFERROR(INDEX(Product_Structure[SuperCategory Name ENG],MATCH(Товары[[#This Row],[SubGroup]],Product_Structure[Subgroup],0)),"")</f>
        <v>Watering (mobile, sprinkler system&amp;MDS, Ponds)</v>
      </c>
      <c r="E11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8" s="113" t="str">
        <f>IFERROR(INDEX(Product_Structure[Product group],MATCH(Товары[[#This Row],[SubGroup]],Product_Structure[Subgroup],0)),"")</f>
        <v>WMO_C</v>
      </c>
      <c r="G1168" s="113" t="str">
        <f>IFERROR(INDEX(Product_Structure[Product group name ENG],MATCH(Товары[[#This Row],[SubGroup]],Product_Structure[Subgroup],0)),"")</f>
        <v>Watering Mobile OGS</v>
      </c>
      <c r="H1168" s="113" t="str">
        <f>IFERROR(INDEX(Product_Structure[Generic Name (long)3],MATCH(Товары[[#This Row],[SubGroup]],Product_Structure[Subgroup],0)),"")</f>
        <v>Система "Профи"</v>
      </c>
      <c r="I1168" s="36">
        <v>9013</v>
      </c>
      <c r="J1168" s="36" t="str">
        <f>IFERROR(INDEX(Product_Structure[Generic Name (long)],MATCH(Товары[[#This Row],[SubGroup]],Product_Structure[Subgroup],0)),"")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Row],[SubGroup]],DIY!$B:$C,2,FALSE),0)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3" t="str">
        <f>IFERROR(INDEX(Product_Structure[SuperCategory],MATCH(Товары[[#This Row],[SubGroup]],Product_Structure[Subgroup],0)),"")</f>
        <v>W</v>
      </c>
      <c r="D1169" s="113" t="str">
        <f>IFERROR(INDEX(Product_Structure[SuperCategory Name ENG],MATCH(Товары[[#This Row],[SubGroup]],Product_Structure[Subgroup],0)),"")</f>
        <v>Watering (mobile, sprinkler system&amp;MDS, Ponds)</v>
      </c>
      <c r="E11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69" s="113" t="str">
        <f>IFERROR(INDEX(Product_Structure[Product group],MATCH(Товары[[#This Row],[SubGroup]],Product_Structure[Subgroup],0)),"")</f>
        <v>WMO_C</v>
      </c>
      <c r="G1169" s="113" t="str">
        <f>IFERROR(INDEX(Product_Structure[Product group name ENG],MATCH(Товары[[#This Row],[SubGroup]],Product_Structure[Subgroup],0)),"")</f>
        <v>Watering Mobile OGS</v>
      </c>
      <c r="H1169" s="113" t="str">
        <f>IFERROR(INDEX(Product_Structure[Generic Name (long)3],MATCH(Товары[[#This Row],[SubGroup]],Product_Structure[Subgroup],0)),"")</f>
        <v>Система "Профи"</v>
      </c>
      <c r="I1169" s="36">
        <v>9013</v>
      </c>
      <c r="J1169" s="36" t="str">
        <f>IFERROR(INDEX(Product_Structure[Generic Name (long)],MATCH(Товары[[#This Row],[SubGroup]],Product_Structure[Subgroup],0)),"")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Row],[SubGroup]],DIY!$B:$C,2,FALSE),0)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3" t="str">
        <f>IFERROR(INDEX(Product_Structure[SuperCategory],MATCH(Товары[[#This Row],[SubGroup]],Product_Structure[Subgroup],0)),"")</f>
        <v>W</v>
      </c>
      <c r="D1170" s="113" t="str">
        <f>IFERROR(INDEX(Product_Structure[SuperCategory Name ENG],MATCH(Товары[[#This Row],[SubGroup]],Product_Structure[Subgroup],0)),"")</f>
        <v>Watering (mobile, sprinkler system&amp;MDS, Ponds)</v>
      </c>
      <c r="E11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0" s="113" t="str">
        <f>IFERROR(INDEX(Product_Structure[Product group],MATCH(Товары[[#This Row],[SubGroup]],Product_Structure[Subgroup],0)),"")</f>
        <v>WMO_C</v>
      </c>
      <c r="G1170" s="113" t="str">
        <f>IFERROR(INDEX(Product_Structure[Product group name ENG],MATCH(Товары[[#This Row],[SubGroup]],Product_Structure[Subgroup],0)),"")</f>
        <v>Watering Mobile OGS</v>
      </c>
      <c r="H1170" s="113" t="str">
        <f>IFERROR(INDEX(Product_Structure[Generic Name (long)3],MATCH(Товары[[#This Row],[SubGroup]],Product_Structure[Subgroup],0)),"")</f>
        <v>Система "Профи"</v>
      </c>
      <c r="I1170" s="36">
        <v>9013</v>
      </c>
      <c r="J1170" s="36" t="str">
        <f>IFERROR(INDEX(Product_Structure[Generic Name (long)],MATCH(Товары[[#This Row],[SubGroup]],Product_Structure[Subgroup],0)),"")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Row],[SubGroup]],DIY!$B:$C,2,FALSE),0)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3" t="str">
        <f>IFERROR(INDEX(Product_Structure[SuperCategory],MATCH(Товары[[#This Row],[SubGroup]],Product_Structure[Subgroup],0)),"")</f>
        <v>W</v>
      </c>
      <c r="D1171" s="113" t="str">
        <f>IFERROR(INDEX(Product_Structure[SuperCategory Name ENG],MATCH(Товары[[#This Row],[SubGroup]],Product_Structure[Subgroup],0)),"")</f>
        <v>Watering (mobile, sprinkler system&amp;MDS, Ponds)</v>
      </c>
      <c r="E11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1" s="113" t="str">
        <f>IFERROR(INDEX(Product_Structure[Product group],MATCH(Товары[[#This Row],[SubGroup]],Product_Structure[Subgroup],0)),"")</f>
        <v>WMO_C</v>
      </c>
      <c r="G1171" s="113" t="str">
        <f>IFERROR(INDEX(Product_Structure[Product group name ENG],MATCH(Товары[[#This Row],[SubGroup]],Product_Structure[Subgroup],0)),"")</f>
        <v>Watering Mobile OGS</v>
      </c>
      <c r="H1171" s="113" t="str">
        <f>IFERROR(INDEX(Product_Structure[Generic Name (long)3],MATCH(Товары[[#This Row],[SubGroup]],Product_Structure[Subgroup],0)),"")</f>
        <v>Система "Профи"</v>
      </c>
      <c r="I1171" s="36">
        <v>9013</v>
      </c>
      <c r="J1171" s="36" t="str">
        <f>IFERROR(INDEX(Product_Structure[Generic Name (long)],MATCH(Товары[[#This Row],[SubGroup]],Product_Structure[Subgroup],0)),"")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Row],[SubGroup]],DIY!$B:$C,2,FALSE),0)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3" t="str">
        <f>IFERROR(INDEX(Product_Structure[SuperCategory],MATCH(Товары[[#This Row],[SubGroup]],Product_Structure[Subgroup],0)),"")</f>
        <v>W</v>
      </c>
      <c r="D1172" s="113" t="str">
        <f>IFERROR(INDEX(Product_Structure[SuperCategory Name ENG],MATCH(Товары[[#This Row],[SubGroup]],Product_Structure[Subgroup],0)),"")</f>
        <v>Watering (mobile, sprinkler system&amp;MDS, Ponds)</v>
      </c>
      <c r="E11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2" s="113" t="str">
        <f>IFERROR(INDEX(Product_Structure[Product group],MATCH(Товары[[#This Row],[SubGroup]],Product_Structure[Subgroup],0)),"")</f>
        <v>WMO_C</v>
      </c>
      <c r="G1172" s="113" t="str">
        <f>IFERROR(INDEX(Product_Structure[Product group name ENG],MATCH(Товары[[#This Row],[SubGroup]],Product_Structure[Subgroup],0)),"")</f>
        <v>Watering Mobile OGS</v>
      </c>
      <c r="H1172" s="113" t="str">
        <f>IFERROR(INDEX(Product_Structure[Generic Name (long)3],MATCH(Товары[[#This Row],[SubGroup]],Product_Structure[Subgroup],0)),"")</f>
        <v>Система "Профи"</v>
      </c>
      <c r="I1172" s="36">
        <v>9013</v>
      </c>
      <c r="J1172" s="36" t="str">
        <f>IFERROR(INDEX(Product_Structure[Generic Name (long)],MATCH(Товары[[#This Row],[SubGroup]],Product_Structure[Subgroup],0)),"")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Row],[SubGroup]],DIY!$B:$C,2,FALSE),0)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3" t="str">
        <f>IFERROR(INDEX(Product_Structure[SuperCategory],MATCH(Товары[[#This Row],[SubGroup]],Product_Structure[Subgroup],0)),"")</f>
        <v>W</v>
      </c>
      <c r="D1173" s="113" t="str">
        <f>IFERROR(INDEX(Product_Structure[SuperCategory Name ENG],MATCH(Товары[[#This Row],[SubGroup]],Product_Structure[Subgroup],0)),"")</f>
        <v>Watering (mobile, sprinkler system&amp;MDS, Ponds)</v>
      </c>
      <c r="E11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3" s="113" t="str">
        <f>IFERROR(INDEX(Product_Structure[Product group],MATCH(Товары[[#This Row],[SubGroup]],Product_Structure[Subgroup],0)),"")</f>
        <v>WMO_C</v>
      </c>
      <c r="G1173" s="113" t="str">
        <f>IFERROR(INDEX(Product_Structure[Product group name ENG],MATCH(Товары[[#This Row],[SubGroup]],Product_Structure[Subgroup],0)),"")</f>
        <v>Watering Mobile OGS</v>
      </c>
      <c r="H1173" s="113" t="str">
        <f>IFERROR(INDEX(Product_Structure[Generic Name (long)3],MATCH(Товары[[#This Row],[SubGroup]],Product_Structure[Subgroup],0)),"")</f>
        <v>Система "Профи"</v>
      </c>
      <c r="I1173" s="36">
        <v>9013</v>
      </c>
      <c r="J1173" s="36" t="str">
        <f>IFERROR(INDEX(Product_Structure[Generic Name (long)],MATCH(Товары[[#This Row],[SubGroup]],Product_Structure[Subgroup],0)),"")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Row],[SubGroup]],DIY!$B:$C,2,FALSE),0)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3" t="str">
        <f>IFERROR(INDEX(Product_Structure[SuperCategory],MATCH(Товары[[#This Row],[SubGroup]],Product_Structure[Subgroup],0)),"")</f>
        <v>W</v>
      </c>
      <c r="D1174" s="113" t="str">
        <f>IFERROR(INDEX(Product_Structure[SuperCategory Name ENG],MATCH(Товары[[#This Row],[SubGroup]],Product_Structure[Subgroup],0)),"")</f>
        <v>Watering (mobile, sprinkler system&amp;MDS, Ponds)</v>
      </c>
      <c r="E11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4" s="113" t="str">
        <f>IFERROR(INDEX(Product_Structure[Product group],MATCH(Товары[[#This Row],[SubGroup]],Product_Structure[Subgroup],0)),"")</f>
        <v>WMO_C</v>
      </c>
      <c r="G1174" s="113" t="str">
        <f>IFERROR(INDEX(Product_Structure[Product group name ENG],MATCH(Товары[[#This Row],[SubGroup]],Product_Structure[Subgroup],0)),"")</f>
        <v>Watering Mobile OGS</v>
      </c>
      <c r="H1174" s="113" t="str">
        <f>IFERROR(INDEX(Product_Structure[Generic Name (long)3],MATCH(Товары[[#This Row],[SubGroup]],Product_Structure[Subgroup],0)),"")</f>
        <v>Система "Профи"</v>
      </c>
      <c r="I1174" s="36">
        <v>9013</v>
      </c>
      <c r="J1174" s="36" t="str">
        <f>IFERROR(INDEX(Product_Structure[Generic Name (long)],MATCH(Товары[[#This Row],[SubGroup]],Product_Structure[Subgroup],0)),"")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Row],[SubGroup]],DIY!$B:$C,2,FALSE),0)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3" t="str">
        <f>IFERROR(INDEX(Product_Structure[SuperCategory],MATCH(Товары[[#This Row],[SubGroup]],Product_Structure[Subgroup],0)),"")</f>
        <v>W</v>
      </c>
      <c r="D1175" s="113" t="str">
        <f>IFERROR(INDEX(Product_Structure[SuperCategory Name ENG],MATCH(Товары[[#This Row],[SubGroup]],Product_Structure[Subgroup],0)),"")</f>
        <v>Watering (mobile, sprinkler system&amp;MDS, Ponds)</v>
      </c>
      <c r="E11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5" s="113" t="str">
        <f>IFERROR(INDEX(Product_Structure[Product group],MATCH(Товары[[#This Row],[SubGroup]],Product_Structure[Subgroup],0)),"")</f>
        <v>WMO_C</v>
      </c>
      <c r="G1175" s="113" t="str">
        <f>IFERROR(INDEX(Product_Structure[Product group name ENG],MATCH(Товары[[#This Row],[SubGroup]],Product_Structure[Subgroup],0)),"")</f>
        <v>Watering Mobile OGS</v>
      </c>
      <c r="H1175" s="113" t="str">
        <f>IFERROR(INDEX(Product_Structure[Generic Name (long)3],MATCH(Товары[[#This Row],[SubGroup]],Product_Structure[Subgroup],0)),"")</f>
        <v>Система "Профи"</v>
      </c>
      <c r="I1175" s="36">
        <v>9013</v>
      </c>
      <c r="J1175" s="36" t="str">
        <f>IFERROR(INDEX(Product_Structure[Generic Name (long)],MATCH(Товары[[#This Row],[SubGroup]],Product_Structure[Subgroup],0)),"")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Row],[SubGroup]],DIY!$B:$C,2,FALSE),0)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3" t="str">
        <f>IFERROR(INDEX(Product_Structure[SuperCategory],MATCH(Товары[[#This Row],[SubGroup]],Product_Structure[Subgroup],0)),"")</f>
        <v>W</v>
      </c>
      <c r="D1176" s="113" t="str">
        <f>IFERROR(INDEX(Product_Structure[SuperCategory Name ENG],MATCH(Товары[[#This Row],[SubGroup]],Product_Structure[Subgroup],0)),"")</f>
        <v>Watering (mobile, sprinkler system&amp;MDS, Ponds)</v>
      </c>
      <c r="E11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6" s="113" t="str">
        <f>IFERROR(INDEX(Product_Structure[Product group],MATCH(Товары[[#This Row],[SubGroup]],Product_Structure[Subgroup],0)),"")</f>
        <v>WMO_C</v>
      </c>
      <c r="G1176" s="113" t="str">
        <f>IFERROR(INDEX(Product_Structure[Product group name ENG],MATCH(Товары[[#This Row],[SubGroup]],Product_Structure[Subgroup],0)),"")</f>
        <v>Watering Mobile OGS</v>
      </c>
      <c r="H1176" s="113" t="str">
        <f>IFERROR(INDEX(Product_Structure[Generic Name (long)3],MATCH(Товары[[#This Row],[SubGroup]],Product_Structure[Subgroup],0)),"")</f>
        <v>Система "Профи"</v>
      </c>
      <c r="I1176" s="36">
        <v>9013</v>
      </c>
      <c r="J1176" s="36" t="str">
        <f>IFERROR(INDEX(Product_Structure[Generic Name (long)],MATCH(Товары[[#This Row],[SubGroup]],Product_Structure[Subgroup],0)),"")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Row],[SubGroup]],DIY!$B:$C,2,FALSE),0)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3" t="str">
        <f>IFERROR(INDEX(Product_Structure[SuperCategory],MATCH(Товары[[#This Row],[SubGroup]],Product_Structure[Subgroup],0)),"")</f>
        <v>W</v>
      </c>
      <c r="D1177" s="113" t="str">
        <f>IFERROR(INDEX(Product_Structure[SuperCategory Name ENG],MATCH(Товары[[#This Row],[SubGroup]],Product_Structure[Subgroup],0)),"")</f>
        <v>Watering (mobile, sprinkler system&amp;MDS, Ponds)</v>
      </c>
      <c r="E11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7" s="113" t="str">
        <f>IFERROR(INDEX(Product_Structure[Product group],MATCH(Товары[[#This Row],[SubGroup]],Product_Structure[Subgroup],0)),"")</f>
        <v>WMO_C</v>
      </c>
      <c r="G1177" s="113" t="str">
        <f>IFERROR(INDEX(Product_Structure[Product group name ENG],MATCH(Товары[[#This Row],[SubGroup]],Product_Structure[Subgroup],0)),"")</f>
        <v>Watering Mobile OGS</v>
      </c>
      <c r="H1177" s="113" t="str">
        <f>IFERROR(INDEX(Product_Structure[Generic Name (long)3],MATCH(Товары[[#This Row],[SubGroup]],Product_Structure[Subgroup],0)),"")</f>
        <v>Система "Профи"</v>
      </c>
      <c r="I1177" s="36">
        <v>9013</v>
      </c>
      <c r="J1177" s="36" t="str">
        <f>IFERROR(INDEX(Product_Structure[Generic Name (long)],MATCH(Товары[[#This Row],[SubGroup]],Product_Structure[Subgroup],0)),"")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Row],[SubGroup]],DIY!$B:$C,2,FALSE),0)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3" t="str">
        <f>IFERROR(INDEX(Product_Structure[SuperCategory],MATCH(Товары[[#This Row],[SubGroup]],Product_Structure[Subgroup],0)),"")</f>
        <v>W</v>
      </c>
      <c r="D1178" s="113" t="str">
        <f>IFERROR(INDEX(Product_Structure[SuperCategory Name ENG],MATCH(Товары[[#This Row],[SubGroup]],Product_Structure[Subgroup],0)),"")</f>
        <v>Watering (mobile, sprinkler system&amp;MDS, Ponds)</v>
      </c>
      <c r="E11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8" s="113" t="str">
        <f>IFERROR(INDEX(Product_Structure[Product group],MATCH(Товары[[#This Row],[SubGroup]],Product_Structure[Subgroup],0)),"")</f>
        <v>WMO_C</v>
      </c>
      <c r="G1178" s="113" t="str">
        <f>IFERROR(INDEX(Product_Structure[Product group name ENG],MATCH(Товары[[#This Row],[SubGroup]],Product_Structure[Subgroup],0)),"")</f>
        <v>Watering Mobile OGS</v>
      </c>
      <c r="H1178" s="113" t="str">
        <f>IFERROR(INDEX(Product_Structure[Generic Name (long)3],MATCH(Товары[[#This Row],[SubGroup]],Product_Structure[Subgroup],0)),"")</f>
        <v>Система "Профи"</v>
      </c>
      <c r="I1178" s="36">
        <v>9013</v>
      </c>
      <c r="J1178" s="36" t="str">
        <f>IFERROR(INDEX(Product_Structure[Generic Name (long)],MATCH(Товары[[#This Row],[SubGroup]],Product_Structure[Subgroup],0)),"")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Row],[SubGroup]],DIY!$B:$C,2,FALSE),0)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3" t="str">
        <f>IFERROR(INDEX(Product_Structure[SuperCategory],MATCH(Товары[[#This Row],[SubGroup]],Product_Structure[Subgroup],0)),"")</f>
        <v>W</v>
      </c>
      <c r="D1179" s="113" t="str">
        <f>IFERROR(INDEX(Product_Structure[SuperCategory Name ENG],MATCH(Товары[[#This Row],[SubGroup]],Product_Structure[Subgroup],0)),"")</f>
        <v>Watering (mobile, sprinkler system&amp;MDS, Ponds)</v>
      </c>
      <c r="E11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79" s="113" t="str">
        <f>IFERROR(INDEX(Product_Structure[Product group],MATCH(Товары[[#This Row],[SubGroup]],Product_Structure[Subgroup],0)),"")</f>
        <v>WMO_C</v>
      </c>
      <c r="G1179" s="113" t="str">
        <f>IFERROR(INDEX(Product_Structure[Product group name ENG],MATCH(Товары[[#This Row],[SubGroup]],Product_Structure[Subgroup],0)),"")</f>
        <v>Watering Mobile OGS</v>
      </c>
      <c r="H1179" s="113" t="str">
        <f>IFERROR(INDEX(Product_Structure[Generic Name (long)3],MATCH(Товары[[#This Row],[SubGroup]],Product_Structure[Subgroup],0)),"")</f>
        <v>Система "Профи"</v>
      </c>
      <c r="I1179" s="36">
        <v>9013</v>
      </c>
      <c r="J1179" s="36" t="str">
        <f>IFERROR(INDEX(Product_Structure[Generic Name (long)],MATCH(Товары[[#This Row],[SubGroup]],Product_Structure[Subgroup],0)),"")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Row],[SubGroup]],DIY!$B:$C,2,FALSE),0)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3" t="str">
        <f>IFERROR(INDEX(Product_Structure[SuperCategory],MATCH(Товары[[#This Row],[SubGroup]],Product_Structure[Subgroup],0)),"")</f>
        <v>W</v>
      </c>
      <c r="D1180" s="113" t="str">
        <f>IFERROR(INDEX(Product_Structure[SuperCategory Name ENG],MATCH(Товары[[#This Row],[SubGroup]],Product_Structure[Subgroup],0)),"")</f>
        <v>Watering (mobile, sprinkler system&amp;MDS, Ponds)</v>
      </c>
      <c r="E11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0" s="113" t="str">
        <f>IFERROR(INDEX(Product_Structure[Product group],MATCH(Товары[[#This Row],[SubGroup]],Product_Structure[Subgroup],0)),"")</f>
        <v>WMO_C</v>
      </c>
      <c r="G1180" s="113" t="str">
        <f>IFERROR(INDEX(Product_Structure[Product group name ENG],MATCH(Товары[[#This Row],[SubGroup]],Product_Structure[Subgroup],0)),"")</f>
        <v>Watering Mobile OGS</v>
      </c>
      <c r="H1180" s="113" t="str">
        <f>IFERROR(INDEX(Product_Structure[Generic Name (long)3],MATCH(Товары[[#This Row],[SubGroup]],Product_Structure[Subgroup],0)),"")</f>
        <v>Система "Профи"</v>
      </c>
      <c r="I1180" s="36">
        <v>9013</v>
      </c>
      <c r="J1180" s="36" t="str">
        <f>IFERROR(INDEX(Product_Structure[Generic Name (long)],MATCH(Товары[[#This Row],[SubGroup]],Product_Structure[Subgroup],0)),"")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Row],[SubGroup]],DIY!$B:$C,2,FALSE),0)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3" t="str">
        <f>IFERROR(INDEX(Product_Structure[SuperCategory],MATCH(Товары[[#This Row],[SubGroup]],Product_Structure[Subgroup],0)),"")</f>
        <v>W</v>
      </c>
      <c r="D1181" s="113" t="str">
        <f>IFERROR(INDEX(Product_Structure[SuperCategory Name ENG],MATCH(Товары[[#This Row],[SubGroup]],Product_Structure[Subgroup],0)),"")</f>
        <v>Watering (mobile, sprinkler system&amp;MDS, Ponds)</v>
      </c>
      <c r="E11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1" s="113" t="str">
        <f>IFERROR(INDEX(Product_Structure[Product group],MATCH(Товары[[#This Row],[SubGroup]],Product_Structure[Subgroup],0)),"")</f>
        <v>WMO_C</v>
      </c>
      <c r="G1181" s="113" t="str">
        <f>IFERROR(INDEX(Product_Structure[Product group name ENG],MATCH(Товары[[#This Row],[SubGroup]],Product_Structure[Subgroup],0)),"")</f>
        <v>Watering Mobile OGS</v>
      </c>
      <c r="H1181" s="113" t="str">
        <f>IFERROR(INDEX(Product_Structure[Generic Name (long)3],MATCH(Товары[[#This Row],[SubGroup]],Product_Structure[Subgroup],0)),"")</f>
        <v>Фитинги для шлангов</v>
      </c>
      <c r="I1181" s="36">
        <v>9011</v>
      </c>
      <c r="J1181" s="36" t="str">
        <f>IFERROR(INDEX(Product_Structure[Generic Name (long)],MATCH(Товары[[#This Row],[SubGroup]],Product_Structure[Subgroup],0)),"")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Row],[SubGroup]],DIY!$B:$C,2,FALSE),0)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3" t="str">
        <f>IFERROR(INDEX(Product_Structure[SuperCategory],MATCH(Товары[[#This Row],[SubGroup]],Product_Structure[Subgroup],0)),"")</f>
        <v>W</v>
      </c>
      <c r="D1182" s="113" t="str">
        <f>IFERROR(INDEX(Product_Structure[SuperCategory Name ENG],MATCH(Товары[[#This Row],[SubGroup]],Product_Structure[Subgroup],0)),"")</f>
        <v>Watering (mobile, sprinkler system&amp;MDS, Ponds)</v>
      </c>
      <c r="E11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2" s="113" t="str">
        <f>IFERROR(INDEX(Product_Structure[Product group],MATCH(Товары[[#This Row],[SubGroup]],Product_Structure[Subgroup],0)),"")</f>
        <v>WMO_C</v>
      </c>
      <c r="G1182" s="113" t="str">
        <f>IFERROR(INDEX(Product_Structure[Product group name ENG],MATCH(Товары[[#This Row],[SubGroup]],Product_Structure[Subgroup],0)),"")</f>
        <v>Watering Mobile OGS</v>
      </c>
      <c r="H1182" s="113" t="str">
        <f>IFERROR(INDEX(Product_Structure[Generic Name (long)3],MATCH(Товары[[#This Row],[SubGroup]],Product_Structure[Subgroup],0)),"")</f>
        <v>Фитинги для шлангов</v>
      </c>
      <c r="I1182" s="36">
        <v>9011</v>
      </c>
      <c r="J1182" s="36" t="str">
        <f>IFERROR(INDEX(Product_Structure[Generic Name (long)],MATCH(Товары[[#This Row],[SubGroup]],Product_Structure[Subgroup],0)),"")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Row],[SubGroup]],DIY!$B:$C,2,FALSE),0)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3" t="str">
        <f>IFERROR(INDEX(Product_Structure[SuperCategory],MATCH(Товары[[#This Row],[SubGroup]],Product_Structure[Subgroup],0)),"")</f>
        <v>W</v>
      </c>
      <c r="D1183" s="113" t="str">
        <f>IFERROR(INDEX(Product_Structure[SuperCategory Name ENG],MATCH(Товары[[#This Row],[SubGroup]],Product_Structure[Subgroup],0)),"")</f>
        <v>Watering (mobile, sprinkler system&amp;MDS, Ponds)</v>
      </c>
      <c r="E11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3" s="113" t="str">
        <f>IFERROR(INDEX(Product_Structure[Product group],MATCH(Товары[[#This Row],[SubGroup]],Product_Structure[Subgroup],0)),"")</f>
        <v>WMO_C</v>
      </c>
      <c r="G1183" s="113" t="str">
        <f>IFERROR(INDEX(Product_Structure[Product group name ENG],MATCH(Товары[[#This Row],[SubGroup]],Product_Structure[Subgroup],0)),"")</f>
        <v>Watering Mobile OGS</v>
      </c>
      <c r="H1183" s="113" t="str">
        <f>IFERROR(INDEX(Product_Structure[Generic Name (long)3],MATCH(Товары[[#This Row],[SubGroup]],Product_Structure[Subgroup],0)),"")</f>
        <v>Фитинги для шлангов</v>
      </c>
      <c r="I1183" s="36">
        <v>9011</v>
      </c>
      <c r="J1183" s="36" t="str">
        <f>IFERROR(INDEX(Product_Structure[Generic Name (long)],MATCH(Товары[[#This Row],[SubGroup]],Product_Structure[Subgroup],0)),"")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Row],[SubGroup]],DIY!$B:$C,2,FALSE),0)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3" t="str">
        <f>IFERROR(INDEX(Product_Structure[SuperCategory],MATCH(Товары[[#This Row],[SubGroup]],Product_Structure[Subgroup],0)),"")</f>
        <v>W</v>
      </c>
      <c r="D1184" s="113" t="str">
        <f>IFERROR(INDEX(Product_Structure[SuperCategory Name ENG],MATCH(Товары[[#This Row],[SubGroup]],Product_Structure[Subgroup],0)),"")</f>
        <v>Watering (mobile, sprinkler system&amp;MDS, Ponds)</v>
      </c>
      <c r="E11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4" s="113" t="str">
        <f>IFERROR(INDEX(Product_Structure[Product group],MATCH(Товары[[#This Row],[SubGroup]],Product_Structure[Subgroup],0)),"")</f>
        <v>WMO_C</v>
      </c>
      <c r="G1184" s="113" t="str">
        <f>IFERROR(INDEX(Product_Structure[Product group name ENG],MATCH(Товары[[#This Row],[SubGroup]],Product_Structure[Subgroup],0)),"")</f>
        <v>Watering Mobile OGS</v>
      </c>
      <c r="H1184" s="113" t="str">
        <f>IFERROR(INDEX(Product_Structure[Generic Name (long)3],MATCH(Товары[[#This Row],[SubGroup]],Product_Structure[Subgroup],0)),"")</f>
        <v>Фитинги для шлангов</v>
      </c>
      <c r="I1184" s="36">
        <v>9011</v>
      </c>
      <c r="J1184" s="36" t="str">
        <f>IFERROR(INDEX(Product_Structure[Generic Name (long)],MATCH(Товары[[#This Row],[SubGroup]],Product_Structure[Subgroup],0)),"")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Row],[SubGroup]],DIY!$B:$C,2,FALSE),0)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3" t="str">
        <f>IFERROR(INDEX(Product_Structure[SuperCategory],MATCH(Товары[[#This Row],[SubGroup]],Product_Structure[Subgroup],0)),"")</f>
        <v>W</v>
      </c>
      <c r="D1185" s="113" t="str">
        <f>IFERROR(INDEX(Product_Structure[SuperCategory Name ENG],MATCH(Товары[[#This Row],[SubGroup]],Product_Structure[Subgroup],0)),"")</f>
        <v>Watering (mobile, sprinkler system&amp;MDS, Ponds)</v>
      </c>
      <c r="E11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5" s="113" t="str">
        <f>IFERROR(INDEX(Product_Structure[Product group],MATCH(Товары[[#This Row],[SubGroup]],Product_Structure[Subgroup],0)),"")</f>
        <v>WMO_C</v>
      </c>
      <c r="G1185" s="113" t="str">
        <f>IFERROR(INDEX(Product_Structure[Product group name ENG],MATCH(Товары[[#This Row],[SubGroup]],Product_Structure[Subgroup],0)),"")</f>
        <v>Watering Mobile OGS</v>
      </c>
      <c r="H1185" s="113" t="str">
        <f>IFERROR(INDEX(Product_Structure[Generic Name (long)3],MATCH(Товары[[#This Row],[SubGroup]],Product_Structure[Subgroup],0)),"")</f>
        <v>Комплекты фитингов</v>
      </c>
      <c r="I1185" s="36">
        <v>9012</v>
      </c>
      <c r="J1185" s="36" t="str">
        <f>IFERROR(INDEX(Product_Structure[Generic Name (long)],MATCH(Товары[[#This Row],[SubGroup]],Product_Structure[Subgroup],0)),"")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Row],[SubGroup]],DIY!$B:$C,2,FALSE),0)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3" t="str">
        <f>IFERROR(INDEX(Product_Structure[SuperCategory],MATCH(Товары[[#This Row],[SubGroup]],Product_Structure[Subgroup],0)),"")</f>
        <v>W</v>
      </c>
      <c r="D1186" s="113" t="str">
        <f>IFERROR(INDEX(Product_Structure[SuperCategory Name ENG],MATCH(Товары[[#This Row],[SubGroup]],Product_Structure[Subgroup],0)),"")</f>
        <v>Watering (mobile, sprinkler system&amp;MDS, Ponds)</v>
      </c>
      <c r="E11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6" s="113" t="str">
        <f>IFERROR(INDEX(Product_Structure[Product group],MATCH(Товары[[#This Row],[SubGroup]],Product_Structure[Subgroup],0)),"")</f>
        <v>WMO_C</v>
      </c>
      <c r="G1186" s="113" t="str">
        <f>IFERROR(INDEX(Product_Structure[Product group name ENG],MATCH(Товары[[#This Row],[SubGroup]],Product_Structure[Subgroup],0)),"")</f>
        <v>Watering Mobile OGS</v>
      </c>
      <c r="H1186" s="113" t="str">
        <f>IFERROR(INDEX(Product_Structure[Generic Name (long)3],MATCH(Товары[[#This Row],[SubGroup]],Product_Structure[Subgroup],0)),"")</f>
        <v>Комплекты фитингов</v>
      </c>
      <c r="I1186" s="36">
        <v>9012</v>
      </c>
      <c r="J1186" s="36" t="str">
        <f>IFERROR(INDEX(Product_Structure[Generic Name (long)],MATCH(Товары[[#This Row],[SubGroup]],Product_Structure[Subgroup],0)),"")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Row],[SubGroup]],DIY!$B:$C,2,FALSE),0)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3" t="str">
        <f>IFERROR(INDEX(Product_Structure[SuperCategory],MATCH(Товары[[#This Row],[SubGroup]],Product_Structure[Subgroup],0)),"")</f>
        <v>W</v>
      </c>
      <c r="D1187" s="113" t="str">
        <f>IFERROR(INDEX(Product_Structure[SuperCategory Name ENG],MATCH(Товары[[#This Row],[SubGroup]],Product_Structure[Subgroup],0)),"")</f>
        <v>Watering (mobile, sprinkler system&amp;MDS, Ponds)</v>
      </c>
      <c r="E11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7" s="113" t="str">
        <f>IFERROR(INDEX(Product_Structure[Product group],MATCH(Товары[[#This Row],[SubGroup]],Product_Structure[Subgroup],0)),"")</f>
        <v>WMA_C</v>
      </c>
      <c r="G1187" s="113" t="str">
        <f>IFERROR(INDEX(Product_Structure[Product group name ENG],MATCH(Товары[[#This Row],[SubGroup]],Product_Structure[Subgroup],0)),"")</f>
        <v>Watering Mobile Attachments</v>
      </c>
      <c r="H1187" s="113" t="str">
        <f>IFERROR(INDEX(Product_Structure[Generic Name (long)3],MATCH(Товары[[#This Row],[SubGroup]],Product_Structure[Subgroup],0)),"")</f>
        <v>Наконечники для полива</v>
      </c>
      <c r="I1187" s="36">
        <v>9022</v>
      </c>
      <c r="J1187" s="36" t="str">
        <f>IFERROR(INDEX(Product_Structure[Generic Name (long)],MATCH(Товары[[#This Row],[SubGroup]],Product_Structure[Subgroup],0)),"")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Row],[SubGroup]],DIY!$B:$C,2,FALSE),0)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3" t="str">
        <f>IFERROR(INDEX(Product_Structure[SuperCategory],MATCH(Товары[[#This Row],[SubGroup]],Product_Structure[Subgroup],0)),"")</f>
        <v>W</v>
      </c>
      <c r="D1188" s="113" t="str">
        <f>IFERROR(INDEX(Product_Structure[SuperCategory Name ENG],MATCH(Товары[[#This Row],[SubGroup]],Product_Structure[Subgroup],0)),"")</f>
        <v>Watering (mobile, sprinkler system&amp;MDS, Ponds)</v>
      </c>
      <c r="E11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8" s="113" t="str">
        <f>IFERROR(INDEX(Product_Structure[Product group],MATCH(Товары[[#This Row],[SubGroup]],Product_Structure[Subgroup],0)),"")</f>
        <v>WMA_C</v>
      </c>
      <c r="G1188" s="113" t="str">
        <f>IFERROR(INDEX(Product_Structure[Product group name ENG],MATCH(Товары[[#This Row],[SubGroup]],Product_Structure[Subgroup],0)),"")</f>
        <v>Watering Mobile Attachments</v>
      </c>
      <c r="H1188" s="113" t="str">
        <f>IFERROR(INDEX(Product_Structure[Generic Name (long)3],MATCH(Товары[[#This Row],[SubGroup]],Product_Structure[Subgroup],0)),"")</f>
        <v>Наконечники для полива</v>
      </c>
      <c r="I1188" s="36">
        <v>9022</v>
      </c>
      <c r="J1188" s="36" t="str">
        <f>IFERROR(INDEX(Product_Structure[Generic Name (long)],MATCH(Товары[[#This Row],[SubGroup]],Product_Structure[Subgroup],0)),"")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Row],[SubGroup]],DIY!$B:$C,2,FALSE),0)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3" t="str">
        <f>IFERROR(INDEX(Product_Structure[SuperCategory],MATCH(Товары[[#This Row],[SubGroup]],Product_Structure[Subgroup],0)),"")</f>
        <v>W</v>
      </c>
      <c r="D1189" s="113" t="str">
        <f>IFERROR(INDEX(Product_Structure[SuperCategory Name ENG],MATCH(Товары[[#This Row],[SubGroup]],Product_Structure[Subgroup],0)),"")</f>
        <v>Watering (mobile, sprinkler system&amp;MDS, Ponds)</v>
      </c>
      <c r="E11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89" s="113" t="str">
        <f>IFERROR(INDEX(Product_Structure[Product group],MATCH(Товары[[#This Row],[SubGroup]],Product_Structure[Subgroup],0)),"")</f>
        <v>WMT_C</v>
      </c>
      <c r="G1189" s="113" t="str">
        <f>IFERROR(INDEX(Product_Structure[Product group name ENG],MATCH(Товары[[#This Row],[SubGroup]],Product_Structure[Subgroup],0)),"")</f>
        <v>Watering Mobile Trolleys/ hose reels</v>
      </c>
      <c r="H1189" s="113" t="str">
        <f>IFERROR(INDEX(Product_Structure[Generic Name (long)3],MATCH(Товары[[#This Row],[SubGroup]],Product_Structure[Subgroup],0)),"")</f>
        <v>Тележки и катушки для шлангов</v>
      </c>
      <c r="I1189" s="36">
        <v>9015</v>
      </c>
      <c r="J1189" s="36" t="str">
        <f>IFERROR(INDEX(Product_Structure[Generic Name (long)],MATCH(Товары[[#This Row],[SubGroup]],Product_Structure[Subgroup],0)),"")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Row],[SubGroup]],DIY!$B:$C,2,FALSE),0)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3" t="str">
        <f>IFERROR(INDEX(Product_Structure[SuperCategory],MATCH(Товары[[#This Row],[SubGroup]],Product_Structure[Subgroup],0)),"")</f>
        <v>W</v>
      </c>
      <c r="D1190" s="113" t="str">
        <f>IFERROR(INDEX(Product_Structure[SuperCategory Name ENG],MATCH(Товары[[#This Row],[SubGroup]],Product_Structure[Subgroup],0)),"")</f>
        <v>Watering (mobile, sprinkler system&amp;MDS, Ponds)</v>
      </c>
      <c r="E11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0" s="113" t="str">
        <f>IFERROR(INDEX(Product_Structure[Product group],MATCH(Товары[[#This Row],[SubGroup]],Product_Structure[Subgroup],0)),"")</f>
        <v>WMA_C</v>
      </c>
      <c r="G1190" s="113" t="str">
        <f>IFERROR(INDEX(Product_Structure[Product group name ENG],MATCH(Товары[[#This Row],[SubGroup]],Product_Structure[Subgroup],0)),"")</f>
        <v>Watering Mobile Attachments</v>
      </c>
      <c r="H1190" s="113" t="str">
        <f>IFERROR(INDEX(Product_Structure[Generic Name (long)3],MATCH(Товары[[#This Row],[SubGroup]],Product_Structure[Subgroup],0)),"")</f>
        <v>Наконечники для полива</v>
      </c>
      <c r="I1190" s="36">
        <v>9161</v>
      </c>
      <c r="J1190" s="36" t="str">
        <f>IFERROR(INDEX(Product_Structure[Generic Name (long)],MATCH(Товары[[#This Row],[SubGroup]],Product_Structure[Subgroup],0)),"")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Row],[SubGroup]],DIY!$B:$C,2,FALSE),0)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3" t="str">
        <f>IFERROR(INDEX(Product_Structure[SuperCategory],MATCH(Товары[[#This Row],[SubGroup]],Product_Structure[Subgroup],0)),"")</f>
        <v>W</v>
      </c>
      <c r="D1191" s="113" t="str">
        <f>IFERROR(INDEX(Product_Structure[SuperCategory Name ENG],MATCH(Товары[[#This Row],[SubGroup]],Product_Structure[Subgroup],0)),"")</f>
        <v>Watering (mobile, sprinkler system&amp;MDS, Ponds)</v>
      </c>
      <c r="E11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1" s="113" t="str">
        <f>IFERROR(INDEX(Product_Structure[Product group],MATCH(Товары[[#This Row],[SubGroup]],Product_Structure[Subgroup],0)),"")</f>
        <v>WMA_C</v>
      </c>
      <c r="G1191" s="113" t="str">
        <f>IFERROR(INDEX(Product_Structure[Product group name ENG],MATCH(Товары[[#This Row],[SubGroup]],Product_Structure[Subgroup],0)),"")</f>
        <v>Watering Mobile Attachments</v>
      </c>
      <c r="H1191" s="113" t="str">
        <f>IFERROR(INDEX(Product_Structure[Generic Name (long)3],MATCH(Товары[[#This Row],[SubGroup]],Product_Structure[Subgroup],0)),"")</f>
        <v>Наконечники для полива</v>
      </c>
      <c r="I1191" s="36">
        <v>9161</v>
      </c>
      <c r="J1191" s="36" t="str">
        <f>IFERROR(INDEX(Product_Structure[Generic Name (long)],MATCH(Товары[[#This Row],[SubGroup]],Product_Structure[Subgroup],0)),"")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Row],[SubGroup]],DIY!$B:$C,2,FALSE),0)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3" t="str">
        <f>IFERROR(INDEX(Product_Structure[SuperCategory],MATCH(Товары[[#This Row],[SubGroup]],Product_Structure[Subgroup],0)),"")</f>
        <v>W</v>
      </c>
      <c r="D1192" s="113" t="str">
        <f>IFERROR(INDEX(Product_Structure[SuperCategory Name ENG],MATCH(Товары[[#This Row],[SubGroup]],Product_Structure[Subgroup],0)),"")</f>
        <v>Watering (mobile, sprinkler system&amp;MDS, Ponds)</v>
      </c>
      <c r="E11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2" s="113" t="str">
        <f>IFERROR(INDEX(Product_Structure[Product group],MATCH(Товары[[#This Row],[SubGroup]],Product_Structure[Subgroup],0)),"")</f>
        <v>WMA_C</v>
      </c>
      <c r="G1192" s="113" t="str">
        <f>IFERROR(INDEX(Product_Structure[Product group name ENG],MATCH(Товары[[#This Row],[SubGroup]],Product_Structure[Subgroup],0)),"")</f>
        <v>Watering Mobile Attachments</v>
      </c>
      <c r="H1192" s="113" t="str">
        <f>IFERROR(INDEX(Product_Structure[Generic Name (long)3],MATCH(Товары[[#This Row],[SubGroup]],Product_Structure[Subgroup],0)),"")</f>
        <v>Наконечники для полива</v>
      </c>
      <c r="I1192" s="36">
        <v>9161</v>
      </c>
      <c r="J1192" s="36" t="str">
        <f>IFERROR(INDEX(Product_Structure[Generic Name (long)],MATCH(Товары[[#This Row],[SubGroup]],Product_Structure[Subgroup],0)),"")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Row],[SubGroup]],DIY!$B:$C,2,FALSE),0)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3" t="str">
        <f>IFERROR(INDEX(Product_Structure[SuperCategory],MATCH(Товары[[#This Row],[SubGroup]],Product_Structure[Subgroup],0)),"")</f>
        <v>W</v>
      </c>
      <c r="D1193" s="113" t="str">
        <f>IFERROR(INDEX(Product_Structure[SuperCategory Name ENG],MATCH(Товары[[#This Row],[SubGroup]],Product_Structure[Subgroup],0)),"")</f>
        <v>Watering (mobile, sprinkler system&amp;MDS, Ponds)</v>
      </c>
      <c r="E11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3" s="113" t="str">
        <f>IFERROR(INDEX(Product_Structure[Product group],MATCH(Товары[[#This Row],[SubGroup]],Product_Structure[Subgroup],0)),"")</f>
        <v>WMA_C</v>
      </c>
      <c r="G1193" s="113" t="str">
        <f>IFERROR(INDEX(Product_Structure[Product group name ENG],MATCH(Товары[[#This Row],[SubGroup]],Product_Structure[Subgroup],0)),"")</f>
        <v>Watering Mobile Attachments</v>
      </c>
      <c r="H1193" s="113" t="str">
        <f>IFERROR(INDEX(Product_Structure[Generic Name (long)3],MATCH(Товары[[#This Row],[SubGroup]],Product_Structure[Subgroup],0)),"")</f>
        <v>Наконечники для полива</v>
      </c>
      <c r="I1193" s="36">
        <v>9022</v>
      </c>
      <c r="J1193" s="36" t="str">
        <f>IFERROR(INDEX(Product_Structure[Generic Name (long)],MATCH(Товары[[#This Row],[SubGroup]],Product_Structure[Subgroup],0)),"")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Row],[SubGroup]],DIY!$B:$C,2,FALSE),0)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3" t="str">
        <f>IFERROR(INDEX(Product_Structure[SuperCategory],MATCH(Товары[[#This Row],[SubGroup]],Product_Structure[Subgroup],0)),"")</f>
        <v>W</v>
      </c>
      <c r="D1194" s="113" t="str">
        <f>IFERROR(INDEX(Product_Structure[SuperCategory Name ENG],MATCH(Товары[[#This Row],[SubGroup]],Product_Structure[Subgroup],0)),"")</f>
        <v>Watering (mobile, sprinkler system&amp;MDS, Ponds)</v>
      </c>
      <c r="E11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4" s="113" t="str">
        <f>IFERROR(INDEX(Product_Structure[Product group],MATCH(Товары[[#This Row],[SubGroup]],Product_Structure[Subgroup],0)),"")</f>
        <v>WMA_C</v>
      </c>
      <c r="G1194" s="113" t="str">
        <f>IFERROR(INDEX(Product_Structure[Product group name ENG],MATCH(Товары[[#This Row],[SubGroup]],Product_Structure[Subgroup],0)),"")</f>
        <v>Watering Mobile Attachments</v>
      </c>
      <c r="H1194" s="113" t="str">
        <f>IFERROR(INDEX(Product_Structure[Generic Name (long)3],MATCH(Товары[[#This Row],[SubGroup]],Product_Structure[Subgroup],0)),"")</f>
        <v>Наконечники для полива</v>
      </c>
      <c r="I1194" s="36">
        <v>9022</v>
      </c>
      <c r="J1194" s="36" t="str">
        <f>IFERROR(INDEX(Product_Structure[Generic Name (long)],MATCH(Товары[[#This Row],[SubGroup]],Product_Structure[Subgroup],0)),"")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Row],[SubGroup]],DIY!$B:$C,2,FALSE),0)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3" t="str">
        <f>IFERROR(INDEX(Product_Structure[SuperCategory],MATCH(Товары[[#This Row],[SubGroup]],Product_Structure[Subgroup],0)),"")</f>
        <v>W</v>
      </c>
      <c r="D1195" s="113" t="str">
        <f>IFERROR(INDEX(Product_Structure[SuperCategory Name ENG],MATCH(Товары[[#This Row],[SubGroup]],Product_Structure[Subgroup],0)),"")</f>
        <v>Watering (mobile, sprinkler system&amp;MDS, Ponds)</v>
      </c>
      <c r="E11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5" s="113" t="str">
        <f>IFERROR(INDEX(Product_Structure[Product group],MATCH(Товары[[#This Row],[SubGroup]],Product_Structure[Subgroup],0)),"")</f>
        <v>WMA_C</v>
      </c>
      <c r="G1195" s="113" t="str">
        <f>IFERROR(INDEX(Product_Structure[Product group name ENG],MATCH(Товары[[#This Row],[SubGroup]],Product_Structure[Subgroup],0)),"")</f>
        <v>Watering Mobile Attachments</v>
      </c>
      <c r="H1195" s="113" t="str">
        <f>IFERROR(INDEX(Product_Structure[Generic Name (long)3],MATCH(Товары[[#This Row],[SubGroup]],Product_Structure[Subgroup],0)),"")</f>
        <v>Наконечники для полива</v>
      </c>
      <c r="I1195" s="36">
        <v>9022</v>
      </c>
      <c r="J1195" s="36" t="str">
        <f>IFERROR(INDEX(Product_Structure[Generic Name (long)],MATCH(Товары[[#This Row],[SubGroup]],Product_Structure[Subgroup],0)),"")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Row],[SubGroup]],DIY!$B:$C,2,FALSE),0)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3" t="str">
        <f>IFERROR(INDEX(Product_Structure[SuperCategory],MATCH(Товары[[#This Row],[SubGroup]],Product_Structure[Subgroup],0)),"")</f>
        <v>W</v>
      </c>
      <c r="D1196" s="113" t="str">
        <f>IFERROR(INDEX(Product_Structure[SuperCategory Name ENG],MATCH(Товары[[#This Row],[SubGroup]],Product_Structure[Subgroup],0)),"")</f>
        <v>Watering (mobile, sprinkler system&amp;MDS, Ponds)</v>
      </c>
      <c r="E11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6" s="113" t="str">
        <f>IFERROR(INDEX(Product_Structure[Product group],MATCH(Товары[[#This Row],[SubGroup]],Product_Structure[Subgroup],0)),"")</f>
        <v>WMA_C</v>
      </c>
      <c r="G1196" s="113" t="str">
        <f>IFERROR(INDEX(Product_Structure[Product group name ENG],MATCH(Товары[[#This Row],[SubGroup]],Product_Structure[Subgroup],0)),"")</f>
        <v>Watering Mobile Attachments</v>
      </c>
      <c r="H1196" s="113" t="str">
        <f>IFERROR(INDEX(Product_Structure[Generic Name (long)3],MATCH(Товары[[#This Row],[SubGroup]],Product_Structure[Subgroup],0)),"")</f>
        <v>Наконечники для полива</v>
      </c>
      <c r="I1196" s="36">
        <v>9022</v>
      </c>
      <c r="J1196" s="36" t="str">
        <f>IFERROR(INDEX(Product_Structure[Generic Name (long)],MATCH(Товары[[#This Row],[SubGroup]],Product_Structure[Subgroup],0)),"")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Row],[SubGroup]],DIY!$B:$C,2,FALSE),0)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3" t="str">
        <f>IFERROR(INDEX(Product_Structure[SuperCategory],MATCH(Товары[[#This Row],[SubGroup]],Product_Structure[Subgroup],0)),"")</f>
        <v>W</v>
      </c>
      <c r="D1197" s="113" t="str">
        <f>IFERROR(INDEX(Product_Structure[SuperCategory Name ENG],MATCH(Товары[[#This Row],[SubGroup]],Product_Structure[Subgroup],0)),"")</f>
        <v>Watering (mobile, sprinkler system&amp;MDS, Ponds)</v>
      </c>
      <c r="E11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7" s="113" t="str">
        <f>IFERROR(INDEX(Product_Structure[Product group],MATCH(Товары[[#This Row],[SubGroup]],Product_Structure[Subgroup],0)),"")</f>
        <v>WMO_C</v>
      </c>
      <c r="G1197" s="113" t="str">
        <f>IFERROR(INDEX(Product_Structure[Product group name ENG],MATCH(Товары[[#This Row],[SubGroup]],Product_Structure[Subgroup],0)),"")</f>
        <v>Watering Mobile OGS</v>
      </c>
      <c r="H1197" s="113" t="str">
        <f>IFERROR(INDEX(Product_Structure[Generic Name (long)3],MATCH(Товары[[#This Row],[SubGroup]],Product_Structure[Subgroup],0)),"")</f>
        <v>Фитинги для шлангов</v>
      </c>
      <c r="I1197" s="36">
        <v>9011</v>
      </c>
      <c r="J1197" s="36" t="str">
        <f>IFERROR(INDEX(Product_Structure[Generic Name (long)],MATCH(Товары[[#This Row],[SubGroup]],Product_Structure[Subgroup],0)),"")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Row],[SubGroup]],DIY!$B:$C,2,FALSE),0)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3" t="str">
        <f>IFERROR(INDEX(Product_Structure[SuperCategory],MATCH(Товары[[#This Row],[SubGroup]],Product_Structure[Subgroup],0)),"")</f>
        <v>W</v>
      </c>
      <c r="D1198" s="113" t="str">
        <f>IFERROR(INDEX(Product_Structure[SuperCategory Name ENG],MATCH(Товары[[#This Row],[SubGroup]],Product_Structure[Subgroup],0)),"")</f>
        <v>Watering (mobile, sprinkler system&amp;MDS, Ponds)</v>
      </c>
      <c r="E11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8" s="113" t="str">
        <f>IFERROR(INDEX(Product_Structure[Product group],MATCH(Товары[[#This Row],[SubGroup]],Product_Structure[Subgroup],0)),"")</f>
        <v>WMO_C</v>
      </c>
      <c r="G1198" s="113" t="str">
        <f>IFERROR(INDEX(Product_Structure[Product group name ENG],MATCH(Товары[[#This Row],[SubGroup]],Product_Structure[Subgroup],0)),"")</f>
        <v>Watering Mobile OGS</v>
      </c>
      <c r="H1198" s="113" t="str">
        <f>IFERROR(INDEX(Product_Structure[Generic Name (long)3],MATCH(Товары[[#This Row],[SubGroup]],Product_Structure[Subgroup],0)),"")</f>
        <v>Фитинги для шлангов</v>
      </c>
      <c r="I1198" s="36">
        <v>9011</v>
      </c>
      <c r="J1198" s="36" t="str">
        <f>IFERROR(INDEX(Product_Structure[Generic Name (long)],MATCH(Товары[[#This Row],[SubGroup]],Product_Structure[Subgroup],0)),"")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Row],[SubGroup]],DIY!$B:$C,2,FALSE),0)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3" t="str">
        <f>IFERROR(INDEX(Product_Structure[SuperCategory],MATCH(Товары[[#This Row],[SubGroup]],Product_Structure[Subgroup],0)),"")</f>
        <v>W</v>
      </c>
      <c r="D1199" s="113" t="str">
        <f>IFERROR(INDEX(Product_Structure[SuperCategory Name ENG],MATCH(Товары[[#This Row],[SubGroup]],Product_Structure[Subgroup],0)),"")</f>
        <v>Watering (mobile, sprinkler system&amp;MDS, Ponds)</v>
      </c>
      <c r="E11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199" s="113" t="str">
        <f>IFERROR(INDEX(Product_Structure[Product group],MATCH(Товары[[#This Row],[SubGroup]],Product_Structure[Subgroup],0)),"")</f>
        <v>WMO_C</v>
      </c>
      <c r="G1199" s="113" t="str">
        <f>IFERROR(INDEX(Product_Structure[Product group name ENG],MATCH(Товары[[#This Row],[SubGroup]],Product_Structure[Subgroup],0)),"")</f>
        <v>Watering Mobile OGS</v>
      </c>
      <c r="H1199" s="113" t="str">
        <f>IFERROR(INDEX(Product_Structure[Generic Name (long)3],MATCH(Товары[[#This Row],[SubGroup]],Product_Structure[Subgroup],0)),"")</f>
        <v>Фитинги для шлангов</v>
      </c>
      <c r="I1199" s="36">
        <v>9011</v>
      </c>
      <c r="J1199" s="36" t="str">
        <f>IFERROR(INDEX(Product_Structure[Generic Name (long)],MATCH(Товары[[#This Row],[SubGroup]],Product_Structure[Subgroup],0)),"")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Row],[SubGroup]],DIY!$B:$C,2,FALSE),0)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3" t="str">
        <f>IFERROR(INDEX(Product_Structure[SuperCategory],MATCH(Товары[[#This Row],[SubGroup]],Product_Structure[Subgroup],0)),"")</f>
        <v>W</v>
      </c>
      <c r="D1200" s="113" t="str">
        <f>IFERROR(INDEX(Product_Structure[SuperCategory Name ENG],MATCH(Товары[[#This Row],[SubGroup]],Product_Structure[Subgroup],0)),"")</f>
        <v>Watering (mobile, sprinkler system&amp;MDS, Ponds)</v>
      </c>
      <c r="E12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0" s="113" t="str">
        <f>IFERROR(INDEX(Product_Structure[Product group],MATCH(Товары[[#This Row],[SubGroup]],Product_Structure[Subgroup],0)),"")</f>
        <v>WMO_C</v>
      </c>
      <c r="G1200" s="113" t="str">
        <f>IFERROR(INDEX(Product_Structure[Product group name ENG],MATCH(Товары[[#This Row],[SubGroup]],Product_Structure[Subgroup],0)),"")</f>
        <v>Watering Mobile OGS</v>
      </c>
      <c r="H1200" s="113" t="str">
        <f>IFERROR(INDEX(Product_Structure[Generic Name (long)3],MATCH(Товары[[#This Row],[SubGroup]],Product_Structure[Subgroup],0)),"")</f>
        <v>Фитинги для шлангов</v>
      </c>
      <c r="I1200" s="36">
        <v>9011</v>
      </c>
      <c r="J1200" s="36" t="str">
        <f>IFERROR(INDEX(Product_Structure[Generic Name (long)],MATCH(Товары[[#This Row],[SubGroup]],Product_Structure[Subgroup],0)),"")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Row],[SubGroup]],DIY!$B:$C,2,FALSE),0)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3" t="str">
        <f>IFERROR(INDEX(Product_Structure[SuperCategory],MATCH(Товары[[#This Row],[SubGroup]],Product_Structure[Subgroup],0)),"")</f>
        <v>W</v>
      </c>
      <c r="D1201" s="113" t="str">
        <f>IFERROR(INDEX(Product_Structure[SuperCategory Name ENG],MATCH(Товары[[#This Row],[SubGroup]],Product_Structure[Subgroup],0)),"")</f>
        <v>Watering (mobile, sprinkler system&amp;MDS, Ponds)</v>
      </c>
      <c r="E12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1" s="113" t="str">
        <f>IFERROR(INDEX(Product_Structure[Product group],MATCH(Товары[[#This Row],[SubGroup]],Product_Structure[Subgroup],0)),"")</f>
        <v>WMO_C</v>
      </c>
      <c r="G1201" s="113" t="str">
        <f>IFERROR(INDEX(Product_Structure[Product group name ENG],MATCH(Товары[[#This Row],[SubGroup]],Product_Structure[Subgroup],0)),"")</f>
        <v>Watering Mobile OGS</v>
      </c>
      <c r="H1201" s="113" t="str">
        <f>IFERROR(INDEX(Product_Structure[Generic Name (long)3],MATCH(Товары[[#This Row],[SubGroup]],Product_Structure[Subgroup],0)),"")</f>
        <v>Фитинги для шлангов</v>
      </c>
      <c r="I1201" s="36">
        <v>9011</v>
      </c>
      <c r="J1201" s="36" t="str">
        <f>IFERROR(INDEX(Product_Structure[Generic Name (long)],MATCH(Товары[[#This Row],[SubGroup]],Product_Structure[Subgroup],0)),"")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Row],[SubGroup]],DIY!$B:$C,2,FALSE),0)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3" t="str">
        <f>IFERROR(INDEX(Product_Structure[SuperCategory],MATCH(Товары[[#This Row],[SubGroup]],Product_Structure[Subgroup],0)),"")</f>
        <v>W</v>
      </c>
      <c r="D1202" s="113" t="str">
        <f>IFERROR(INDEX(Product_Structure[SuperCategory Name ENG],MATCH(Товары[[#This Row],[SubGroup]],Product_Structure[Subgroup],0)),"")</f>
        <v>Watering (mobile, sprinkler system&amp;MDS, Ponds)</v>
      </c>
      <c r="E12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2" s="113" t="str">
        <f>IFERROR(INDEX(Product_Structure[Product group],MATCH(Товары[[#This Row],[SubGroup]],Product_Structure[Subgroup],0)),"")</f>
        <v>WMO_C</v>
      </c>
      <c r="G1202" s="113" t="str">
        <f>IFERROR(INDEX(Product_Structure[Product group name ENG],MATCH(Товары[[#This Row],[SubGroup]],Product_Structure[Subgroup],0)),"")</f>
        <v>Watering Mobile OGS</v>
      </c>
      <c r="H1202" s="113" t="str">
        <f>IFERROR(INDEX(Product_Structure[Generic Name (long)3],MATCH(Товары[[#This Row],[SubGroup]],Product_Structure[Subgroup],0)),"")</f>
        <v>Фитинги для шлангов</v>
      </c>
      <c r="I1202" s="36">
        <v>9011</v>
      </c>
      <c r="J1202" s="36" t="str">
        <f>IFERROR(INDEX(Product_Structure[Generic Name (long)],MATCH(Товары[[#This Row],[SubGroup]],Product_Structure[Subgroup],0)),"")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Row],[SubGroup]],DIY!$B:$C,2,FALSE),0)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3" t="str">
        <f>IFERROR(INDEX(Product_Structure[SuperCategory],MATCH(Товары[[#This Row],[SubGroup]],Product_Structure[Subgroup],0)),"")</f>
        <v>W</v>
      </c>
      <c r="D1203" s="113" t="str">
        <f>IFERROR(INDEX(Product_Structure[SuperCategory Name ENG],MATCH(Товары[[#This Row],[SubGroup]],Product_Structure[Subgroup],0)),"")</f>
        <v>Watering (mobile, sprinkler system&amp;MDS, Ponds)</v>
      </c>
      <c r="E12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3" s="113" t="str">
        <f>IFERROR(INDEX(Product_Structure[Product group],MATCH(Товары[[#This Row],[SubGroup]],Product_Structure[Subgroup],0)),"")</f>
        <v>WMO_C</v>
      </c>
      <c r="G1203" s="113" t="str">
        <f>IFERROR(INDEX(Product_Structure[Product group name ENG],MATCH(Товары[[#This Row],[SubGroup]],Product_Structure[Subgroup],0)),"")</f>
        <v>Watering Mobile OGS</v>
      </c>
      <c r="H1203" s="113" t="str">
        <f>IFERROR(INDEX(Product_Structure[Generic Name (long)3],MATCH(Товары[[#This Row],[SubGroup]],Product_Structure[Subgroup],0)),"")</f>
        <v>Фитинги для шлангов</v>
      </c>
      <c r="I1203" s="36">
        <v>9011</v>
      </c>
      <c r="J1203" s="36" t="str">
        <f>IFERROR(INDEX(Product_Structure[Generic Name (long)],MATCH(Товары[[#This Row],[SubGroup]],Product_Structure[Subgroup],0)),"")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Row],[SubGroup]],DIY!$B:$C,2,FALSE),0)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3" t="str">
        <f>IFERROR(INDEX(Product_Structure[SuperCategory],MATCH(Товары[[#This Row],[SubGroup]],Product_Structure[Subgroup],0)),"")</f>
        <v>W</v>
      </c>
      <c r="D1204" s="113" t="str">
        <f>IFERROR(INDEX(Product_Structure[SuperCategory Name ENG],MATCH(Товары[[#This Row],[SubGroup]],Product_Structure[Subgroup],0)),"")</f>
        <v>Watering (mobile, sprinkler system&amp;MDS, Ponds)</v>
      </c>
      <c r="E12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4" s="113" t="str">
        <f>IFERROR(INDEX(Product_Structure[Product group],MATCH(Товары[[#This Row],[SubGroup]],Product_Structure[Subgroup],0)),"")</f>
        <v>WMO_C</v>
      </c>
      <c r="G1204" s="113" t="str">
        <f>IFERROR(INDEX(Product_Structure[Product group name ENG],MATCH(Товары[[#This Row],[SubGroup]],Product_Structure[Subgroup],0)),"")</f>
        <v>Watering Mobile OGS</v>
      </c>
      <c r="H1204" s="113" t="str">
        <f>IFERROR(INDEX(Product_Structure[Generic Name (long)3],MATCH(Товары[[#This Row],[SubGroup]],Product_Structure[Subgroup],0)),"")</f>
        <v>Фитинги для шлангов</v>
      </c>
      <c r="I1204" s="36">
        <v>9011</v>
      </c>
      <c r="J1204" s="36" t="str">
        <f>IFERROR(INDEX(Product_Structure[Generic Name (long)],MATCH(Товары[[#This Row],[SubGroup]],Product_Structure[Subgroup],0)),"")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Row],[SubGroup]],DIY!$B:$C,2,FALSE),0)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3" t="str">
        <f>IFERROR(INDEX(Product_Structure[SuperCategory],MATCH(Товары[[#This Row],[SubGroup]],Product_Structure[Subgroup],0)),"")</f>
        <v>W</v>
      </c>
      <c r="D1205" s="113" t="str">
        <f>IFERROR(INDEX(Product_Structure[SuperCategory Name ENG],MATCH(Товары[[#This Row],[SubGroup]],Product_Structure[Subgroup],0)),"")</f>
        <v>Watering (mobile, sprinkler system&amp;MDS, Ponds)</v>
      </c>
      <c r="E12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5" s="113" t="str">
        <f>IFERROR(INDEX(Product_Structure[Product group],MATCH(Товары[[#This Row],[SubGroup]],Product_Structure[Subgroup],0)),"")</f>
        <v>WMO_C</v>
      </c>
      <c r="G1205" s="113" t="str">
        <f>IFERROR(INDEX(Product_Structure[Product group name ENG],MATCH(Товары[[#This Row],[SubGroup]],Product_Structure[Subgroup],0)),"")</f>
        <v>Watering Mobile OGS</v>
      </c>
      <c r="H1205" s="113" t="str">
        <f>IFERROR(INDEX(Product_Structure[Generic Name (long)3],MATCH(Товары[[#This Row],[SubGroup]],Product_Structure[Subgroup],0)),"")</f>
        <v>Фитинги для шлангов</v>
      </c>
      <c r="I1205" s="36">
        <v>9011</v>
      </c>
      <c r="J1205" s="36" t="str">
        <f>IFERROR(INDEX(Product_Structure[Generic Name (long)],MATCH(Товары[[#This Row],[SubGroup]],Product_Structure[Subgroup],0)),"")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Row],[SubGroup]],DIY!$B:$C,2,FALSE),0)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3" t="str">
        <f>IFERROR(INDEX(Product_Structure[SuperCategory],MATCH(Товары[[#This Row],[SubGroup]],Product_Structure[Subgroup],0)),"")</f>
        <v>W</v>
      </c>
      <c r="D1206" s="113" t="str">
        <f>IFERROR(INDEX(Product_Structure[SuperCategory Name ENG],MATCH(Товары[[#This Row],[SubGroup]],Product_Structure[Subgroup],0)),"")</f>
        <v>Watering (mobile, sprinkler system&amp;MDS, Ponds)</v>
      </c>
      <c r="E12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6" s="113" t="str">
        <f>IFERROR(INDEX(Product_Structure[Product group],MATCH(Товары[[#This Row],[SubGroup]],Product_Structure[Subgroup],0)),"")</f>
        <v>WMO_C</v>
      </c>
      <c r="G1206" s="113" t="str">
        <f>IFERROR(INDEX(Product_Structure[Product group name ENG],MATCH(Товары[[#This Row],[SubGroup]],Product_Structure[Subgroup],0)),"")</f>
        <v>Watering Mobile OGS</v>
      </c>
      <c r="H1206" s="113" t="str">
        <f>IFERROR(INDEX(Product_Structure[Generic Name (long)3],MATCH(Товары[[#This Row],[SubGroup]],Product_Structure[Subgroup],0)),"")</f>
        <v>Фитинги для шлангов</v>
      </c>
      <c r="I1206" s="36">
        <v>9011</v>
      </c>
      <c r="J1206" s="36" t="str">
        <f>IFERROR(INDEX(Product_Structure[Generic Name (long)],MATCH(Товары[[#This Row],[SubGroup]],Product_Structure[Subgroup],0)),"")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Row],[SubGroup]],DIY!$B:$C,2,FALSE),0)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3" t="str">
        <f>IFERROR(INDEX(Product_Structure[SuperCategory],MATCH(Товары[[#This Row],[SubGroup]],Product_Structure[Subgroup],0)),"")</f>
        <v>W</v>
      </c>
      <c r="D1207" s="113" t="str">
        <f>IFERROR(INDEX(Product_Structure[SuperCategory Name ENG],MATCH(Товары[[#This Row],[SubGroup]],Product_Structure[Subgroup],0)),"")</f>
        <v>Watering (mobile, sprinkler system&amp;MDS, Ponds)</v>
      </c>
      <c r="E12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7" s="113" t="str">
        <f>IFERROR(INDEX(Product_Structure[Product group],MATCH(Товары[[#This Row],[SubGroup]],Product_Structure[Subgroup],0)),"")</f>
        <v>WMO_C</v>
      </c>
      <c r="G1207" s="113" t="str">
        <f>IFERROR(INDEX(Product_Structure[Product group name ENG],MATCH(Товары[[#This Row],[SubGroup]],Product_Structure[Subgroup],0)),"")</f>
        <v>Watering Mobile OGS</v>
      </c>
      <c r="H1207" s="113" t="str">
        <f>IFERROR(INDEX(Product_Structure[Generic Name (long)3],MATCH(Товары[[#This Row],[SubGroup]],Product_Structure[Subgroup],0)),"")</f>
        <v>Фитинги для шлангов</v>
      </c>
      <c r="I1207" s="36">
        <v>9011</v>
      </c>
      <c r="J1207" s="36" t="str">
        <f>IFERROR(INDEX(Product_Structure[Generic Name (long)],MATCH(Товары[[#This Row],[SubGroup]],Product_Structure[Subgroup],0)),"")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Row],[SubGroup]],DIY!$B:$C,2,FALSE),0)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3" t="str">
        <f>IFERROR(INDEX(Product_Structure[SuperCategory],MATCH(Товары[[#This Row],[SubGroup]],Product_Structure[Subgroup],0)),"")</f>
        <v>W</v>
      </c>
      <c r="D1208" s="113" t="str">
        <f>IFERROR(INDEX(Product_Structure[SuperCategory Name ENG],MATCH(Товары[[#This Row],[SubGroup]],Product_Structure[Subgroup],0)),"")</f>
        <v>Watering (mobile, sprinkler system&amp;MDS, Ponds)</v>
      </c>
      <c r="E12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8" s="113" t="str">
        <f>IFERROR(INDEX(Product_Structure[Product group],MATCH(Товары[[#This Row],[SubGroup]],Product_Structure[Subgroup],0)),"")</f>
        <v>WMO_C</v>
      </c>
      <c r="G1208" s="113" t="str">
        <f>IFERROR(INDEX(Product_Structure[Product group name ENG],MATCH(Товары[[#This Row],[SubGroup]],Product_Structure[Subgroup],0)),"")</f>
        <v>Watering Mobile OGS</v>
      </c>
      <c r="H1208" s="113" t="str">
        <f>IFERROR(INDEX(Product_Structure[Generic Name (long)3],MATCH(Товары[[#This Row],[SubGroup]],Product_Structure[Subgroup],0)),"")</f>
        <v>Фитинги для шлангов</v>
      </c>
      <c r="I1208" s="36">
        <v>9011</v>
      </c>
      <c r="J1208" s="36" t="str">
        <f>IFERROR(INDEX(Product_Structure[Generic Name (long)],MATCH(Товары[[#This Row],[SubGroup]],Product_Structure[Subgroup],0)),"")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Row],[SubGroup]],DIY!$B:$C,2,FALSE),0)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3" t="str">
        <f>IFERROR(INDEX(Product_Structure[SuperCategory],MATCH(Товары[[#This Row],[SubGroup]],Product_Structure[Subgroup],0)),"")</f>
        <v>W</v>
      </c>
      <c r="D1209" s="113" t="str">
        <f>IFERROR(INDEX(Product_Structure[SuperCategory Name ENG],MATCH(Товары[[#This Row],[SubGroup]],Product_Structure[Subgroup],0)),"")</f>
        <v>Watering (mobile, sprinkler system&amp;MDS, Ponds)</v>
      </c>
      <c r="E12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09" s="113" t="str">
        <f>IFERROR(INDEX(Product_Structure[Product group],MATCH(Товары[[#This Row],[SubGroup]],Product_Structure[Subgroup],0)),"")</f>
        <v>WMO_C</v>
      </c>
      <c r="G1209" s="113" t="str">
        <f>IFERROR(INDEX(Product_Structure[Product group name ENG],MATCH(Товары[[#This Row],[SubGroup]],Product_Structure[Subgroup],0)),"")</f>
        <v>Watering Mobile OGS</v>
      </c>
      <c r="H1209" s="113" t="str">
        <f>IFERROR(INDEX(Product_Structure[Generic Name (long)3],MATCH(Товары[[#This Row],[SubGroup]],Product_Structure[Subgroup],0)),"")</f>
        <v>Фитинги для шлангов</v>
      </c>
      <c r="I1209" s="36">
        <v>9011</v>
      </c>
      <c r="J1209" s="36" t="str">
        <f>IFERROR(INDEX(Product_Structure[Generic Name (long)],MATCH(Товары[[#This Row],[SubGroup]],Product_Structure[Subgroup],0)),"")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Row],[SubGroup]],DIY!$B:$C,2,FALSE),0)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3" t="str">
        <f>IFERROR(INDEX(Product_Structure[SuperCategory],MATCH(Товары[[#This Row],[SubGroup]],Product_Structure[Subgroup],0)),"")</f>
        <v>W</v>
      </c>
      <c r="D1210" s="113" t="str">
        <f>IFERROR(INDEX(Product_Structure[SuperCategory Name ENG],MATCH(Товары[[#This Row],[SubGroup]],Product_Structure[Subgroup],0)),"")</f>
        <v>Watering (mobile, sprinkler system&amp;MDS, Ponds)</v>
      </c>
      <c r="E12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0" s="113" t="str">
        <f>IFERROR(INDEX(Product_Structure[Product group],MATCH(Товары[[#This Row],[SubGroup]],Product_Structure[Subgroup],0)),"")</f>
        <v>WMO_C</v>
      </c>
      <c r="G1210" s="113" t="str">
        <f>IFERROR(INDEX(Product_Structure[Product group name ENG],MATCH(Товары[[#This Row],[SubGroup]],Product_Structure[Subgroup],0)),"")</f>
        <v>Watering Mobile OGS</v>
      </c>
      <c r="H1210" s="113" t="str">
        <f>IFERROR(INDEX(Product_Structure[Generic Name (long)3],MATCH(Товары[[#This Row],[SubGroup]],Product_Structure[Subgroup],0)),"")</f>
        <v>Фитинги для шлангов</v>
      </c>
      <c r="I1210" s="36">
        <v>9011</v>
      </c>
      <c r="J1210" s="36" t="str">
        <f>IFERROR(INDEX(Product_Structure[Generic Name (long)],MATCH(Товары[[#This Row],[SubGroup]],Product_Structure[Subgroup],0)),"")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Row],[SubGroup]],DIY!$B:$C,2,FALSE),0)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3" t="str">
        <f>IFERROR(INDEX(Product_Structure[SuperCategory],MATCH(Товары[[#This Row],[SubGroup]],Product_Structure[Subgroup],0)),"")</f>
        <v>W</v>
      </c>
      <c r="D1211" s="113" t="str">
        <f>IFERROR(INDEX(Product_Structure[SuperCategory Name ENG],MATCH(Товары[[#This Row],[SubGroup]],Product_Structure[Subgroup],0)),"")</f>
        <v>Watering (mobile, sprinkler system&amp;MDS, Ponds)</v>
      </c>
      <c r="E12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1" s="113" t="str">
        <f>IFERROR(INDEX(Product_Structure[Product group],MATCH(Товары[[#This Row],[SubGroup]],Product_Structure[Subgroup],0)),"")</f>
        <v>WMO_C</v>
      </c>
      <c r="G1211" s="113" t="str">
        <f>IFERROR(INDEX(Product_Structure[Product group name ENG],MATCH(Товары[[#This Row],[SubGroup]],Product_Structure[Subgroup],0)),"")</f>
        <v>Watering Mobile OGS</v>
      </c>
      <c r="H1211" s="113" t="str">
        <f>IFERROR(INDEX(Product_Structure[Generic Name (long)3],MATCH(Товары[[#This Row],[SubGroup]],Product_Structure[Subgroup],0)),"")</f>
        <v>Фитинги для шлангов</v>
      </c>
      <c r="I1211" s="36">
        <v>9011</v>
      </c>
      <c r="J1211" s="36" t="str">
        <f>IFERROR(INDEX(Product_Structure[Generic Name (long)],MATCH(Товары[[#This Row],[SubGroup]],Product_Structure[Subgroup],0)),"")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Row],[SubGroup]],DIY!$B:$C,2,FALSE),0)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3" t="str">
        <f>IFERROR(INDEX(Product_Structure[SuperCategory],MATCH(Товары[[#This Row],[SubGroup]],Product_Structure[Subgroup],0)),"")</f>
        <v>W</v>
      </c>
      <c r="D1212" s="113" t="str">
        <f>IFERROR(INDEX(Product_Structure[SuperCategory Name ENG],MATCH(Товары[[#This Row],[SubGroup]],Product_Structure[Subgroup],0)),"")</f>
        <v>Watering (mobile, sprinkler system&amp;MDS, Ponds)</v>
      </c>
      <c r="E12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2" s="113" t="str">
        <f>IFERROR(INDEX(Product_Structure[Product group],MATCH(Товары[[#This Row],[SubGroup]],Product_Structure[Subgroup],0)),"")</f>
        <v>WMO_C</v>
      </c>
      <c r="G1212" s="113" t="str">
        <f>IFERROR(INDEX(Product_Structure[Product group name ENG],MATCH(Товары[[#This Row],[SubGroup]],Product_Structure[Subgroup],0)),"")</f>
        <v>Watering Mobile OGS</v>
      </c>
      <c r="H1212" s="113" t="str">
        <f>IFERROR(INDEX(Product_Structure[Generic Name (long)3],MATCH(Товары[[#This Row],[SubGroup]],Product_Structure[Subgroup],0)),"")</f>
        <v>Фитинги для шлангов</v>
      </c>
      <c r="I1212" s="36">
        <v>9011</v>
      </c>
      <c r="J1212" s="36" t="str">
        <f>IFERROR(INDEX(Product_Structure[Generic Name (long)],MATCH(Товары[[#This Row],[SubGroup]],Product_Structure[Subgroup],0)),"")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Row],[SubGroup]],DIY!$B:$C,2,FALSE),0)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3" t="str">
        <f>IFERROR(INDEX(Product_Structure[SuperCategory],MATCH(Товары[[#This Row],[SubGroup]],Product_Structure[Subgroup],0)),"")</f>
        <v>W</v>
      </c>
      <c r="D1213" s="113" t="str">
        <f>IFERROR(INDEX(Product_Structure[SuperCategory Name ENG],MATCH(Товары[[#This Row],[SubGroup]],Product_Structure[Subgroup],0)),"")</f>
        <v>Watering (mobile, sprinkler system&amp;MDS, Ponds)</v>
      </c>
      <c r="E12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3" s="113" t="str">
        <f>IFERROR(INDEX(Product_Structure[Product group],MATCH(Товары[[#This Row],[SubGroup]],Product_Structure[Subgroup],0)),"")</f>
        <v>WMO_C</v>
      </c>
      <c r="G1213" s="113" t="str">
        <f>IFERROR(INDEX(Product_Structure[Product group name ENG],MATCH(Товары[[#This Row],[SubGroup]],Product_Structure[Subgroup],0)),"")</f>
        <v>Watering Mobile OGS</v>
      </c>
      <c r="H1213" s="113" t="str">
        <f>IFERROR(INDEX(Product_Structure[Generic Name (long)3],MATCH(Товары[[#This Row],[SubGroup]],Product_Structure[Subgroup],0)),"")</f>
        <v>Фитинги для шлангов</v>
      </c>
      <c r="I1213" s="36">
        <v>9011</v>
      </c>
      <c r="J1213" s="36" t="str">
        <f>IFERROR(INDEX(Product_Structure[Generic Name (long)],MATCH(Товары[[#This Row],[SubGroup]],Product_Structure[Subgroup],0)),"")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Row],[SubGroup]],DIY!$B:$C,2,FALSE),0)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3" t="str">
        <f>IFERROR(INDEX(Product_Structure[SuperCategory],MATCH(Товары[[#This Row],[SubGroup]],Product_Structure[Subgroup],0)),"")</f>
        <v>W</v>
      </c>
      <c r="D1214" s="113" t="str">
        <f>IFERROR(INDEX(Product_Structure[SuperCategory Name ENG],MATCH(Товары[[#This Row],[SubGroup]],Product_Structure[Subgroup],0)),"")</f>
        <v>Watering (mobile, sprinkler system&amp;MDS, Ponds)</v>
      </c>
      <c r="E12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4" s="113" t="str">
        <f>IFERROR(INDEX(Product_Structure[Product group],MATCH(Товары[[#This Row],[SubGroup]],Product_Structure[Subgroup],0)),"")</f>
        <v>WMO_C</v>
      </c>
      <c r="G1214" s="113" t="str">
        <f>IFERROR(INDEX(Product_Structure[Product group name ENG],MATCH(Товары[[#This Row],[SubGroup]],Product_Structure[Subgroup],0)),"")</f>
        <v>Watering Mobile OGS</v>
      </c>
      <c r="H1214" s="113" t="str">
        <f>IFERROR(INDEX(Product_Structure[Generic Name (long)3],MATCH(Товары[[#This Row],[SubGroup]],Product_Structure[Subgroup],0)),"")</f>
        <v>Фитинги для шлангов</v>
      </c>
      <c r="I1214" s="36">
        <v>9011</v>
      </c>
      <c r="J1214" s="36" t="str">
        <f>IFERROR(INDEX(Product_Structure[Generic Name (long)],MATCH(Товары[[#This Row],[SubGroup]],Product_Structure[Subgroup],0)),"")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Row],[SubGroup]],DIY!$B:$C,2,FALSE),0)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3" t="str">
        <f>IFERROR(INDEX(Product_Structure[SuperCategory],MATCH(Товары[[#This Row],[SubGroup]],Product_Structure[Subgroup],0)),"")</f>
        <v>W</v>
      </c>
      <c r="D1215" s="113" t="str">
        <f>IFERROR(INDEX(Product_Structure[SuperCategory Name ENG],MATCH(Товары[[#This Row],[SubGroup]],Product_Structure[Subgroup],0)),"")</f>
        <v>Watering (mobile, sprinkler system&amp;MDS, Ponds)</v>
      </c>
      <c r="E12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5" s="113" t="str">
        <f>IFERROR(INDEX(Product_Structure[Product group],MATCH(Товары[[#This Row],[SubGroup]],Product_Structure[Subgroup],0)),"")</f>
        <v>WMA_C</v>
      </c>
      <c r="G1215" s="113" t="str">
        <f>IFERROR(INDEX(Product_Structure[Product group name ENG],MATCH(Товары[[#This Row],[SubGroup]],Product_Structure[Subgroup],0)),"")</f>
        <v>Watering Mobile Attachments</v>
      </c>
      <c r="H1215" s="113" t="str">
        <f>IFERROR(INDEX(Product_Structure[Generic Name (long)3],MATCH(Товары[[#This Row],[SubGroup]],Product_Structure[Subgroup],0)),"")</f>
        <v>Наконечники для полива</v>
      </c>
      <c r="I1215" s="36">
        <v>9022</v>
      </c>
      <c r="J1215" s="36" t="str">
        <f>IFERROR(INDEX(Product_Structure[Generic Name (long)],MATCH(Товары[[#This Row],[SubGroup]],Product_Structure[Subgroup],0)),"")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Row],[SubGroup]],DIY!$B:$C,2,FALSE),0)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3" t="str">
        <f>IFERROR(INDEX(Product_Structure[SuperCategory],MATCH(Товары[[#This Row],[SubGroup]],Product_Structure[Subgroup],0)),"")</f>
        <v>W</v>
      </c>
      <c r="D1216" s="113" t="str">
        <f>IFERROR(INDEX(Product_Structure[SuperCategory Name ENG],MATCH(Товары[[#This Row],[SubGroup]],Product_Structure[Subgroup],0)),"")</f>
        <v>Watering (mobile, sprinkler system&amp;MDS, Ponds)</v>
      </c>
      <c r="E12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6" s="113" t="str">
        <f>IFERROR(INDEX(Product_Structure[Product group],MATCH(Товары[[#This Row],[SubGroup]],Product_Structure[Subgroup],0)),"")</f>
        <v>WMA_C</v>
      </c>
      <c r="G1216" s="113" t="str">
        <f>IFERROR(INDEX(Product_Structure[Product group name ENG],MATCH(Товары[[#This Row],[SubGroup]],Product_Structure[Subgroup],0)),"")</f>
        <v>Watering Mobile Attachments</v>
      </c>
      <c r="H1216" s="113" t="str">
        <f>IFERROR(INDEX(Product_Structure[Generic Name (long)3],MATCH(Товары[[#This Row],[SubGroup]],Product_Structure[Subgroup],0)),"")</f>
        <v>Наконечники для полива</v>
      </c>
      <c r="I1216" s="36">
        <v>9022</v>
      </c>
      <c r="J1216" s="36" t="str">
        <f>IFERROR(INDEX(Product_Structure[Generic Name (long)],MATCH(Товары[[#This Row],[SubGroup]],Product_Structure[Subgroup],0)),"")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Row],[SubGroup]],DIY!$B:$C,2,FALSE),0)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3" t="str">
        <f>IFERROR(INDEX(Product_Structure[SuperCategory],MATCH(Товары[[#This Row],[SubGroup]],Product_Structure[Subgroup],0)),"")</f>
        <v>W</v>
      </c>
      <c r="D1217" s="113" t="str">
        <f>IFERROR(INDEX(Product_Structure[SuperCategory Name ENG],MATCH(Товары[[#This Row],[SubGroup]],Product_Structure[Subgroup],0)),"")</f>
        <v>Watering (mobile, sprinkler system&amp;MDS, Ponds)</v>
      </c>
      <c r="E12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7" s="113" t="str">
        <f>IFERROR(INDEX(Product_Structure[Product group],MATCH(Товары[[#This Row],[SubGroup]],Product_Structure[Subgroup],0)),"")</f>
        <v>WMA_C</v>
      </c>
      <c r="G1217" s="113" t="str">
        <f>IFERROR(INDEX(Product_Structure[Product group name ENG],MATCH(Товары[[#This Row],[SubGroup]],Product_Structure[Subgroup],0)),"")</f>
        <v>Watering Mobile Attachments</v>
      </c>
      <c r="H1217" s="113" t="str">
        <f>IFERROR(INDEX(Product_Structure[Generic Name (long)3],MATCH(Товары[[#This Row],[SubGroup]],Product_Structure[Subgroup],0)),"")</f>
        <v>Наконечники для полива</v>
      </c>
      <c r="I1217" s="36">
        <v>9022</v>
      </c>
      <c r="J1217" s="36" t="str">
        <f>IFERROR(INDEX(Product_Structure[Generic Name (long)],MATCH(Товары[[#This Row],[SubGroup]],Product_Structure[Subgroup],0)),"")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Row],[SubGroup]],DIY!$B:$C,2,FALSE),0)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3" t="str">
        <f>IFERROR(INDEX(Product_Structure[SuperCategory],MATCH(Товары[[#This Row],[SubGroup]],Product_Structure[Subgroup],0)),"")</f>
        <v>W</v>
      </c>
      <c r="D1218" s="113" t="str">
        <f>IFERROR(INDEX(Product_Structure[SuperCategory Name ENG],MATCH(Товары[[#This Row],[SubGroup]],Product_Structure[Subgroup],0)),"")</f>
        <v>Watering (mobile, sprinkler system&amp;MDS, Ponds)</v>
      </c>
      <c r="E12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8" s="113" t="str">
        <f>IFERROR(INDEX(Product_Structure[Product group],MATCH(Товары[[#This Row],[SubGroup]],Product_Structure[Subgroup],0)),"")</f>
        <v>WMA_C</v>
      </c>
      <c r="G1218" s="113" t="str">
        <f>IFERROR(INDEX(Product_Structure[Product group name ENG],MATCH(Товары[[#This Row],[SubGroup]],Product_Structure[Subgroup],0)),"")</f>
        <v>Watering Mobile Attachments</v>
      </c>
      <c r="H1218" s="113" t="str">
        <f>IFERROR(INDEX(Product_Structure[Generic Name (long)3],MATCH(Товары[[#This Row],[SubGroup]],Product_Structure[Subgroup],0)),"")</f>
        <v>Наконечники для полива</v>
      </c>
      <c r="I1218" s="36">
        <v>9022</v>
      </c>
      <c r="J1218" s="36" t="str">
        <f>IFERROR(INDEX(Product_Structure[Generic Name (long)],MATCH(Товары[[#This Row],[SubGroup]],Product_Structure[Subgroup],0)),"")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Row],[SubGroup]],DIY!$B:$C,2,FALSE),0)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3" t="str">
        <f>IFERROR(INDEX(Product_Structure[SuperCategory],MATCH(Товары[[#This Row],[SubGroup]],Product_Structure[Subgroup],0)),"")</f>
        <v>W</v>
      </c>
      <c r="D1219" s="113" t="str">
        <f>IFERROR(INDEX(Product_Structure[SuperCategory Name ENG],MATCH(Товары[[#This Row],[SubGroup]],Product_Structure[Subgroup],0)),"")</f>
        <v>Watering (mobile, sprinkler system&amp;MDS, Ponds)</v>
      </c>
      <c r="E12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19" s="113" t="str">
        <f>IFERROR(INDEX(Product_Structure[Product group],MATCH(Товары[[#This Row],[SubGroup]],Product_Structure[Subgroup],0)),"")</f>
        <v>WMA_C</v>
      </c>
      <c r="G1219" s="113" t="str">
        <f>IFERROR(INDEX(Product_Structure[Product group name ENG],MATCH(Товары[[#This Row],[SubGroup]],Product_Structure[Subgroup],0)),"")</f>
        <v>Watering Mobile Attachments</v>
      </c>
      <c r="H1219" s="113" t="str">
        <f>IFERROR(INDEX(Product_Structure[Generic Name (long)3],MATCH(Товары[[#This Row],[SubGroup]],Product_Structure[Subgroup],0)),"")</f>
        <v>Наконечники для полива</v>
      </c>
      <c r="I1219" s="36">
        <v>9022</v>
      </c>
      <c r="J1219" s="36" t="str">
        <f>IFERROR(INDEX(Product_Structure[Generic Name (long)],MATCH(Товары[[#This Row],[SubGroup]],Product_Structure[Subgroup],0)),"")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Row],[SubGroup]],DIY!$B:$C,2,FALSE),0)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3" t="str">
        <f>IFERROR(INDEX(Product_Structure[SuperCategory],MATCH(Товары[[#This Row],[SubGroup]],Product_Structure[Subgroup],0)),"")</f>
        <v>W</v>
      </c>
      <c r="D1220" s="113" t="str">
        <f>IFERROR(INDEX(Product_Structure[SuperCategory Name ENG],MATCH(Товары[[#This Row],[SubGroup]],Product_Structure[Subgroup],0)),"")</f>
        <v>Watering (mobile, sprinkler system&amp;MDS, Ponds)</v>
      </c>
      <c r="E12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0" s="113" t="str">
        <f>IFERROR(INDEX(Product_Structure[Product group],MATCH(Товары[[#This Row],[SubGroup]],Product_Structure[Subgroup],0)),"")</f>
        <v>WMA_C</v>
      </c>
      <c r="G1220" s="113" t="str">
        <f>IFERROR(INDEX(Product_Structure[Product group name ENG],MATCH(Товары[[#This Row],[SubGroup]],Product_Structure[Subgroup],0)),"")</f>
        <v>Watering Mobile Attachments</v>
      </c>
      <c r="H1220" s="113" t="str">
        <f>IFERROR(INDEX(Product_Structure[Generic Name (long)3],MATCH(Товары[[#This Row],[SubGroup]],Product_Structure[Subgroup],0)),"")</f>
        <v>Наконечники для полива</v>
      </c>
      <c r="I1220" s="36">
        <v>9022</v>
      </c>
      <c r="J1220" s="36" t="str">
        <f>IFERROR(INDEX(Product_Structure[Generic Name (long)],MATCH(Товары[[#This Row],[SubGroup]],Product_Structure[Subgroup],0)),"")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Row],[SubGroup]],DIY!$B:$C,2,FALSE),0)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3" t="str">
        <f>IFERROR(INDEX(Product_Structure[SuperCategory],MATCH(Товары[[#This Row],[SubGroup]],Product_Structure[Subgroup],0)),"")</f>
        <v>W</v>
      </c>
      <c r="D1221" s="113" t="str">
        <f>IFERROR(INDEX(Product_Structure[SuperCategory Name ENG],MATCH(Товары[[#This Row],[SubGroup]],Product_Structure[Subgroup],0)),"")</f>
        <v>Watering (mobile, sprinkler system&amp;MDS, Ponds)</v>
      </c>
      <c r="E12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1" s="113" t="str">
        <f>IFERROR(INDEX(Product_Structure[Product group],MATCH(Товары[[#This Row],[SubGroup]],Product_Structure[Subgroup],0)),"")</f>
        <v>WMA_C</v>
      </c>
      <c r="G1221" s="113" t="str">
        <f>IFERROR(INDEX(Product_Structure[Product group name ENG],MATCH(Товары[[#This Row],[SubGroup]],Product_Structure[Subgroup],0)),"")</f>
        <v>Watering Mobile Attachments</v>
      </c>
      <c r="H1221" s="113" t="str">
        <f>IFERROR(INDEX(Product_Structure[Generic Name (long)3],MATCH(Товары[[#This Row],[SubGroup]],Product_Structure[Subgroup],0)),"")</f>
        <v>Наконечники для полива</v>
      </c>
      <c r="I1221" s="36">
        <v>9022</v>
      </c>
      <c r="J1221" s="36" t="str">
        <f>IFERROR(INDEX(Product_Structure[Generic Name (long)],MATCH(Товары[[#This Row],[SubGroup]],Product_Structure[Subgroup],0)),"")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Row],[SubGroup]],DIY!$B:$C,2,FALSE),0)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3" t="str">
        <f>IFERROR(INDEX(Product_Structure[SuperCategory],MATCH(Товары[[#This Row],[SubGroup]],Product_Structure[Subgroup],0)),"")</f>
        <v>W</v>
      </c>
      <c r="D1222" s="113" t="str">
        <f>IFERROR(INDEX(Product_Structure[SuperCategory Name ENG],MATCH(Товары[[#This Row],[SubGroup]],Product_Structure[Subgroup],0)),"")</f>
        <v>Watering (mobile, sprinkler system&amp;MDS, Ponds)</v>
      </c>
      <c r="E12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2" s="113" t="str">
        <f>IFERROR(INDEX(Product_Structure[Product group],MATCH(Товары[[#This Row],[SubGroup]],Product_Structure[Subgroup],0)),"")</f>
        <v>WMA_C</v>
      </c>
      <c r="G1222" s="113" t="str">
        <f>IFERROR(INDEX(Product_Structure[Product group name ENG],MATCH(Товары[[#This Row],[SubGroup]],Product_Structure[Subgroup],0)),"")</f>
        <v>Watering Mobile Attachments</v>
      </c>
      <c r="H1222" s="113" t="str">
        <f>IFERROR(INDEX(Product_Structure[Generic Name (long)3],MATCH(Товары[[#This Row],[SubGroup]],Product_Structure[Subgroup],0)),"")</f>
        <v>Наконечники для полива</v>
      </c>
      <c r="I1222" s="36">
        <v>9022</v>
      </c>
      <c r="J1222" s="36" t="str">
        <f>IFERROR(INDEX(Product_Structure[Generic Name (long)],MATCH(Товары[[#This Row],[SubGroup]],Product_Structure[Subgroup],0)),"")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Row],[SubGroup]],DIY!$B:$C,2,FALSE),0)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3" t="str">
        <f>IFERROR(INDEX(Product_Structure[SuperCategory],MATCH(Товары[[#This Row],[SubGroup]],Product_Structure[Subgroup],0)),"")</f>
        <v>W</v>
      </c>
      <c r="D1223" s="113" t="str">
        <f>IFERROR(INDEX(Product_Structure[SuperCategory Name ENG],MATCH(Товары[[#This Row],[SubGroup]],Product_Structure[Subgroup],0)),"")</f>
        <v>Watering (mobile, sprinkler system&amp;MDS, Ponds)</v>
      </c>
      <c r="E12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3" s="113" t="str">
        <f>IFERROR(INDEX(Product_Structure[Product group],MATCH(Товары[[#This Row],[SubGroup]],Product_Structure[Subgroup],0)),"")</f>
        <v>WMA_C</v>
      </c>
      <c r="G1223" s="113" t="str">
        <f>IFERROR(INDEX(Product_Structure[Product group name ENG],MATCH(Товары[[#This Row],[SubGroup]],Product_Structure[Subgroup],0)),"")</f>
        <v>Watering Mobile Attachments</v>
      </c>
      <c r="H1223" s="113" t="str">
        <f>IFERROR(INDEX(Product_Structure[Generic Name (long)3],MATCH(Товары[[#This Row],[SubGroup]],Product_Structure[Subgroup],0)),"")</f>
        <v>Наконечники для полива</v>
      </c>
      <c r="I1223" s="36">
        <v>9022</v>
      </c>
      <c r="J1223" s="36" t="str">
        <f>IFERROR(INDEX(Product_Structure[Generic Name (long)],MATCH(Товары[[#This Row],[SubGroup]],Product_Structure[Subgroup],0)),"")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Row],[SubGroup]],DIY!$B:$C,2,FALSE),0)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3" t="str">
        <f>IFERROR(INDEX(Product_Structure[SuperCategory],MATCH(Товары[[#This Row],[SubGroup]],Product_Structure[Subgroup],0)),"")</f>
        <v>W</v>
      </c>
      <c r="D1224" s="113" t="str">
        <f>IFERROR(INDEX(Product_Structure[SuperCategory Name ENG],MATCH(Товары[[#This Row],[SubGroup]],Product_Structure[Subgroup],0)),"")</f>
        <v>Watering (mobile, sprinkler system&amp;MDS, Ponds)</v>
      </c>
      <c r="E12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4" s="113" t="str">
        <f>IFERROR(INDEX(Product_Structure[Product group],MATCH(Товары[[#This Row],[SubGroup]],Product_Structure[Subgroup],0)),"")</f>
        <v>WMA_C</v>
      </c>
      <c r="G1224" s="113" t="str">
        <f>IFERROR(INDEX(Product_Structure[Product group name ENG],MATCH(Товары[[#This Row],[SubGroup]],Product_Structure[Subgroup],0)),"")</f>
        <v>Watering Mobile Attachments</v>
      </c>
      <c r="H1224" s="113" t="str">
        <f>IFERROR(INDEX(Product_Structure[Generic Name (long)3],MATCH(Товары[[#This Row],[SubGroup]],Product_Structure[Subgroup],0)),"")</f>
        <v>Наконечники для полива</v>
      </c>
      <c r="I1224" s="36">
        <v>9022</v>
      </c>
      <c r="J1224" s="36" t="str">
        <f>IFERROR(INDEX(Product_Structure[Generic Name (long)],MATCH(Товары[[#This Row],[SubGroup]],Product_Structure[Subgroup],0)),"")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Row],[SubGroup]],DIY!$B:$C,2,FALSE),0)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3" t="str">
        <f>IFERROR(INDEX(Product_Structure[SuperCategory],MATCH(Товары[[#This Row],[SubGroup]],Product_Structure[Subgroup],0)),"")</f>
        <v>W</v>
      </c>
      <c r="D1225" s="113" t="str">
        <f>IFERROR(INDEX(Product_Structure[SuperCategory Name ENG],MATCH(Товары[[#This Row],[SubGroup]],Product_Structure[Subgroup],0)),"")</f>
        <v>Watering (mobile, sprinkler system&amp;MDS, Ponds)</v>
      </c>
      <c r="E12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5" s="113" t="str">
        <f>IFERROR(INDEX(Product_Structure[Product group],MATCH(Товары[[#This Row],[SubGroup]],Product_Structure[Subgroup],0)),"")</f>
        <v>WMA_C</v>
      </c>
      <c r="G1225" s="113" t="str">
        <f>IFERROR(INDEX(Product_Structure[Product group name ENG],MATCH(Товары[[#This Row],[SubGroup]],Product_Structure[Subgroup],0)),"")</f>
        <v>Watering Mobile Attachments</v>
      </c>
      <c r="H1225" s="113" t="str">
        <f>IFERROR(INDEX(Product_Structure[Generic Name (long)3],MATCH(Товары[[#This Row],[SubGroup]],Product_Structure[Subgroup],0)),"")</f>
        <v>Наконечники для полива</v>
      </c>
      <c r="I1225" s="36">
        <v>9022</v>
      </c>
      <c r="J1225" s="36" t="str">
        <f>IFERROR(INDEX(Product_Structure[Generic Name (long)],MATCH(Товары[[#This Row],[SubGroup]],Product_Structure[Subgroup],0)),"")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Row],[SubGroup]],DIY!$B:$C,2,FALSE),0)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3" t="str">
        <f>IFERROR(INDEX(Product_Structure[SuperCategory],MATCH(Товары[[#This Row],[SubGroup]],Product_Structure[Subgroup],0)),"")</f>
        <v>W</v>
      </c>
      <c r="D1226" s="113" t="str">
        <f>IFERROR(INDEX(Product_Structure[SuperCategory Name ENG],MATCH(Товары[[#This Row],[SubGroup]],Product_Structure[Subgroup],0)),"")</f>
        <v>Watering (mobile, sprinkler system&amp;MDS, Ponds)</v>
      </c>
      <c r="E12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6" s="113" t="str">
        <f>IFERROR(INDEX(Product_Structure[Product group],MATCH(Товары[[#This Row],[SubGroup]],Product_Structure[Subgroup],0)),"")</f>
        <v>WMA_C</v>
      </c>
      <c r="G1226" s="113" t="str">
        <f>IFERROR(INDEX(Product_Structure[Product group name ENG],MATCH(Товары[[#This Row],[SubGroup]],Product_Structure[Subgroup],0)),"")</f>
        <v>Watering Mobile Attachments</v>
      </c>
      <c r="H1226" s="113" t="str">
        <f>IFERROR(INDEX(Product_Structure[Generic Name (long)3],MATCH(Товары[[#This Row],[SubGroup]],Product_Structure[Subgroup],0)),"")</f>
        <v>Наконечники для полива</v>
      </c>
      <c r="I1226" s="36">
        <v>9022</v>
      </c>
      <c r="J1226" s="36" t="str">
        <f>IFERROR(INDEX(Product_Structure[Generic Name (long)],MATCH(Товары[[#This Row],[SubGroup]],Product_Structure[Subgroup],0)),"")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Row],[SubGroup]],DIY!$B:$C,2,FALSE),0)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3" t="str">
        <f>IFERROR(INDEX(Product_Structure[SuperCategory],MATCH(Товары[[#This Row],[SubGroup]],Product_Structure[Subgroup],0)),"")</f>
        <v>W</v>
      </c>
      <c r="D1227" s="113" t="str">
        <f>IFERROR(INDEX(Product_Structure[SuperCategory Name ENG],MATCH(Товары[[#This Row],[SubGroup]],Product_Structure[Subgroup],0)),"")</f>
        <v>Watering (mobile, sprinkler system&amp;MDS, Ponds)</v>
      </c>
      <c r="E12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7" s="113" t="str">
        <f>IFERROR(INDEX(Product_Structure[Product group],MATCH(Товары[[#This Row],[SubGroup]],Product_Structure[Subgroup],0)),"")</f>
        <v>WMA_C</v>
      </c>
      <c r="G1227" s="113" t="str">
        <f>IFERROR(INDEX(Product_Structure[Product group name ENG],MATCH(Товары[[#This Row],[SubGroup]],Product_Structure[Subgroup],0)),"")</f>
        <v>Watering Mobile Attachments</v>
      </c>
      <c r="H1227" s="113" t="str">
        <f>IFERROR(INDEX(Product_Structure[Generic Name (long)3],MATCH(Товары[[#This Row],[SubGroup]],Product_Structure[Subgroup],0)),"")</f>
        <v>Наконечники для полива</v>
      </c>
      <c r="I1227" s="36">
        <v>9022</v>
      </c>
      <c r="J1227" s="36" t="str">
        <f>IFERROR(INDEX(Product_Structure[Generic Name (long)],MATCH(Товары[[#This Row],[SubGroup]],Product_Structure[Subgroup],0)),"")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Row],[SubGroup]],DIY!$B:$C,2,FALSE),0)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3" t="str">
        <f>IFERROR(INDEX(Product_Structure[SuperCategory],MATCH(Товары[[#This Row],[SubGroup]],Product_Structure[Subgroup],0)),"")</f>
        <v>W</v>
      </c>
      <c r="D1228" s="113" t="str">
        <f>IFERROR(INDEX(Product_Structure[SuperCategory Name ENG],MATCH(Товары[[#This Row],[SubGroup]],Product_Structure[Subgroup],0)),"")</f>
        <v>Watering (mobile, sprinkler system&amp;MDS, Ponds)</v>
      </c>
      <c r="E12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8" s="113" t="str">
        <f>IFERROR(INDEX(Product_Structure[Product group],MATCH(Товары[[#This Row],[SubGroup]],Product_Structure[Subgroup],0)),"")</f>
        <v>WMS_C</v>
      </c>
      <c r="G1228" s="113" t="str">
        <f>IFERROR(INDEX(Product_Structure[Product group name ENG],MATCH(Товары[[#This Row],[SubGroup]],Product_Structure[Subgroup],0)),"")</f>
        <v>Watering Mobile Sprinklers</v>
      </c>
      <c r="H1228" s="113" t="str">
        <f>IFERROR(INDEX(Product_Structure[Generic Name (long)3],MATCH(Товары[[#This Row],[SubGroup]],Product_Structure[Subgroup],0)),"")</f>
        <v>Дождеватели</v>
      </c>
      <c r="I1228" s="36">
        <v>9021</v>
      </c>
      <c r="J1228" s="36" t="str">
        <f>IFERROR(INDEX(Product_Structure[Generic Name (long)],MATCH(Товары[[#This Row],[SubGroup]],Product_Structure[Subgroup],0)),"")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Row],[SubGroup]],DIY!$B:$C,2,FALSE),0)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3" t="str">
        <f>IFERROR(INDEX(Product_Structure[SuperCategory],MATCH(Товары[[#This Row],[SubGroup]],Product_Structure[Subgroup],0)),"")</f>
        <v>W</v>
      </c>
      <c r="D1229" s="113" t="str">
        <f>IFERROR(INDEX(Product_Structure[SuperCategory Name ENG],MATCH(Товары[[#This Row],[SubGroup]],Product_Structure[Subgroup],0)),"")</f>
        <v>Watering (mobile, sprinkler system&amp;MDS, Ponds)</v>
      </c>
      <c r="E12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29" s="113" t="str">
        <f>IFERROR(INDEX(Product_Structure[Product group],MATCH(Товары[[#This Row],[SubGroup]],Product_Structure[Subgroup],0)),"")</f>
        <v>WMS_C</v>
      </c>
      <c r="G1229" s="113" t="str">
        <f>IFERROR(INDEX(Product_Structure[Product group name ENG],MATCH(Товары[[#This Row],[SubGroup]],Product_Structure[Subgroup],0)),"")</f>
        <v>Watering Mobile Sprinklers</v>
      </c>
      <c r="H1229" s="113" t="str">
        <f>IFERROR(INDEX(Product_Structure[Generic Name (long)3],MATCH(Товары[[#This Row],[SubGroup]],Product_Structure[Subgroup],0)),"")</f>
        <v>Дождеватели</v>
      </c>
      <c r="I1229" s="36">
        <v>9021</v>
      </c>
      <c r="J1229" s="36" t="str">
        <f>IFERROR(INDEX(Product_Structure[Generic Name (long)],MATCH(Товары[[#This Row],[SubGroup]],Product_Structure[Subgroup],0)),"")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Row],[SubGroup]],DIY!$B:$C,2,FALSE),0)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3" t="str">
        <f>IFERROR(INDEX(Product_Structure[SuperCategory],MATCH(Товары[[#This Row],[SubGroup]],Product_Structure[Subgroup],0)),"")</f>
        <v>W</v>
      </c>
      <c r="D1230" s="113" t="str">
        <f>IFERROR(INDEX(Product_Structure[SuperCategory Name ENG],MATCH(Товары[[#This Row],[SubGroup]],Product_Structure[Subgroup],0)),"")</f>
        <v>Watering (mobile, sprinkler system&amp;MDS, Ponds)</v>
      </c>
      <c r="E12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0" s="113" t="str">
        <f>IFERROR(INDEX(Product_Structure[Product group],MATCH(Товары[[#This Row],[SubGroup]],Product_Structure[Subgroup],0)),"")</f>
        <v>WMS_C</v>
      </c>
      <c r="G1230" s="113" t="str">
        <f>IFERROR(INDEX(Product_Structure[Product group name ENG],MATCH(Товары[[#This Row],[SubGroup]],Product_Structure[Subgroup],0)),"")</f>
        <v>Watering Mobile Sprinklers</v>
      </c>
      <c r="H1230" s="113" t="str">
        <f>IFERROR(INDEX(Product_Structure[Generic Name (long)3],MATCH(Товары[[#This Row],[SubGroup]],Product_Structure[Subgroup],0)),"")</f>
        <v>Дождеватели</v>
      </c>
      <c r="I1230" s="36">
        <v>9021</v>
      </c>
      <c r="J1230" s="36" t="str">
        <f>IFERROR(INDEX(Product_Structure[Generic Name (long)],MATCH(Товары[[#This Row],[SubGroup]],Product_Structure[Subgroup],0)),"")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Row],[SubGroup]],DIY!$B:$C,2,FALSE),0)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3" t="str">
        <f>IFERROR(INDEX(Product_Structure[SuperCategory],MATCH(Товары[[#This Row],[SubGroup]],Product_Structure[Subgroup],0)),"")</f>
        <v>W</v>
      </c>
      <c r="D1231" s="113" t="str">
        <f>IFERROR(INDEX(Product_Structure[SuperCategory Name ENG],MATCH(Товары[[#This Row],[SubGroup]],Product_Structure[Subgroup],0)),"")</f>
        <v>Watering (mobile, sprinkler system&amp;MDS, Ponds)</v>
      </c>
      <c r="E12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1" s="113" t="str">
        <f>IFERROR(INDEX(Product_Structure[Product group],MATCH(Товары[[#This Row],[SubGroup]],Product_Structure[Subgroup],0)),"")</f>
        <v>WMS_C</v>
      </c>
      <c r="G1231" s="113" t="str">
        <f>IFERROR(INDEX(Product_Structure[Product group name ENG],MATCH(Товары[[#This Row],[SubGroup]],Product_Structure[Subgroup],0)),"")</f>
        <v>Watering Mobile Sprinklers</v>
      </c>
      <c r="H1231" s="113" t="str">
        <f>IFERROR(INDEX(Product_Structure[Generic Name (long)3],MATCH(Товары[[#This Row],[SubGroup]],Product_Structure[Subgroup],0)),"")</f>
        <v>Дождеватели</v>
      </c>
      <c r="I1231" s="36">
        <v>9021</v>
      </c>
      <c r="J1231" s="36" t="str">
        <f>IFERROR(INDEX(Product_Structure[Generic Name (long)],MATCH(Товары[[#This Row],[SubGroup]],Product_Structure[Subgroup],0)),"")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Row],[SubGroup]],DIY!$B:$C,2,FALSE),0)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3" t="str">
        <f>IFERROR(INDEX(Product_Structure[SuperCategory],MATCH(Товары[[#This Row],[SubGroup]],Product_Structure[Subgroup],0)),"")</f>
        <v>W</v>
      </c>
      <c r="D1232" s="113" t="str">
        <f>IFERROR(INDEX(Product_Structure[SuperCategory Name ENG],MATCH(Товары[[#This Row],[SubGroup]],Product_Structure[Subgroup],0)),"")</f>
        <v>Watering (mobile, sprinkler system&amp;MDS, Ponds)</v>
      </c>
      <c r="E12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2" s="113" t="str">
        <f>IFERROR(INDEX(Product_Structure[Product group],MATCH(Товары[[#This Row],[SubGroup]],Product_Structure[Subgroup],0)),"")</f>
        <v>WMS_C</v>
      </c>
      <c r="G1232" s="113" t="str">
        <f>IFERROR(INDEX(Product_Structure[Product group name ENG],MATCH(Товары[[#This Row],[SubGroup]],Product_Structure[Subgroup],0)),"")</f>
        <v>Watering Mobile Sprinklers</v>
      </c>
      <c r="H1232" s="113" t="str">
        <f>IFERROR(INDEX(Product_Structure[Generic Name (long)3],MATCH(Товары[[#This Row],[SubGroup]],Product_Structure[Subgroup],0)),"")</f>
        <v>Дождеватели</v>
      </c>
      <c r="I1232" s="36">
        <v>9021</v>
      </c>
      <c r="J1232" s="36" t="str">
        <f>IFERROR(INDEX(Product_Structure[Generic Name (long)],MATCH(Товары[[#This Row],[SubGroup]],Product_Structure[Subgroup],0)),"")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Row],[SubGroup]],DIY!$B:$C,2,FALSE),0)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3" t="str">
        <f>IFERROR(INDEX(Product_Structure[SuperCategory],MATCH(Товары[[#This Row],[SubGroup]],Product_Structure[Subgroup],0)),"")</f>
        <v>W</v>
      </c>
      <c r="D1233" s="113" t="str">
        <f>IFERROR(INDEX(Product_Structure[SuperCategory Name ENG],MATCH(Товары[[#This Row],[SubGroup]],Product_Structure[Subgroup],0)),"")</f>
        <v>Watering (mobile, sprinkler system&amp;MDS, Ponds)</v>
      </c>
      <c r="E12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3" s="113" t="str">
        <f>IFERROR(INDEX(Product_Structure[Product group],MATCH(Товары[[#This Row],[SubGroup]],Product_Structure[Subgroup],0)),"")</f>
        <v>WMS_C</v>
      </c>
      <c r="G1233" s="113" t="str">
        <f>IFERROR(INDEX(Product_Structure[Product group name ENG],MATCH(Товары[[#This Row],[SubGroup]],Product_Structure[Subgroup],0)),"")</f>
        <v>Watering Mobile Sprinklers</v>
      </c>
      <c r="H1233" s="113" t="str">
        <f>IFERROR(INDEX(Product_Structure[Generic Name (long)3],MATCH(Товары[[#This Row],[SubGroup]],Product_Structure[Subgroup],0)),"")</f>
        <v>Дождеватели</v>
      </c>
      <c r="I1233" s="36">
        <v>9021</v>
      </c>
      <c r="J1233" s="36" t="str">
        <f>IFERROR(INDEX(Product_Structure[Generic Name (long)],MATCH(Товары[[#This Row],[SubGroup]],Product_Structure[Subgroup],0)),"")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Row],[SubGroup]],DIY!$B:$C,2,FALSE),0)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3" t="str">
        <f>IFERROR(INDEX(Product_Structure[SuperCategory],MATCH(Товары[[#This Row],[SubGroup]],Product_Structure[Subgroup],0)),"")</f>
        <v>W</v>
      </c>
      <c r="D1234" s="113" t="str">
        <f>IFERROR(INDEX(Product_Structure[SuperCategory Name ENG],MATCH(Товары[[#This Row],[SubGroup]],Product_Structure[Subgroup],0)),"")</f>
        <v>Watering (mobile, sprinkler system&amp;MDS, Ponds)</v>
      </c>
      <c r="E12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4" s="113" t="str">
        <f>IFERROR(INDEX(Product_Structure[Product group],MATCH(Товары[[#This Row],[SubGroup]],Product_Structure[Subgroup],0)),"")</f>
        <v>WMS_C</v>
      </c>
      <c r="G1234" s="113" t="str">
        <f>IFERROR(INDEX(Product_Structure[Product group name ENG],MATCH(Товары[[#This Row],[SubGroup]],Product_Structure[Subgroup],0)),"")</f>
        <v>Watering Mobile Sprinklers</v>
      </c>
      <c r="H1234" s="113" t="str">
        <f>IFERROR(INDEX(Product_Structure[Generic Name (long)3],MATCH(Товары[[#This Row],[SubGroup]],Product_Structure[Subgroup],0)),"")</f>
        <v>Дождеватели</v>
      </c>
      <c r="I1234" s="36">
        <v>9021</v>
      </c>
      <c r="J1234" s="36" t="str">
        <f>IFERROR(INDEX(Product_Structure[Generic Name (long)],MATCH(Товары[[#This Row],[SubGroup]],Product_Structure[Subgroup],0)),"")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Row],[SubGroup]],DIY!$B:$C,2,FALSE),0)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3" t="str">
        <f>IFERROR(INDEX(Product_Structure[SuperCategory],MATCH(Товары[[#This Row],[SubGroup]],Product_Structure[Subgroup],0)),"")</f>
        <v>W</v>
      </c>
      <c r="D1235" s="113" t="str">
        <f>IFERROR(INDEX(Product_Structure[SuperCategory Name ENG],MATCH(Товары[[#This Row],[SubGroup]],Product_Structure[Subgroup],0)),"")</f>
        <v>Watering (mobile, sprinkler system&amp;MDS, Ponds)</v>
      </c>
      <c r="E12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5" s="113" t="str">
        <f>IFERROR(INDEX(Product_Structure[Product group],MATCH(Товары[[#This Row],[SubGroup]],Product_Structure[Subgroup],0)),"")</f>
        <v>WMS_C</v>
      </c>
      <c r="G1235" s="113" t="str">
        <f>IFERROR(INDEX(Product_Structure[Product group name ENG],MATCH(Товары[[#This Row],[SubGroup]],Product_Structure[Subgroup],0)),"")</f>
        <v>Watering Mobile Sprinklers</v>
      </c>
      <c r="H1235" s="113" t="str">
        <f>IFERROR(INDEX(Product_Structure[Generic Name (long)3],MATCH(Товары[[#This Row],[SubGroup]],Product_Structure[Subgroup],0)),"")</f>
        <v>Дождеватели</v>
      </c>
      <c r="I1235" s="36">
        <v>9021</v>
      </c>
      <c r="J1235" s="36" t="str">
        <f>IFERROR(INDEX(Product_Structure[Generic Name (long)],MATCH(Товары[[#This Row],[SubGroup]],Product_Structure[Subgroup],0)),"")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Row],[SubGroup]],DIY!$B:$C,2,FALSE),0)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3" t="str">
        <f>IFERROR(INDEX(Product_Structure[SuperCategory],MATCH(Товары[[#This Row],[SubGroup]],Product_Structure[Subgroup],0)),"")</f>
        <v>W</v>
      </c>
      <c r="D1236" s="113" t="str">
        <f>IFERROR(INDEX(Product_Structure[SuperCategory Name ENG],MATCH(Товары[[#This Row],[SubGroup]],Product_Structure[Subgroup],0)),"")</f>
        <v>Watering (mobile, sprinkler system&amp;MDS, Ponds)</v>
      </c>
      <c r="E12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6" s="113" t="str">
        <f>IFERROR(INDEX(Product_Structure[Product group],MATCH(Товары[[#This Row],[SubGroup]],Product_Structure[Subgroup],0)),"")</f>
        <v>WMS_C</v>
      </c>
      <c r="G1236" s="113" t="str">
        <f>IFERROR(INDEX(Product_Structure[Product group name ENG],MATCH(Товары[[#This Row],[SubGroup]],Product_Structure[Subgroup],0)),"")</f>
        <v>Watering Mobile Sprinklers</v>
      </c>
      <c r="H1236" s="113" t="str">
        <f>IFERROR(INDEX(Product_Structure[Generic Name (long)3],MATCH(Товары[[#This Row],[SubGroup]],Product_Structure[Subgroup],0)),"")</f>
        <v>Дождеватели</v>
      </c>
      <c r="I1236" s="36">
        <v>9021</v>
      </c>
      <c r="J1236" s="36" t="str">
        <f>IFERROR(INDEX(Product_Structure[Generic Name (long)],MATCH(Товары[[#This Row],[SubGroup]],Product_Structure[Subgroup],0)),"")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Row],[SubGroup]],DIY!$B:$C,2,FALSE),0)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3" t="str">
        <f>IFERROR(INDEX(Product_Structure[SuperCategory],MATCH(Товары[[#This Row],[SubGroup]],Product_Structure[Subgroup],0)),"")</f>
        <v>W</v>
      </c>
      <c r="D1237" s="113" t="str">
        <f>IFERROR(INDEX(Product_Structure[SuperCategory Name ENG],MATCH(Товары[[#This Row],[SubGroup]],Product_Structure[Subgroup],0)),"")</f>
        <v>Watering (mobile, sprinkler system&amp;MDS, Ponds)</v>
      </c>
      <c r="E12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7" s="113" t="str">
        <f>IFERROR(INDEX(Product_Structure[Product group],MATCH(Товары[[#This Row],[SubGroup]],Product_Structure[Subgroup],0)),"")</f>
        <v>WMS_C</v>
      </c>
      <c r="G1237" s="113" t="str">
        <f>IFERROR(INDEX(Product_Structure[Product group name ENG],MATCH(Товары[[#This Row],[SubGroup]],Product_Structure[Subgroup],0)),"")</f>
        <v>Watering Mobile Sprinklers</v>
      </c>
      <c r="H1237" s="113" t="str">
        <f>IFERROR(INDEX(Product_Structure[Generic Name (long)3],MATCH(Товары[[#This Row],[SubGroup]],Product_Structure[Subgroup],0)),"")</f>
        <v>Дождеватели</v>
      </c>
      <c r="I1237" s="36">
        <v>9021</v>
      </c>
      <c r="J1237" s="36" t="str">
        <f>IFERROR(INDEX(Product_Structure[Generic Name (long)],MATCH(Товары[[#This Row],[SubGroup]],Product_Structure[Subgroup],0)),"")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Row],[SubGroup]],DIY!$B:$C,2,FALSE),0)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3" t="str">
        <f>IFERROR(INDEX(Product_Structure[SuperCategory],MATCH(Товары[[#This Row],[SubGroup]],Product_Structure[Subgroup],0)),"")</f>
        <v>W</v>
      </c>
      <c r="D1238" s="113" t="str">
        <f>IFERROR(INDEX(Product_Structure[SuperCategory Name ENG],MATCH(Товары[[#This Row],[SubGroup]],Product_Structure[Subgroup],0)),"")</f>
        <v>Watering (mobile, sprinkler system&amp;MDS, Ponds)</v>
      </c>
      <c r="E12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8" s="113" t="str">
        <f>IFERROR(INDEX(Product_Structure[Product group],MATCH(Товары[[#This Row],[SubGroup]],Product_Structure[Subgroup],0)),"")</f>
        <v>WMS_C</v>
      </c>
      <c r="G1238" s="113" t="str">
        <f>IFERROR(INDEX(Product_Structure[Product group name ENG],MATCH(Товары[[#This Row],[SubGroup]],Product_Structure[Subgroup],0)),"")</f>
        <v>Watering Mobile Sprinklers</v>
      </c>
      <c r="H1238" s="113" t="str">
        <f>IFERROR(INDEX(Product_Structure[Generic Name (long)3],MATCH(Товары[[#This Row],[SubGroup]],Product_Structure[Subgroup],0)),"")</f>
        <v>Дождеватели</v>
      </c>
      <c r="I1238" s="36">
        <v>9021</v>
      </c>
      <c r="J1238" s="36" t="str">
        <f>IFERROR(INDEX(Product_Structure[Generic Name (long)],MATCH(Товары[[#This Row],[SubGroup]],Product_Structure[Subgroup],0)),"")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Row],[SubGroup]],DIY!$B:$C,2,FALSE),0)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3" t="str">
        <f>IFERROR(INDEX(Product_Structure[SuperCategory],MATCH(Товары[[#This Row],[SubGroup]],Product_Structure[Subgroup],0)),"")</f>
        <v>W</v>
      </c>
      <c r="D1239" s="113" t="str">
        <f>IFERROR(INDEX(Product_Structure[SuperCategory Name ENG],MATCH(Товары[[#This Row],[SubGroup]],Product_Structure[Subgroup],0)),"")</f>
        <v>Watering (mobile, sprinkler system&amp;MDS, Ponds)</v>
      </c>
      <c r="E12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39" s="113" t="str">
        <f>IFERROR(INDEX(Product_Structure[Product group],MATCH(Товары[[#This Row],[SubGroup]],Product_Structure[Subgroup],0)),"")</f>
        <v>WMS_C</v>
      </c>
      <c r="G1239" s="113" t="str">
        <f>IFERROR(INDEX(Product_Structure[Product group name ENG],MATCH(Товары[[#This Row],[SubGroup]],Product_Structure[Subgroup],0)),"")</f>
        <v>Watering Mobile Sprinklers</v>
      </c>
      <c r="H1239" s="113" t="str">
        <f>IFERROR(INDEX(Product_Structure[Generic Name (long)3],MATCH(Товары[[#This Row],[SubGroup]],Product_Structure[Subgroup],0)),"")</f>
        <v>Дождеватели</v>
      </c>
      <c r="I1239" s="36">
        <v>9021</v>
      </c>
      <c r="J1239" s="36" t="str">
        <f>IFERROR(INDEX(Product_Structure[Generic Name (long)],MATCH(Товары[[#This Row],[SubGroup]],Product_Structure[Subgroup],0)),"")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Row],[SubGroup]],DIY!$B:$C,2,FALSE),0)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3" t="str">
        <f>IFERROR(INDEX(Product_Structure[SuperCategory],MATCH(Товары[[#This Row],[SubGroup]],Product_Structure[Subgroup],0)),"")</f>
        <v>W</v>
      </c>
      <c r="D1240" s="113" t="str">
        <f>IFERROR(INDEX(Product_Structure[SuperCategory Name ENG],MATCH(Товары[[#This Row],[SubGroup]],Product_Structure[Subgroup],0)),"")</f>
        <v>Watering (mobile, sprinkler system&amp;MDS, Ponds)</v>
      </c>
      <c r="E12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0" s="113" t="str">
        <f>IFERROR(INDEX(Product_Structure[Product group],MATCH(Товары[[#This Row],[SubGroup]],Product_Structure[Subgroup],0)),"")</f>
        <v>WMS_C</v>
      </c>
      <c r="G1240" s="113" t="str">
        <f>IFERROR(INDEX(Product_Structure[Product group name ENG],MATCH(Товары[[#This Row],[SubGroup]],Product_Structure[Subgroup],0)),"")</f>
        <v>Watering Mobile Sprinklers</v>
      </c>
      <c r="H1240" s="113" t="str">
        <f>IFERROR(INDEX(Product_Structure[Generic Name (long)3],MATCH(Товары[[#This Row],[SubGroup]],Product_Structure[Subgroup],0)),"")</f>
        <v>Дождеватели</v>
      </c>
      <c r="I1240" s="36">
        <v>9021</v>
      </c>
      <c r="J1240" s="36" t="str">
        <f>IFERROR(INDEX(Product_Structure[Generic Name (long)],MATCH(Товары[[#This Row],[SubGroup]],Product_Structure[Subgroup],0)),"")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Row],[SubGroup]],DIY!$B:$C,2,FALSE),0)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3" t="str">
        <f>IFERROR(INDEX(Product_Structure[SuperCategory],MATCH(Товары[[#This Row],[SubGroup]],Product_Structure[Subgroup],0)),"")</f>
        <v>W</v>
      </c>
      <c r="D1241" s="113" t="str">
        <f>IFERROR(INDEX(Product_Structure[SuperCategory Name ENG],MATCH(Товары[[#This Row],[SubGroup]],Product_Structure[Subgroup],0)),"")</f>
        <v>Watering (mobile, sprinkler system&amp;MDS, Ponds)</v>
      </c>
      <c r="E12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1" s="113" t="str">
        <f>IFERROR(INDEX(Product_Structure[Product group],MATCH(Товары[[#This Row],[SubGroup]],Product_Structure[Subgroup],0)),"")</f>
        <v>WMS_C</v>
      </c>
      <c r="G1241" s="113" t="str">
        <f>IFERROR(INDEX(Product_Structure[Product group name ENG],MATCH(Товары[[#This Row],[SubGroup]],Product_Structure[Subgroup],0)),"")</f>
        <v>Watering Mobile Sprinklers</v>
      </c>
      <c r="H1241" s="113" t="str">
        <f>IFERROR(INDEX(Product_Structure[Generic Name (long)3],MATCH(Товары[[#This Row],[SubGroup]],Product_Structure[Subgroup],0)),"")</f>
        <v>Дождеватели</v>
      </c>
      <c r="I1241" s="36">
        <v>9021</v>
      </c>
      <c r="J1241" s="36" t="str">
        <f>IFERROR(INDEX(Product_Structure[Generic Name (long)],MATCH(Товары[[#This Row],[SubGroup]],Product_Structure[Subgroup],0)),"")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Row],[SubGroup]],DIY!$B:$C,2,FALSE),0)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3" t="str">
        <f>IFERROR(INDEX(Product_Structure[SuperCategory],MATCH(Товары[[#This Row],[SubGroup]],Product_Structure[Subgroup],0)),"")</f>
        <v>W</v>
      </c>
      <c r="D1242" s="113" t="str">
        <f>IFERROR(INDEX(Product_Structure[SuperCategory Name ENG],MATCH(Товары[[#This Row],[SubGroup]],Product_Structure[Subgroup],0)),"")</f>
        <v>Watering (mobile, sprinkler system&amp;MDS, Ponds)</v>
      </c>
      <c r="E12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2" s="113" t="str">
        <f>IFERROR(INDEX(Product_Structure[Product group],MATCH(Товары[[#This Row],[SubGroup]],Product_Structure[Subgroup],0)),"")</f>
        <v>WMS_C</v>
      </c>
      <c r="G1242" s="113" t="str">
        <f>IFERROR(INDEX(Product_Structure[Product group name ENG],MATCH(Товары[[#This Row],[SubGroup]],Product_Structure[Subgroup],0)),"")</f>
        <v>Watering Mobile Sprinklers</v>
      </c>
      <c r="H1242" s="113" t="str">
        <f>IFERROR(INDEX(Product_Structure[Generic Name (long)3],MATCH(Товары[[#This Row],[SubGroup]],Product_Structure[Subgroup],0)),"")</f>
        <v>Дождеватели</v>
      </c>
      <c r="I1242" s="36">
        <v>9021</v>
      </c>
      <c r="J1242" s="36" t="str">
        <f>IFERROR(INDEX(Product_Structure[Generic Name (long)],MATCH(Товары[[#This Row],[SubGroup]],Product_Structure[Subgroup],0)),"")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Row],[SubGroup]],DIY!$B:$C,2,FALSE),0)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3" t="str">
        <f>IFERROR(INDEX(Product_Structure[SuperCategory],MATCH(Товары[[#This Row],[SubGroup]],Product_Structure[Subgroup],0)),"")</f>
        <v>W</v>
      </c>
      <c r="D1243" s="113" t="str">
        <f>IFERROR(INDEX(Product_Structure[SuperCategory Name ENG],MATCH(Товары[[#This Row],[SubGroup]],Product_Structure[Subgroup],0)),"")</f>
        <v>Watering (mobile, sprinkler system&amp;MDS, Ponds)</v>
      </c>
      <c r="E12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3" s="113" t="str">
        <f>IFERROR(INDEX(Product_Structure[Product group],MATCH(Товары[[#This Row],[SubGroup]],Product_Structure[Subgroup],0)),"")</f>
        <v>WMS_C</v>
      </c>
      <c r="G1243" s="113" t="str">
        <f>IFERROR(INDEX(Product_Structure[Product group name ENG],MATCH(Товары[[#This Row],[SubGroup]],Product_Structure[Subgroup],0)),"")</f>
        <v>Watering Mobile Sprinklers</v>
      </c>
      <c r="H1243" s="113" t="str">
        <f>IFERROR(INDEX(Product_Structure[Generic Name (long)3],MATCH(Товары[[#This Row],[SubGroup]],Product_Structure[Subgroup],0)),"")</f>
        <v>Дождеватели</v>
      </c>
      <c r="I1243" s="36">
        <v>9021</v>
      </c>
      <c r="J1243" s="36" t="str">
        <f>IFERROR(INDEX(Product_Structure[Generic Name (long)],MATCH(Товары[[#This Row],[SubGroup]],Product_Structure[Subgroup],0)),"")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Row],[SubGroup]],DIY!$B:$C,2,FALSE),0)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3" t="str">
        <f>IFERROR(INDEX(Product_Structure[SuperCategory],MATCH(Товары[[#This Row],[SubGroup]],Product_Structure[Subgroup],0)),"")</f>
        <v>W</v>
      </c>
      <c r="D1244" s="113" t="str">
        <f>IFERROR(INDEX(Product_Structure[SuperCategory Name ENG],MATCH(Товары[[#This Row],[SubGroup]],Product_Structure[Subgroup],0)),"")</f>
        <v>Watering (mobile, sprinkler system&amp;MDS, Ponds)</v>
      </c>
      <c r="E12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4" s="113" t="str">
        <f>IFERROR(INDEX(Product_Structure[Product group],MATCH(Товары[[#This Row],[SubGroup]],Product_Structure[Subgroup],0)),"")</f>
        <v>WMS_C</v>
      </c>
      <c r="G1244" s="113" t="str">
        <f>IFERROR(INDEX(Product_Structure[Product group name ENG],MATCH(Товары[[#This Row],[SubGroup]],Product_Structure[Subgroup],0)),"")</f>
        <v>Watering Mobile Sprinklers</v>
      </c>
      <c r="H1244" s="113" t="str">
        <f>IFERROR(INDEX(Product_Structure[Generic Name (long)3],MATCH(Товары[[#This Row],[SubGroup]],Product_Structure[Subgroup],0)),"")</f>
        <v>Дождеватели</v>
      </c>
      <c r="I1244" s="36">
        <v>9021</v>
      </c>
      <c r="J1244" s="36" t="str">
        <f>IFERROR(INDEX(Product_Structure[Generic Name (long)],MATCH(Товары[[#This Row],[SubGroup]],Product_Structure[Subgroup],0)),"")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Row],[SubGroup]],DIY!$B:$C,2,FALSE),0)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3" t="str">
        <f>IFERROR(INDEX(Product_Structure[SuperCategory],MATCH(Товары[[#This Row],[SubGroup]],Product_Structure[Subgroup],0)),"")</f>
        <v>W</v>
      </c>
      <c r="D1245" s="113" t="str">
        <f>IFERROR(INDEX(Product_Structure[SuperCategory Name ENG],MATCH(Товары[[#This Row],[SubGroup]],Product_Structure[Subgroup],0)),"")</f>
        <v>Watering (mobile, sprinkler system&amp;MDS, Ponds)</v>
      </c>
      <c r="E12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5" s="113" t="str">
        <f>IFERROR(INDEX(Product_Structure[Product group],MATCH(Товары[[#This Row],[SubGroup]],Product_Structure[Subgroup],0)),"")</f>
        <v>WMS_C</v>
      </c>
      <c r="G1245" s="113" t="str">
        <f>IFERROR(INDEX(Product_Structure[Product group name ENG],MATCH(Товары[[#This Row],[SubGroup]],Product_Structure[Subgroup],0)),"")</f>
        <v>Watering Mobile Sprinklers</v>
      </c>
      <c r="H1245" s="113" t="str">
        <f>IFERROR(INDEX(Product_Structure[Generic Name (long)3],MATCH(Товары[[#This Row],[SubGroup]],Product_Structure[Subgroup],0)),"")</f>
        <v>Дождеватели</v>
      </c>
      <c r="I1245" s="36">
        <v>9021</v>
      </c>
      <c r="J1245" s="36" t="str">
        <f>IFERROR(INDEX(Product_Structure[Generic Name (long)],MATCH(Товары[[#This Row],[SubGroup]],Product_Structure[Subgroup],0)),"")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Row],[SubGroup]],DIY!$B:$C,2,FALSE),0)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3" t="str">
        <f>IFERROR(INDEX(Product_Structure[SuperCategory],MATCH(Товары[[#This Row],[SubGroup]],Product_Structure[Subgroup],0)),"")</f>
        <v>W</v>
      </c>
      <c r="D1246" s="113" t="str">
        <f>IFERROR(INDEX(Product_Structure[SuperCategory Name ENG],MATCH(Товары[[#This Row],[SubGroup]],Product_Structure[Subgroup],0)),"")</f>
        <v>Watering (mobile, sprinkler system&amp;MDS, Ponds)</v>
      </c>
      <c r="E12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6" s="113" t="str">
        <f>IFERROR(INDEX(Product_Structure[Product group],MATCH(Товары[[#This Row],[SubGroup]],Product_Structure[Subgroup],0)),"")</f>
        <v>WMS_C</v>
      </c>
      <c r="G1246" s="113" t="str">
        <f>IFERROR(INDEX(Product_Structure[Product group name ENG],MATCH(Товары[[#This Row],[SubGroup]],Product_Structure[Subgroup],0)),"")</f>
        <v>Watering Mobile Sprinklers</v>
      </c>
      <c r="H1246" s="113" t="str">
        <f>IFERROR(INDEX(Product_Structure[Generic Name (long)3],MATCH(Товары[[#This Row],[SubGroup]],Product_Structure[Subgroup],0)),"")</f>
        <v>Дождеватели</v>
      </c>
      <c r="I1246" s="36">
        <v>9021</v>
      </c>
      <c r="J1246" s="36" t="str">
        <f>IFERROR(INDEX(Product_Structure[Generic Name (long)],MATCH(Товары[[#This Row],[SubGroup]],Product_Structure[Subgroup],0)),"")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Row],[SubGroup]],DIY!$B:$C,2,FALSE),0)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3" t="str">
        <f>IFERROR(INDEX(Product_Structure[SuperCategory],MATCH(Товары[[#This Row],[SubGroup]],Product_Structure[Subgroup],0)),"")</f>
        <v>W</v>
      </c>
      <c r="D1247" s="113" t="str">
        <f>IFERROR(INDEX(Product_Structure[SuperCategory Name ENG],MATCH(Товары[[#This Row],[SubGroup]],Product_Structure[Subgroup],0)),"")</f>
        <v>Watering (mobile, sprinkler system&amp;MDS, Ponds)</v>
      </c>
      <c r="E12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7" s="113" t="str">
        <f>IFERROR(INDEX(Product_Structure[Product group],MATCH(Товары[[#This Row],[SubGroup]],Product_Structure[Subgroup],0)),"")</f>
        <v>WMS_C</v>
      </c>
      <c r="G1247" s="113" t="str">
        <f>IFERROR(INDEX(Product_Structure[Product group name ENG],MATCH(Товары[[#This Row],[SubGroup]],Product_Structure[Subgroup],0)),"")</f>
        <v>Watering Mobile Sprinklers</v>
      </c>
      <c r="H1247" s="113" t="str">
        <f>IFERROR(INDEX(Product_Structure[Generic Name (long)3],MATCH(Товары[[#This Row],[SubGroup]],Product_Structure[Subgroup],0)),"")</f>
        <v>Дождеватели</v>
      </c>
      <c r="I1247" s="36">
        <v>9021</v>
      </c>
      <c r="J1247" s="36" t="str">
        <f>IFERROR(INDEX(Product_Structure[Generic Name (long)],MATCH(Товары[[#This Row],[SubGroup]],Product_Structure[Subgroup],0)),"")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Row],[SubGroup]],DIY!$B:$C,2,FALSE),0)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3" t="str">
        <f>IFERROR(INDEX(Product_Structure[SuperCategory],MATCH(Товары[[#This Row],[SubGroup]],Product_Structure[Subgroup],0)),"")</f>
        <v>W</v>
      </c>
      <c r="D1248" s="113" t="str">
        <f>IFERROR(INDEX(Product_Structure[SuperCategory Name ENG],MATCH(Товары[[#This Row],[SubGroup]],Product_Structure[Subgroup],0)),"")</f>
        <v>Watering (mobile, sprinkler system&amp;MDS, Ponds)</v>
      </c>
      <c r="E12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8" s="113" t="str">
        <f>IFERROR(INDEX(Product_Structure[Product group],MATCH(Товары[[#This Row],[SubGroup]],Product_Structure[Subgroup],0)),"")</f>
        <v>WMS_C</v>
      </c>
      <c r="G1248" s="113" t="str">
        <f>IFERROR(INDEX(Product_Structure[Product group name ENG],MATCH(Товары[[#This Row],[SubGroup]],Product_Structure[Subgroup],0)),"")</f>
        <v>Watering Mobile Sprinklers</v>
      </c>
      <c r="H1248" s="113" t="str">
        <f>IFERROR(INDEX(Product_Structure[Generic Name (long)3],MATCH(Товары[[#This Row],[SubGroup]],Product_Structure[Subgroup],0)),"")</f>
        <v>Дождеватели</v>
      </c>
      <c r="I1248" s="36">
        <v>9021</v>
      </c>
      <c r="J1248" s="36" t="str">
        <f>IFERROR(INDEX(Product_Structure[Generic Name (long)],MATCH(Товары[[#This Row],[SubGroup]],Product_Structure[Subgroup],0)),"")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Row],[SubGroup]],DIY!$B:$C,2,FALSE),0)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3" t="str">
        <f>IFERROR(INDEX(Product_Structure[SuperCategory],MATCH(Товары[[#This Row],[SubGroup]],Product_Structure[Subgroup],0)),"")</f>
        <v>W</v>
      </c>
      <c r="D1249" s="113" t="str">
        <f>IFERROR(INDEX(Product_Structure[SuperCategory Name ENG],MATCH(Товары[[#This Row],[SubGroup]],Product_Structure[Subgroup],0)),"")</f>
        <v>Watering (mobile, sprinkler system&amp;MDS, Ponds)</v>
      </c>
      <c r="E12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49" s="113" t="str">
        <f>IFERROR(INDEX(Product_Structure[Product group],MATCH(Товары[[#This Row],[SubGroup]],Product_Structure[Subgroup],0)),"")</f>
        <v>WMS_C</v>
      </c>
      <c r="G1249" s="113" t="str">
        <f>IFERROR(INDEX(Product_Structure[Product group name ENG],MATCH(Товары[[#This Row],[SubGroup]],Product_Structure[Subgroup],0)),"")</f>
        <v>Watering Mobile Sprinklers</v>
      </c>
      <c r="H1249" s="113" t="str">
        <f>IFERROR(INDEX(Product_Structure[Generic Name (long)3],MATCH(Товары[[#This Row],[SubGroup]],Product_Structure[Subgroup],0)),"")</f>
        <v>Дождеватели</v>
      </c>
      <c r="I1249" s="36">
        <v>9021</v>
      </c>
      <c r="J1249" s="36" t="str">
        <f>IFERROR(INDEX(Product_Structure[Generic Name (long)],MATCH(Товары[[#This Row],[SubGroup]],Product_Structure[Subgroup],0)),"")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Row],[SubGroup]],DIY!$B:$C,2,FALSE),0)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3" t="str">
        <f>IFERROR(INDEX(Product_Structure[SuperCategory],MATCH(Товары[[#This Row],[SubGroup]],Product_Structure[Subgroup],0)),"")</f>
        <v>W</v>
      </c>
      <c r="D1250" s="113" t="str">
        <f>IFERROR(INDEX(Product_Structure[SuperCategory Name ENG],MATCH(Товары[[#This Row],[SubGroup]],Product_Structure[Subgroup],0)),"")</f>
        <v>Watering (mobile, sprinkler system&amp;MDS, Ponds)</v>
      </c>
      <c r="E12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0" s="113" t="str">
        <f>IFERROR(INDEX(Product_Structure[Product group],MATCH(Товары[[#This Row],[SubGroup]],Product_Structure[Subgroup],0)),"")</f>
        <v>WMS_C</v>
      </c>
      <c r="G1250" s="113" t="str">
        <f>IFERROR(INDEX(Product_Structure[Product group name ENG],MATCH(Товары[[#This Row],[SubGroup]],Product_Structure[Subgroup],0)),"")</f>
        <v>Watering Mobile Sprinklers</v>
      </c>
      <c r="H1250" s="113" t="str">
        <f>IFERROR(INDEX(Product_Structure[Generic Name (long)3],MATCH(Товары[[#This Row],[SubGroup]],Product_Structure[Subgroup],0)),"")</f>
        <v>Дождеватели</v>
      </c>
      <c r="I1250" s="36">
        <v>9021</v>
      </c>
      <c r="J1250" s="36" t="str">
        <f>IFERROR(INDEX(Product_Structure[Generic Name (long)],MATCH(Товары[[#This Row],[SubGroup]],Product_Structure[Subgroup],0)),"")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Row],[SubGroup]],DIY!$B:$C,2,FALSE),0)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3" t="str">
        <f>IFERROR(INDEX(Product_Structure[SuperCategory],MATCH(Товары[[#This Row],[SubGroup]],Product_Structure[Subgroup],0)),"")</f>
        <v>W</v>
      </c>
      <c r="D1251" s="113" t="str">
        <f>IFERROR(INDEX(Product_Structure[SuperCategory Name ENG],MATCH(Товары[[#This Row],[SubGroup]],Product_Structure[Subgroup],0)),"")</f>
        <v>Watering (mobile, sprinkler system&amp;MDS, Ponds)</v>
      </c>
      <c r="E12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1" s="113" t="str">
        <f>IFERROR(INDEX(Product_Structure[Product group],MATCH(Товары[[#This Row],[SubGroup]],Product_Structure[Subgroup],0)),"")</f>
        <v>WMS_C</v>
      </c>
      <c r="G1251" s="113" t="str">
        <f>IFERROR(INDEX(Product_Structure[Product group name ENG],MATCH(Товары[[#This Row],[SubGroup]],Product_Structure[Subgroup],0)),"")</f>
        <v>Watering Mobile Sprinklers</v>
      </c>
      <c r="H1251" s="113" t="str">
        <f>IFERROR(INDEX(Product_Structure[Generic Name (long)3],MATCH(Товары[[#This Row],[SubGroup]],Product_Structure[Subgroup],0)),"")</f>
        <v>Дождеватели</v>
      </c>
      <c r="I1251" s="36">
        <v>9021</v>
      </c>
      <c r="J1251" s="36" t="str">
        <f>IFERROR(INDEX(Product_Structure[Generic Name (long)],MATCH(Товары[[#This Row],[SubGroup]],Product_Structure[Subgroup],0)),"")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Row],[SubGroup]],DIY!$B:$C,2,FALSE),0)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3" t="str">
        <f>IFERROR(INDEX(Product_Structure[SuperCategory],MATCH(Товары[[#This Row],[SubGroup]],Product_Structure[Subgroup],0)),"")</f>
        <v>W</v>
      </c>
      <c r="D1252" s="113" t="str">
        <f>IFERROR(INDEX(Product_Structure[SuperCategory Name ENG],MATCH(Товары[[#This Row],[SubGroup]],Product_Structure[Subgroup],0)),"")</f>
        <v>Watering (mobile, sprinkler system&amp;MDS, Ponds)</v>
      </c>
      <c r="E12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2" s="113" t="str">
        <f>IFERROR(INDEX(Product_Structure[Product group],MATCH(Товары[[#This Row],[SubGroup]],Product_Structure[Subgroup],0)),"")</f>
        <v>WMS_C</v>
      </c>
      <c r="G1252" s="113" t="str">
        <f>IFERROR(INDEX(Product_Structure[Product group name ENG],MATCH(Товары[[#This Row],[SubGroup]],Product_Structure[Subgroup],0)),"")</f>
        <v>Watering Mobile Sprinklers</v>
      </c>
      <c r="H1252" s="113" t="str">
        <f>IFERROR(INDEX(Product_Structure[Generic Name (long)3],MATCH(Товары[[#This Row],[SubGroup]],Product_Structure[Subgroup],0)),"")</f>
        <v>Дождеватели</v>
      </c>
      <c r="I1252" s="36">
        <v>9021</v>
      </c>
      <c r="J1252" s="36" t="str">
        <f>IFERROR(INDEX(Product_Structure[Generic Name (long)],MATCH(Товары[[#This Row],[SubGroup]],Product_Structure[Subgroup],0)),"")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Row],[SubGroup]],DIY!$B:$C,2,FALSE),0)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3" t="str">
        <f>IFERROR(INDEX(Product_Structure[SuperCategory],MATCH(Товары[[#This Row],[SubGroup]],Product_Structure[Subgroup],0)),"")</f>
        <v>W</v>
      </c>
      <c r="D1253" s="113" t="str">
        <f>IFERROR(INDEX(Product_Structure[SuperCategory Name ENG],MATCH(Товары[[#This Row],[SubGroup]],Product_Structure[Subgroup],0)),"")</f>
        <v>Watering (mobile, sprinkler system&amp;MDS, Ponds)</v>
      </c>
      <c r="E12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3" s="113" t="str">
        <f>IFERROR(INDEX(Product_Structure[Product group],MATCH(Товары[[#This Row],[SubGroup]],Product_Structure[Subgroup],0)),"")</f>
        <v>WMS_C</v>
      </c>
      <c r="G1253" s="113" t="str">
        <f>IFERROR(INDEX(Product_Structure[Product group name ENG],MATCH(Товары[[#This Row],[SubGroup]],Product_Structure[Subgroup],0)),"")</f>
        <v>Watering Mobile Sprinklers</v>
      </c>
      <c r="H1253" s="113" t="str">
        <f>IFERROR(INDEX(Product_Structure[Generic Name (long)3],MATCH(Товары[[#This Row],[SubGroup]],Product_Structure[Subgroup],0)),"")</f>
        <v>Дождеватели</v>
      </c>
      <c r="I1253" s="36">
        <v>9021</v>
      </c>
      <c r="J1253" s="36" t="str">
        <f>IFERROR(INDEX(Product_Structure[Generic Name (long)],MATCH(Товары[[#This Row],[SubGroup]],Product_Structure[Subgroup],0)),"")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Row],[SubGroup]],DIY!$B:$C,2,FALSE),0)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3" t="str">
        <f>IFERROR(INDEX(Product_Structure[SuperCategory],MATCH(Товары[[#This Row],[SubGroup]],Product_Structure[Subgroup],0)),"")</f>
        <v>W</v>
      </c>
      <c r="D1254" s="113" t="str">
        <f>IFERROR(INDEX(Product_Structure[SuperCategory Name ENG],MATCH(Товары[[#This Row],[SubGroup]],Product_Structure[Subgroup],0)),"")</f>
        <v>Watering (mobile, sprinkler system&amp;MDS, Ponds)</v>
      </c>
      <c r="E12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4" s="113" t="str">
        <f>IFERROR(INDEX(Product_Structure[Product group],MATCH(Товары[[#This Row],[SubGroup]],Product_Structure[Subgroup],0)),"")</f>
        <v>WMS_C</v>
      </c>
      <c r="G1254" s="113" t="str">
        <f>IFERROR(INDEX(Product_Structure[Product group name ENG],MATCH(Товары[[#This Row],[SubGroup]],Product_Structure[Subgroup],0)),"")</f>
        <v>Watering Mobile Sprinklers</v>
      </c>
      <c r="H1254" s="113" t="str">
        <f>IFERROR(INDEX(Product_Structure[Generic Name (long)3],MATCH(Товары[[#This Row],[SubGroup]],Product_Structure[Subgroup],0)),"")</f>
        <v>Дождеватели</v>
      </c>
      <c r="I1254" s="36">
        <v>9021</v>
      </c>
      <c r="J1254" s="36" t="str">
        <f>IFERROR(INDEX(Product_Structure[Generic Name (long)],MATCH(Товары[[#This Row],[SubGroup]],Product_Structure[Subgroup],0)),"")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Row],[SubGroup]],DIY!$B:$C,2,FALSE),0)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3" t="str">
        <f>IFERROR(INDEX(Product_Structure[SuperCategory],MATCH(Товары[[#This Row],[SubGroup]],Product_Structure[Subgroup],0)),"")</f>
        <v>W</v>
      </c>
      <c r="D1255" s="113" t="str">
        <f>IFERROR(INDEX(Product_Structure[SuperCategory Name ENG],MATCH(Товары[[#This Row],[SubGroup]],Product_Structure[Subgroup],0)),"")</f>
        <v>Watering (mobile, sprinkler system&amp;MDS, Ponds)</v>
      </c>
      <c r="E12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5" s="113" t="str">
        <f>IFERROR(INDEX(Product_Structure[Product group],MATCH(Товары[[#This Row],[SubGroup]],Product_Structure[Subgroup],0)),"")</f>
        <v>WMS_C</v>
      </c>
      <c r="G1255" s="113" t="str">
        <f>IFERROR(INDEX(Product_Structure[Product group name ENG],MATCH(Товары[[#This Row],[SubGroup]],Product_Structure[Subgroup],0)),"")</f>
        <v>Watering Mobile Sprinklers</v>
      </c>
      <c r="H1255" s="113" t="str">
        <f>IFERROR(INDEX(Product_Structure[Generic Name (long)3],MATCH(Товары[[#This Row],[SubGroup]],Product_Structure[Subgroup],0)),"")</f>
        <v>Дождеватели</v>
      </c>
      <c r="I1255" s="36">
        <v>9021</v>
      </c>
      <c r="J1255" s="36" t="str">
        <f>IFERROR(INDEX(Product_Structure[Generic Name (long)],MATCH(Товары[[#This Row],[SubGroup]],Product_Structure[Subgroup],0)),"")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Row],[SubGroup]],DIY!$B:$C,2,FALSE),0)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3" t="str">
        <f>IFERROR(INDEX(Product_Structure[SuperCategory],MATCH(Товары[[#This Row],[SubGroup]],Product_Structure[Subgroup],0)),"")</f>
        <v>W</v>
      </c>
      <c r="D1256" s="113" t="str">
        <f>IFERROR(INDEX(Product_Structure[SuperCategory Name ENG],MATCH(Товары[[#This Row],[SubGroup]],Product_Structure[Subgroup],0)),"")</f>
        <v>Watering (mobile, sprinkler system&amp;MDS, Ponds)</v>
      </c>
      <c r="E12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6" s="113" t="str">
        <f>IFERROR(INDEX(Product_Structure[Product group],MATCH(Товары[[#This Row],[SubGroup]],Product_Structure[Subgroup],0)),"")</f>
        <v>WMS_C</v>
      </c>
      <c r="G1256" s="113" t="str">
        <f>IFERROR(INDEX(Product_Structure[Product group name ENG],MATCH(Товары[[#This Row],[SubGroup]],Product_Structure[Subgroup],0)),"")</f>
        <v>Watering Mobile Sprinklers</v>
      </c>
      <c r="H1256" s="113" t="str">
        <f>IFERROR(INDEX(Product_Structure[Generic Name (long)3],MATCH(Товары[[#This Row],[SubGroup]],Product_Structure[Subgroup],0)),"")</f>
        <v>Дождеватели</v>
      </c>
      <c r="I1256" s="36">
        <v>9021</v>
      </c>
      <c r="J1256" s="36" t="str">
        <f>IFERROR(INDEX(Product_Structure[Generic Name (long)],MATCH(Товары[[#This Row],[SubGroup]],Product_Structure[Subgroup],0)),"")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Row],[SubGroup]],DIY!$B:$C,2,FALSE),0)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3" t="str">
        <f>IFERROR(INDEX(Product_Structure[SuperCategory],MATCH(Товары[[#This Row],[SubGroup]],Product_Structure[Subgroup],0)),"")</f>
        <v>W</v>
      </c>
      <c r="D1257" s="113" t="str">
        <f>IFERROR(INDEX(Product_Structure[SuperCategory Name ENG],MATCH(Товары[[#This Row],[SubGroup]],Product_Structure[Subgroup],0)),"")</f>
        <v>Watering (mobile, sprinkler system&amp;MDS, Ponds)</v>
      </c>
      <c r="E12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7" s="113" t="str">
        <f>IFERROR(INDEX(Product_Structure[Product group],MATCH(Товары[[#This Row],[SubGroup]],Product_Structure[Subgroup],0)),"")</f>
        <v>WMS_C</v>
      </c>
      <c r="G1257" s="113" t="str">
        <f>IFERROR(INDEX(Product_Structure[Product group name ENG],MATCH(Товары[[#This Row],[SubGroup]],Product_Structure[Subgroup],0)),"")</f>
        <v>Watering Mobile Sprinklers</v>
      </c>
      <c r="H1257" s="113" t="str">
        <f>IFERROR(INDEX(Product_Structure[Generic Name (long)3],MATCH(Товары[[#This Row],[SubGroup]],Product_Structure[Subgroup],0)),"")</f>
        <v>Дождеватели</v>
      </c>
      <c r="I1257" s="36">
        <v>9021</v>
      </c>
      <c r="J1257" s="36" t="str">
        <f>IFERROR(INDEX(Product_Structure[Generic Name (long)],MATCH(Товары[[#This Row],[SubGroup]],Product_Structure[Subgroup],0)),"")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Row],[SubGroup]],DIY!$B:$C,2,FALSE),0)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3" t="str">
        <f>IFERROR(INDEX(Product_Structure[SuperCategory],MATCH(Товары[[#This Row],[SubGroup]],Product_Structure[Subgroup],0)),"")</f>
        <v>W</v>
      </c>
      <c r="D1258" s="113" t="str">
        <f>IFERROR(INDEX(Product_Structure[SuperCategory Name ENG],MATCH(Товары[[#This Row],[SubGroup]],Product_Structure[Subgroup],0)),"")</f>
        <v>Watering (mobile, sprinkler system&amp;MDS, Ponds)</v>
      </c>
      <c r="E12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8" s="113" t="str">
        <f>IFERROR(INDEX(Product_Structure[Product group],MATCH(Товары[[#This Row],[SubGroup]],Product_Structure[Subgroup],0)),"")</f>
        <v>WMS_C</v>
      </c>
      <c r="G1258" s="113" t="str">
        <f>IFERROR(INDEX(Product_Structure[Product group name ENG],MATCH(Товары[[#This Row],[SubGroup]],Product_Structure[Subgroup],0)),"")</f>
        <v>Watering Mobile Sprinklers</v>
      </c>
      <c r="H1258" s="113" t="str">
        <f>IFERROR(INDEX(Product_Structure[Generic Name (long)3],MATCH(Товары[[#This Row],[SubGroup]],Product_Structure[Subgroup],0)),"")</f>
        <v>Дождеватели</v>
      </c>
      <c r="I1258" s="36">
        <v>9021</v>
      </c>
      <c r="J1258" s="36" t="str">
        <f>IFERROR(INDEX(Product_Structure[Generic Name (long)],MATCH(Товары[[#This Row],[SubGroup]],Product_Structure[Subgroup],0)),"")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Row],[SubGroup]],DIY!$B:$C,2,FALSE),0)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3" t="str">
        <f>IFERROR(INDEX(Product_Structure[SuperCategory],MATCH(Товары[[#This Row],[SubGroup]],Product_Structure[Subgroup],0)),"")</f>
        <v>W</v>
      </c>
      <c r="D1259" s="113" t="str">
        <f>IFERROR(INDEX(Product_Structure[SuperCategory Name ENG],MATCH(Товары[[#This Row],[SubGroup]],Product_Structure[Subgroup],0)),"")</f>
        <v>Watering (mobile, sprinkler system&amp;MDS, Ponds)</v>
      </c>
      <c r="E12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59" s="113" t="str">
        <f>IFERROR(INDEX(Product_Structure[Product group],MATCH(Товары[[#This Row],[SubGroup]],Product_Structure[Subgroup],0)),"")</f>
        <v>WMS_C</v>
      </c>
      <c r="G1259" s="113" t="str">
        <f>IFERROR(INDEX(Product_Structure[Product group name ENG],MATCH(Товары[[#This Row],[SubGroup]],Product_Structure[Subgroup],0)),"")</f>
        <v>Watering Mobile Sprinklers</v>
      </c>
      <c r="H1259" s="113" t="str">
        <f>IFERROR(INDEX(Product_Structure[Generic Name (long)3],MATCH(Товары[[#This Row],[SubGroup]],Product_Structure[Subgroup],0)),"")</f>
        <v>Дождеватели</v>
      </c>
      <c r="I1259" s="36">
        <v>9021</v>
      </c>
      <c r="J1259" s="36" t="str">
        <f>IFERROR(INDEX(Product_Structure[Generic Name (long)],MATCH(Товары[[#This Row],[SubGroup]],Product_Structure[Subgroup],0)),"")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Row],[SubGroup]],DIY!$B:$C,2,FALSE),0)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3" t="str">
        <f>IFERROR(INDEX(Product_Structure[SuperCategory],MATCH(Товары[[#This Row],[SubGroup]],Product_Structure[Subgroup],0)),"")</f>
        <v>W</v>
      </c>
      <c r="D1260" s="113" t="str">
        <f>IFERROR(INDEX(Product_Structure[SuperCategory Name ENG],MATCH(Товары[[#This Row],[SubGroup]],Product_Structure[Subgroup],0)),"")</f>
        <v>Watering (mobile, sprinkler system&amp;MDS, Ponds)</v>
      </c>
      <c r="E12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0" s="113" t="str">
        <f>IFERROR(INDEX(Product_Structure[Product group],MATCH(Товары[[#This Row],[SubGroup]],Product_Structure[Subgroup],0)),"")</f>
        <v>WMS_C</v>
      </c>
      <c r="G1260" s="113" t="str">
        <f>IFERROR(INDEX(Product_Structure[Product group name ENG],MATCH(Товары[[#This Row],[SubGroup]],Product_Structure[Subgroup],0)),"")</f>
        <v>Watering Mobile Sprinklers</v>
      </c>
      <c r="H1260" s="113" t="str">
        <f>IFERROR(INDEX(Product_Structure[Generic Name (long)3],MATCH(Товары[[#This Row],[SubGroup]],Product_Structure[Subgroup],0)),"")</f>
        <v>Дождеватели</v>
      </c>
      <c r="I1260" s="36">
        <v>9021</v>
      </c>
      <c r="J1260" s="36" t="str">
        <f>IFERROR(INDEX(Product_Structure[Generic Name (long)],MATCH(Товары[[#This Row],[SubGroup]],Product_Structure[Subgroup],0)),"")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Row],[SubGroup]],DIY!$B:$C,2,FALSE),0)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3" t="str">
        <f>IFERROR(INDEX(Product_Structure[SuperCategory],MATCH(Товары[[#This Row],[SubGroup]],Product_Structure[Subgroup],0)),"")</f>
        <v>W</v>
      </c>
      <c r="D1261" s="113" t="str">
        <f>IFERROR(INDEX(Product_Structure[SuperCategory Name ENG],MATCH(Товары[[#This Row],[SubGroup]],Product_Structure[Subgroup],0)),"")</f>
        <v>Watering (mobile, sprinkler system&amp;MDS, Ponds)</v>
      </c>
      <c r="E12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1" s="113" t="str">
        <f>IFERROR(INDEX(Product_Structure[Product group],MATCH(Товары[[#This Row],[SubGroup]],Product_Structure[Subgroup],0)),"")</f>
        <v>WMS_C</v>
      </c>
      <c r="G1261" s="113" t="str">
        <f>IFERROR(INDEX(Product_Structure[Product group name ENG],MATCH(Товары[[#This Row],[SubGroup]],Product_Structure[Subgroup],0)),"")</f>
        <v>Watering Mobile Sprinklers</v>
      </c>
      <c r="H1261" s="113" t="str">
        <f>IFERROR(INDEX(Product_Structure[Generic Name (long)3],MATCH(Товары[[#This Row],[SubGroup]],Product_Structure[Subgroup],0)),"")</f>
        <v>Дождеватели</v>
      </c>
      <c r="I1261" s="36">
        <v>9021</v>
      </c>
      <c r="J1261" s="36" t="str">
        <f>IFERROR(INDEX(Product_Structure[Generic Name (long)],MATCH(Товары[[#This Row],[SubGroup]],Product_Structure[Subgroup],0)),"")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Row],[SubGroup]],DIY!$B:$C,2,FALSE),0)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3" t="str">
        <f>IFERROR(INDEX(Product_Structure[SuperCategory],MATCH(Товары[[#This Row],[SubGroup]],Product_Structure[Subgroup],0)),"")</f>
        <v>W</v>
      </c>
      <c r="D1262" s="113" t="str">
        <f>IFERROR(INDEX(Product_Structure[SuperCategory Name ENG],MATCH(Товары[[#This Row],[SubGroup]],Product_Structure[Subgroup],0)),"")</f>
        <v>Watering (mobile, sprinkler system&amp;MDS, Ponds)</v>
      </c>
      <c r="E12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2" s="113" t="str">
        <f>IFERROR(INDEX(Product_Structure[Product group],MATCH(Товары[[#This Row],[SubGroup]],Product_Structure[Subgroup],0)),"")</f>
        <v>WMS_C</v>
      </c>
      <c r="G1262" s="113" t="str">
        <f>IFERROR(INDEX(Product_Structure[Product group name ENG],MATCH(Товары[[#This Row],[SubGroup]],Product_Structure[Subgroup],0)),"")</f>
        <v>Watering Mobile Sprinklers</v>
      </c>
      <c r="H1262" s="113" t="str">
        <f>IFERROR(INDEX(Product_Structure[Generic Name (long)3],MATCH(Товары[[#This Row],[SubGroup]],Product_Structure[Subgroup],0)),"")</f>
        <v>Дождеватели</v>
      </c>
      <c r="I1262" s="36">
        <v>9021</v>
      </c>
      <c r="J1262" s="36" t="str">
        <f>IFERROR(INDEX(Product_Structure[Generic Name (long)],MATCH(Товары[[#This Row],[SubGroup]],Product_Structure[Subgroup],0)),"")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Row],[SubGroup]],DIY!$B:$C,2,FALSE),0)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3" t="str">
        <f>IFERROR(INDEX(Product_Structure[SuperCategory],MATCH(Товары[[#This Row],[SubGroup]],Product_Structure[Subgroup],0)),"")</f>
        <v>W</v>
      </c>
      <c r="D1263" s="113" t="str">
        <f>IFERROR(INDEX(Product_Structure[SuperCategory Name ENG],MATCH(Товары[[#This Row],[SubGroup]],Product_Structure[Subgroup],0)),"")</f>
        <v>Watering (mobile, sprinkler system&amp;MDS, Ponds)</v>
      </c>
      <c r="E12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3" s="113" t="str">
        <f>IFERROR(INDEX(Product_Structure[Product group],MATCH(Товары[[#This Row],[SubGroup]],Product_Structure[Subgroup],0)),"")</f>
        <v>WMS_C</v>
      </c>
      <c r="G1263" s="113" t="str">
        <f>IFERROR(INDEX(Product_Structure[Product group name ENG],MATCH(Товары[[#This Row],[SubGroup]],Product_Structure[Subgroup],0)),"")</f>
        <v>Watering Mobile Sprinklers</v>
      </c>
      <c r="H1263" s="113" t="str">
        <f>IFERROR(INDEX(Product_Structure[Generic Name (long)3],MATCH(Товары[[#This Row],[SubGroup]],Product_Structure[Subgroup],0)),"")</f>
        <v>Дождеватели</v>
      </c>
      <c r="I1263" s="36">
        <v>9021</v>
      </c>
      <c r="J1263" s="36" t="str">
        <f>IFERROR(INDEX(Product_Structure[Generic Name (long)],MATCH(Товары[[#This Row],[SubGroup]],Product_Structure[Subgroup],0)),"")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Row],[SubGroup]],DIY!$B:$C,2,FALSE),0)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3" t="str">
        <f>IFERROR(INDEX(Product_Structure[SuperCategory],MATCH(Товары[[#This Row],[SubGroup]],Product_Structure[Subgroup],0)),"")</f>
        <v>W</v>
      </c>
      <c r="D1264" s="113" t="str">
        <f>IFERROR(INDEX(Product_Structure[SuperCategory Name ENG],MATCH(Товары[[#This Row],[SubGroup]],Product_Structure[Subgroup],0)),"")</f>
        <v>Watering (mobile, sprinkler system&amp;MDS, Ponds)</v>
      </c>
      <c r="E12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4" s="113" t="str">
        <f>IFERROR(INDEX(Product_Structure[Product group],MATCH(Товары[[#This Row],[SubGroup]],Product_Structure[Subgroup],0)),"")</f>
        <v>WMS_C</v>
      </c>
      <c r="G1264" s="113" t="str">
        <f>IFERROR(INDEX(Product_Structure[Product group name ENG],MATCH(Товары[[#This Row],[SubGroup]],Product_Structure[Subgroup],0)),"")</f>
        <v>Watering Mobile Sprinklers</v>
      </c>
      <c r="H1264" s="113" t="str">
        <f>IFERROR(INDEX(Product_Structure[Generic Name (long)3],MATCH(Товары[[#This Row],[SubGroup]],Product_Structure[Subgroup],0)),"")</f>
        <v>Дождеватели</v>
      </c>
      <c r="I1264" s="36">
        <v>9021</v>
      </c>
      <c r="J1264" s="36" t="str">
        <f>IFERROR(INDEX(Product_Structure[Generic Name (long)],MATCH(Товары[[#This Row],[SubGroup]],Product_Structure[Subgroup],0)),"")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Row],[SubGroup]],DIY!$B:$C,2,FALSE),0)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3" t="str">
        <f>IFERROR(INDEX(Product_Structure[SuperCategory],MATCH(Товары[[#This Row],[SubGroup]],Product_Structure[Subgroup],0)),"")</f>
        <v>W</v>
      </c>
      <c r="D1265" s="113" t="str">
        <f>IFERROR(INDEX(Product_Structure[SuperCategory Name ENG],MATCH(Товары[[#This Row],[SubGroup]],Product_Structure[Subgroup],0)),"")</f>
        <v>Watering (mobile, sprinkler system&amp;MDS, Ponds)</v>
      </c>
      <c r="E12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5" s="113" t="str">
        <f>IFERROR(INDEX(Product_Structure[Product group],MATCH(Товары[[#This Row],[SubGroup]],Product_Structure[Subgroup],0)),"")</f>
        <v>WMS_C</v>
      </c>
      <c r="G1265" s="113" t="str">
        <f>IFERROR(INDEX(Product_Structure[Product group name ENG],MATCH(Товары[[#This Row],[SubGroup]],Product_Structure[Subgroup],0)),"")</f>
        <v>Watering Mobile Sprinklers</v>
      </c>
      <c r="H1265" s="113" t="str">
        <f>IFERROR(INDEX(Product_Structure[Generic Name (long)3],MATCH(Товары[[#This Row],[SubGroup]],Product_Structure[Subgroup],0)),"")</f>
        <v>Дождеватели</v>
      </c>
      <c r="I1265" s="36">
        <v>9021</v>
      </c>
      <c r="J1265" s="36" t="str">
        <f>IFERROR(INDEX(Product_Structure[Generic Name (long)],MATCH(Товары[[#This Row],[SubGroup]],Product_Structure[Subgroup],0)),"")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Row],[SubGroup]],DIY!$B:$C,2,FALSE),0)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3" t="str">
        <f>IFERROR(INDEX(Product_Structure[SuperCategory],MATCH(Товары[[#This Row],[SubGroup]],Product_Structure[Subgroup],0)),"")</f>
        <v>W</v>
      </c>
      <c r="D1266" s="113" t="str">
        <f>IFERROR(INDEX(Product_Structure[SuperCategory Name ENG],MATCH(Товары[[#This Row],[SubGroup]],Product_Structure[Subgroup],0)),"")</f>
        <v>Watering (mobile, sprinkler system&amp;MDS, Ponds)</v>
      </c>
      <c r="E12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6" s="113" t="str">
        <f>IFERROR(INDEX(Product_Structure[Product group],MATCH(Товары[[#This Row],[SubGroup]],Product_Structure[Subgroup],0)),"")</f>
        <v>WMS_C</v>
      </c>
      <c r="G1266" s="113" t="str">
        <f>IFERROR(INDEX(Product_Structure[Product group name ENG],MATCH(Товары[[#This Row],[SubGroup]],Product_Structure[Subgroup],0)),"")</f>
        <v>Watering Mobile Sprinklers</v>
      </c>
      <c r="H1266" s="113" t="str">
        <f>IFERROR(INDEX(Product_Structure[Generic Name (long)3],MATCH(Товары[[#This Row],[SubGroup]],Product_Structure[Subgroup],0)),"")</f>
        <v>Дождеватели</v>
      </c>
      <c r="I1266" s="36">
        <v>9021</v>
      </c>
      <c r="J1266" s="36" t="str">
        <f>IFERROR(INDEX(Product_Structure[Generic Name (long)],MATCH(Товары[[#This Row],[SubGroup]],Product_Structure[Subgroup],0)),"")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Row],[SubGroup]],DIY!$B:$C,2,FALSE),0)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3" t="str">
        <f>IFERROR(INDEX(Product_Structure[SuperCategory],MATCH(Товары[[#This Row],[SubGroup]],Product_Structure[Subgroup],0)),"")</f>
        <v>W</v>
      </c>
      <c r="D1267" s="113" t="str">
        <f>IFERROR(INDEX(Product_Structure[SuperCategory Name ENG],MATCH(Товары[[#This Row],[SubGroup]],Product_Structure[Subgroup],0)),"")</f>
        <v>Watering (mobile, sprinkler system&amp;MDS, Ponds)</v>
      </c>
      <c r="E12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7" s="113" t="str">
        <f>IFERROR(INDEX(Product_Structure[Product group],MATCH(Товары[[#This Row],[SubGroup]],Product_Structure[Subgroup],0)),"")</f>
        <v>WMS_C</v>
      </c>
      <c r="G1267" s="113" t="str">
        <f>IFERROR(INDEX(Product_Structure[Product group name ENG],MATCH(Товары[[#This Row],[SubGroup]],Product_Structure[Subgroup],0)),"")</f>
        <v>Watering Mobile Sprinklers</v>
      </c>
      <c r="H1267" s="113" t="str">
        <f>IFERROR(INDEX(Product_Structure[Generic Name (long)3],MATCH(Товары[[#This Row],[SubGroup]],Product_Structure[Subgroup],0)),"")</f>
        <v>Дождеватели</v>
      </c>
      <c r="I1267" s="36">
        <v>9021</v>
      </c>
      <c r="J1267" s="36" t="str">
        <f>IFERROR(INDEX(Product_Structure[Generic Name (long)],MATCH(Товары[[#This Row],[SubGroup]],Product_Structure[Subgroup],0)),"")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Row],[SubGroup]],DIY!$B:$C,2,FALSE),0)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3" t="str">
        <f>IFERROR(INDEX(Product_Structure[SuperCategory],MATCH(Товары[[#This Row],[SubGroup]],Product_Structure[Subgroup],0)),"")</f>
        <v>W</v>
      </c>
      <c r="D1268" s="113" t="str">
        <f>IFERROR(INDEX(Product_Structure[SuperCategory Name ENG],MATCH(Товары[[#This Row],[SubGroup]],Product_Structure[Subgroup],0)),"")</f>
        <v>Watering (mobile, sprinkler system&amp;MDS, Ponds)</v>
      </c>
      <c r="E12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8" s="113" t="str">
        <f>IFERROR(INDEX(Product_Structure[Product group],MATCH(Товары[[#This Row],[SubGroup]],Product_Structure[Subgroup],0)),"")</f>
        <v>WMS_C</v>
      </c>
      <c r="G1268" s="113" t="str">
        <f>IFERROR(INDEX(Product_Structure[Product group name ENG],MATCH(Товары[[#This Row],[SubGroup]],Product_Structure[Subgroup],0)),"")</f>
        <v>Watering Mobile Sprinklers</v>
      </c>
      <c r="H1268" s="113" t="str">
        <f>IFERROR(INDEX(Product_Structure[Generic Name (long)3],MATCH(Товары[[#This Row],[SubGroup]],Product_Structure[Subgroup],0)),"")</f>
        <v>Дождеватели</v>
      </c>
      <c r="I1268" s="36">
        <v>9021</v>
      </c>
      <c r="J1268" s="36" t="str">
        <f>IFERROR(INDEX(Product_Structure[Generic Name (long)],MATCH(Товары[[#This Row],[SubGroup]],Product_Structure[Subgroup],0)),"")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Row],[SubGroup]],DIY!$B:$C,2,FALSE),0)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3" t="str">
        <f>IFERROR(INDEX(Product_Structure[SuperCategory],MATCH(Товары[[#This Row],[SubGroup]],Product_Structure[Subgroup],0)),"")</f>
        <v>W</v>
      </c>
      <c r="D1269" s="113" t="str">
        <f>IFERROR(INDEX(Product_Structure[SuperCategory Name ENG],MATCH(Товары[[#This Row],[SubGroup]],Product_Structure[Subgroup],0)),"")</f>
        <v>Watering (mobile, sprinkler system&amp;MDS, Ponds)</v>
      </c>
      <c r="E12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69" s="113" t="str">
        <f>IFERROR(INDEX(Product_Structure[Product group],MATCH(Товары[[#This Row],[SubGroup]],Product_Structure[Subgroup],0)),"")</f>
        <v>WMS_C</v>
      </c>
      <c r="G1269" s="113" t="str">
        <f>IFERROR(INDEX(Product_Structure[Product group name ENG],MATCH(Товары[[#This Row],[SubGroup]],Product_Structure[Subgroup],0)),"")</f>
        <v>Watering Mobile Sprinklers</v>
      </c>
      <c r="H1269" s="113" t="str">
        <f>IFERROR(INDEX(Product_Structure[Generic Name (long)3],MATCH(Товары[[#This Row],[SubGroup]],Product_Structure[Subgroup],0)),"")</f>
        <v>Дождеватели</v>
      </c>
      <c r="I1269" s="36">
        <v>9021</v>
      </c>
      <c r="J1269" s="36" t="str">
        <f>IFERROR(INDEX(Product_Structure[Generic Name (long)],MATCH(Товары[[#This Row],[SubGroup]],Product_Structure[Subgroup],0)),"")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Row],[SubGroup]],DIY!$B:$C,2,FALSE),0)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3" t="str">
        <f>IFERROR(INDEX(Product_Structure[SuperCategory],MATCH(Товары[[#This Row],[SubGroup]],Product_Structure[Subgroup],0)),"")</f>
        <v>W</v>
      </c>
      <c r="D1270" s="113" t="str">
        <f>IFERROR(INDEX(Product_Structure[SuperCategory Name ENG],MATCH(Товары[[#This Row],[SubGroup]],Product_Structure[Subgroup],0)),"")</f>
        <v>Watering (mobile, sprinkler system&amp;MDS, Ponds)</v>
      </c>
      <c r="E12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0" s="113" t="str">
        <f>IFERROR(INDEX(Product_Structure[Product group],MATCH(Товары[[#This Row],[SubGroup]],Product_Structure[Subgroup],0)),"")</f>
        <v>WMS_C</v>
      </c>
      <c r="G1270" s="113" t="str">
        <f>IFERROR(INDEX(Product_Structure[Product group name ENG],MATCH(Товары[[#This Row],[SubGroup]],Product_Structure[Subgroup],0)),"")</f>
        <v>Watering Mobile Sprinklers</v>
      </c>
      <c r="H1270" s="113" t="str">
        <f>IFERROR(INDEX(Product_Structure[Generic Name (long)3],MATCH(Товары[[#This Row],[SubGroup]],Product_Structure[Subgroup],0)),"")</f>
        <v>Дождеватели</v>
      </c>
      <c r="I1270" s="36">
        <v>9021</v>
      </c>
      <c r="J1270" s="36" t="str">
        <f>IFERROR(INDEX(Product_Structure[Generic Name (long)],MATCH(Товары[[#This Row],[SubGroup]],Product_Structure[Subgroup],0)),"")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Row],[SubGroup]],DIY!$B:$C,2,FALSE),0)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3" t="str">
        <f>IFERROR(INDEX(Product_Structure[SuperCategory],MATCH(Товары[[#This Row],[SubGroup]],Product_Structure[Subgroup],0)),"")</f>
        <v>W</v>
      </c>
      <c r="D1271" s="113" t="str">
        <f>IFERROR(INDEX(Product_Structure[SuperCategory Name ENG],MATCH(Товары[[#This Row],[SubGroup]],Product_Structure[Subgroup],0)),"")</f>
        <v>Watering (mobile, sprinkler system&amp;MDS, Ponds)</v>
      </c>
      <c r="E12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1" s="113" t="str">
        <f>IFERROR(INDEX(Product_Structure[Product group],MATCH(Товары[[#This Row],[SubGroup]],Product_Structure[Subgroup],0)),"")</f>
        <v>WMS_C</v>
      </c>
      <c r="G1271" s="113" t="str">
        <f>IFERROR(INDEX(Product_Structure[Product group name ENG],MATCH(Товары[[#This Row],[SubGroup]],Product_Structure[Subgroup],0)),"")</f>
        <v>Watering Mobile Sprinklers</v>
      </c>
      <c r="H1271" s="113" t="str">
        <f>IFERROR(INDEX(Product_Structure[Generic Name (long)3],MATCH(Товары[[#This Row],[SubGroup]],Product_Structure[Subgroup],0)),"")</f>
        <v>Дождеватели</v>
      </c>
      <c r="I1271" s="36">
        <v>9021</v>
      </c>
      <c r="J1271" s="36" t="str">
        <f>IFERROR(INDEX(Product_Structure[Generic Name (long)],MATCH(Товары[[#This Row],[SubGroup]],Product_Structure[Subgroup],0)),"")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Row],[SubGroup]],DIY!$B:$C,2,FALSE),0)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3" t="str">
        <f>IFERROR(INDEX(Product_Structure[SuperCategory],MATCH(Товары[[#This Row],[SubGroup]],Product_Structure[Subgroup],0)),"")</f>
        <v>W</v>
      </c>
      <c r="D1272" s="113" t="str">
        <f>IFERROR(INDEX(Product_Structure[SuperCategory Name ENG],MATCH(Товары[[#This Row],[SubGroup]],Product_Structure[Subgroup],0)),"")</f>
        <v>Watering (mobile, sprinkler system&amp;MDS, Ponds)</v>
      </c>
      <c r="E12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2" s="113" t="str">
        <f>IFERROR(INDEX(Product_Structure[Product group],MATCH(Товары[[#This Row],[SubGroup]],Product_Structure[Subgroup],0)),"")</f>
        <v>WMS_C</v>
      </c>
      <c r="G1272" s="113" t="str">
        <f>IFERROR(INDEX(Product_Structure[Product group name ENG],MATCH(Товары[[#This Row],[SubGroup]],Product_Structure[Subgroup],0)),"")</f>
        <v>Watering Mobile Sprinklers</v>
      </c>
      <c r="H1272" s="113" t="str">
        <f>IFERROR(INDEX(Product_Structure[Generic Name (long)3],MATCH(Товары[[#This Row],[SubGroup]],Product_Structure[Subgroup],0)),"")</f>
        <v>Дождеватели</v>
      </c>
      <c r="I1272" s="36">
        <v>9021</v>
      </c>
      <c r="J1272" s="36" t="str">
        <f>IFERROR(INDEX(Product_Structure[Generic Name (long)],MATCH(Товары[[#This Row],[SubGroup]],Product_Structure[Subgroup],0)),"")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Row],[SubGroup]],DIY!$B:$C,2,FALSE),0)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3" t="str">
        <f>IFERROR(INDEX(Product_Structure[SuperCategory],MATCH(Товары[[#This Row],[SubGroup]],Product_Structure[Subgroup],0)),"")</f>
        <v>W</v>
      </c>
      <c r="D1273" s="113" t="str">
        <f>IFERROR(INDEX(Product_Structure[SuperCategory Name ENG],MATCH(Товары[[#This Row],[SubGroup]],Product_Structure[Subgroup],0)),"")</f>
        <v>Watering (mobile, sprinkler system&amp;MDS, Ponds)</v>
      </c>
      <c r="E12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3" s="113" t="str">
        <f>IFERROR(INDEX(Product_Structure[Product group],MATCH(Товары[[#This Row],[SubGroup]],Product_Structure[Subgroup],0)),"")</f>
        <v>WMS_C</v>
      </c>
      <c r="G1273" s="113" t="str">
        <f>IFERROR(INDEX(Product_Structure[Product group name ENG],MATCH(Товары[[#This Row],[SubGroup]],Product_Structure[Subgroup],0)),"")</f>
        <v>Watering Mobile Sprinklers</v>
      </c>
      <c r="H1273" s="113" t="str">
        <f>IFERROR(INDEX(Product_Structure[Generic Name (long)3],MATCH(Товары[[#This Row],[SubGroup]],Product_Structure[Subgroup],0)),"")</f>
        <v>Дождеватели</v>
      </c>
      <c r="I1273" s="36">
        <v>9021</v>
      </c>
      <c r="J1273" s="36" t="str">
        <f>IFERROR(INDEX(Product_Structure[Generic Name (long)],MATCH(Товары[[#This Row],[SubGroup]],Product_Structure[Subgroup],0)),"")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Row],[SubGroup]],DIY!$B:$C,2,FALSE),0)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3" t="str">
        <f>IFERROR(INDEX(Product_Structure[SuperCategory],MATCH(Товары[[#This Row],[SubGroup]],Product_Structure[Subgroup],0)),"")</f>
        <v>W</v>
      </c>
      <c r="D1274" s="113" t="str">
        <f>IFERROR(INDEX(Product_Structure[SuperCategory Name ENG],MATCH(Товары[[#This Row],[SubGroup]],Product_Structure[Subgroup],0)),"")</f>
        <v>Watering (mobile, sprinkler system&amp;MDS, Ponds)</v>
      </c>
      <c r="E12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4" s="113" t="str">
        <f>IFERROR(INDEX(Product_Structure[Product group],MATCH(Товары[[#This Row],[SubGroup]],Product_Structure[Subgroup],0)),"")</f>
        <v>WMS_C</v>
      </c>
      <c r="G1274" s="113" t="str">
        <f>IFERROR(INDEX(Product_Structure[Product group name ENG],MATCH(Товары[[#This Row],[SubGroup]],Product_Structure[Subgroup],0)),"")</f>
        <v>Watering Mobile Sprinklers</v>
      </c>
      <c r="H1274" s="113" t="str">
        <f>IFERROR(INDEX(Product_Structure[Generic Name (long)3],MATCH(Товары[[#This Row],[SubGroup]],Product_Structure[Subgroup],0)),"")</f>
        <v>Дождеватели</v>
      </c>
      <c r="I1274" s="36">
        <v>9021</v>
      </c>
      <c r="J1274" s="36" t="str">
        <f>IFERROR(INDEX(Product_Structure[Generic Name (long)],MATCH(Товары[[#This Row],[SubGroup]],Product_Structure[Subgroup],0)),"")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Row],[SubGroup]],DIY!$B:$C,2,FALSE),0)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3" t="str">
        <f>IFERROR(INDEX(Product_Structure[SuperCategory],MATCH(Товары[[#This Row],[SubGroup]],Product_Structure[Subgroup],0)),"")</f>
        <v>W</v>
      </c>
      <c r="D1275" s="113" t="str">
        <f>IFERROR(INDEX(Product_Structure[SuperCategory Name ENG],MATCH(Товары[[#This Row],[SubGroup]],Product_Structure[Subgroup],0)),"")</f>
        <v>Watering (mobile, sprinkler system&amp;MDS, Ponds)</v>
      </c>
      <c r="E12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5" s="113" t="str">
        <f>IFERROR(INDEX(Product_Structure[Product group],MATCH(Товары[[#This Row],[SubGroup]],Product_Structure[Subgroup],0)),"")</f>
        <v>WMS_C</v>
      </c>
      <c r="G1275" s="113" t="str">
        <f>IFERROR(INDEX(Product_Structure[Product group name ENG],MATCH(Товары[[#This Row],[SubGroup]],Product_Structure[Subgroup],0)),"")</f>
        <v>Watering Mobile Sprinklers</v>
      </c>
      <c r="H1275" s="113" t="str">
        <f>IFERROR(INDEX(Product_Structure[Generic Name (long)3],MATCH(Товары[[#This Row],[SubGroup]],Product_Structure[Subgroup],0)),"")</f>
        <v>Дождеватели</v>
      </c>
      <c r="I1275" s="36">
        <v>9021</v>
      </c>
      <c r="J1275" s="36" t="str">
        <f>IFERROR(INDEX(Product_Structure[Generic Name (long)],MATCH(Товары[[#This Row],[SubGroup]],Product_Structure[Subgroup],0)),"")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Row],[SubGroup]],DIY!$B:$C,2,FALSE),0)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3" t="str">
        <f>IFERROR(INDEX(Product_Structure[SuperCategory],MATCH(Товары[[#This Row],[SubGroup]],Product_Structure[Subgroup],0)),"")</f>
        <v>W</v>
      </c>
      <c r="D1276" s="113" t="str">
        <f>IFERROR(INDEX(Product_Structure[SuperCategory Name ENG],MATCH(Товары[[#This Row],[SubGroup]],Product_Structure[Subgroup],0)),"")</f>
        <v>Watering (mobile, sprinkler system&amp;MDS, Ponds)</v>
      </c>
      <c r="E12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6" s="113" t="str">
        <f>IFERROR(INDEX(Product_Structure[Product group],MATCH(Товары[[#This Row],[SubGroup]],Product_Structure[Subgroup],0)),"")</f>
        <v>WMS_C</v>
      </c>
      <c r="G1276" s="113" t="str">
        <f>IFERROR(INDEX(Product_Structure[Product group name ENG],MATCH(Товары[[#This Row],[SubGroup]],Product_Structure[Subgroup],0)),"")</f>
        <v>Watering Mobile Sprinklers</v>
      </c>
      <c r="H1276" s="113" t="str">
        <f>IFERROR(INDEX(Product_Structure[Generic Name (long)3],MATCH(Товары[[#This Row],[SubGroup]],Product_Structure[Subgroup],0)),"")</f>
        <v>Дождеватели</v>
      </c>
      <c r="I1276" s="36">
        <v>9021</v>
      </c>
      <c r="J1276" s="36" t="str">
        <f>IFERROR(INDEX(Product_Structure[Generic Name (long)],MATCH(Товары[[#This Row],[SubGroup]],Product_Structure[Subgroup],0)),"")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Row],[SubGroup]],DIY!$B:$C,2,FALSE),0)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3" t="str">
        <f>IFERROR(INDEX(Product_Structure[SuperCategory],MATCH(Товары[[#This Row],[SubGroup]],Product_Structure[Subgroup],0)),"")</f>
        <v>W</v>
      </c>
      <c r="D1277" s="113" t="str">
        <f>IFERROR(INDEX(Product_Structure[SuperCategory Name ENG],MATCH(Товары[[#This Row],[SubGroup]],Product_Structure[Subgroup],0)),"")</f>
        <v>Watering (mobile, sprinkler system&amp;MDS, Ponds)</v>
      </c>
      <c r="E12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7" s="113" t="str">
        <f>IFERROR(INDEX(Product_Structure[Product group],MATCH(Товары[[#This Row],[SubGroup]],Product_Structure[Subgroup],0)),"")</f>
        <v>WMS_C</v>
      </c>
      <c r="G1277" s="113" t="str">
        <f>IFERROR(INDEX(Product_Structure[Product group name ENG],MATCH(Товары[[#This Row],[SubGroup]],Product_Structure[Subgroup],0)),"")</f>
        <v>Watering Mobile Sprinklers</v>
      </c>
      <c r="H1277" s="113" t="str">
        <f>IFERROR(INDEX(Product_Structure[Generic Name (long)3],MATCH(Товары[[#This Row],[SubGroup]],Product_Structure[Subgroup],0)),"")</f>
        <v>Дождеватели</v>
      </c>
      <c r="I1277" s="36">
        <v>9021</v>
      </c>
      <c r="J1277" s="36" t="str">
        <f>IFERROR(INDEX(Product_Structure[Generic Name (long)],MATCH(Товары[[#This Row],[SubGroup]],Product_Structure[Subgroup],0)),"")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Row],[SubGroup]],DIY!$B:$C,2,FALSE),0)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3" t="str">
        <f>IFERROR(INDEX(Product_Structure[SuperCategory],MATCH(Товары[[#This Row],[SubGroup]],Product_Structure[Subgroup],0)),"")</f>
        <v>W</v>
      </c>
      <c r="D1278" s="113" t="str">
        <f>IFERROR(INDEX(Product_Structure[SuperCategory Name ENG],MATCH(Товары[[#This Row],[SubGroup]],Product_Structure[Subgroup],0)),"")</f>
        <v>Watering (mobile, sprinkler system&amp;MDS, Ponds)</v>
      </c>
      <c r="E12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8" s="113" t="str">
        <f>IFERROR(INDEX(Product_Structure[Product group],MATCH(Товары[[#This Row],[SubGroup]],Product_Structure[Subgroup],0)),"")</f>
        <v>WMS_C</v>
      </c>
      <c r="G1278" s="113" t="str">
        <f>IFERROR(INDEX(Product_Structure[Product group name ENG],MATCH(Товары[[#This Row],[SubGroup]],Product_Structure[Subgroup],0)),"")</f>
        <v>Watering Mobile Sprinklers</v>
      </c>
      <c r="H1278" s="113" t="str">
        <f>IFERROR(INDEX(Product_Structure[Generic Name (long)3],MATCH(Товары[[#This Row],[SubGroup]],Product_Structure[Subgroup],0)),"")</f>
        <v>Дождеватели</v>
      </c>
      <c r="I1278" s="36">
        <v>9021</v>
      </c>
      <c r="J1278" s="36" t="str">
        <f>IFERROR(INDEX(Product_Structure[Generic Name (long)],MATCH(Товары[[#This Row],[SubGroup]],Product_Structure[Subgroup],0)),"")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Row],[SubGroup]],DIY!$B:$C,2,FALSE),0)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3" t="str">
        <f>IFERROR(INDEX(Product_Structure[SuperCategory],MATCH(Товары[[#This Row],[SubGroup]],Product_Structure[Subgroup],0)),"")</f>
        <v>W</v>
      </c>
      <c r="D1279" s="113" t="str">
        <f>IFERROR(INDEX(Product_Structure[SuperCategory Name ENG],MATCH(Товары[[#This Row],[SubGroup]],Product_Structure[Subgroup],0)),"")</f>
        <v>Watering (mobile, sprinkler system&amp;MDS, Ponds)</v>
      </c>
      <c r="E12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79" s="113" t="str">
        <f>IFERROR(INDEX(Product_Structure[Product group],MATCH(Товары[[#This Row],[SubGroup]],Product_Structure[Subgroup],0)),"")</f>
        <v>WMS_C</v>
      </c>
      <c r="G1279" s="113" t="str">
        <f>IFERROR(INDEX(Product_Structure[Product group name ENG],MATCH(Товары[[#This Row],[SubGroup]],Product_Structure[Subgroup],0)),"")</f>
        <v>Watering Mobile Sprinklers</v>
      </c>
      <c r="H1279" s="113" t="str">
        <f>IFERROR(INDEX(Product_Structure[Generic Name (long)3],MATCH(Товары[[#This Row],[SubGroup]],Product_Structure[Subgroup],0)),"")</f>
        <v>Дождеватели</v>
      </c>
      <c r="I1279" s="36">
        <v>9021</v>
      </c>
      <c r="J1279" s="36" t="str">
        <f>IFERROR(INDEX(Product_Structure[Generic Name (long)],MATCH(Товары[[#This Row],[SubGroup]],Product_Structure[Subgroup],0)),"")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Row],[SubGroup]],DIY!$B:$C,2,FALSE),0)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3" t="str">
        <f>IFERROR(INDEX(Product_Structure[SuperCategory],MATCH(Товары[[#This Row],[SubGroup]],Product_Structure[Subgroup],0)),"")</f>
        <v>W</v>
      </c>
      <c r="D1280" s="113" t="str">
        <f>IFERROR(INDEX(Product_Structure[SuperCategory Name ENG],MATCH(Товары[[#This Row],[SubGroup]],Product_Structure[Subgroup],0)),"")</f>
        <v>Watering (mobile, sprinkler system&amp;MDS, Ponds)</v>
      </c>
      <c r="E12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0" s="113" t="str">
        <f>IFERROR(INDEX(Product_Structure[Product group],MATCH(Товары[[#This Row],[SubGroup]],Product_Structure[Subgroup],0)),"")</f>
        <v>WMS_C</v>
      </c>
      <c r="G1280" s="113" t="str">
        <f>IFERROR(INDEX(Product_Structure[Product group name ENG],MATCH(Товары[[#This Row],[SubGroup]],Product_Structure[Subgroup],0)),"")</f>
        <v>Watering Mobile Sprinklers</v>
      </c>
      <c r="H1280" s="113" t="str">
        <f>IFERROR(INDEX(Product_Structure[Generic Name (long)3],MATCH(Товары[[#This Row],[SubGroup]],Product_Structure[Subgroup],0)),"")</f>
        <v>Дождеватели</v>
      </c>
      <c r="I1280" s="36">
        <v>9021</v>
      </c>
      <c r="J1280" s="36" t="str">
        <f>IFERROR(INDEX(Product_Structure[Generic Name (long)],MATCH(Товары[[#This Row],[SubGroup]],Product_Structure[Subgroup],0)),"")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Row],[SubGroup]],DIY!$B:$C,2,FALSE),0)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3" t="str">
        <f>IFERROR(INDEX(Product_Structure[SuperCategory],MATCH(Товары[[#This Row],[SubGroup]],Product_Structure[Subgroup],0)),"")</f>
        <v>W</v>
      </c>
      <c r="D1281" s="113" t="str">
        <f>IFERROR(INDEX(Product_Structure[SuperCategory Name ENG],MATCH(Товары[[#This Row],[SubGroup]],Product_Structure[Subgroup],0)),"")</f>
        <v>Watering (mobile, sprinkler system&amp;MDS, Ponds)</v>
      </c>
      <c r="E12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1" s="113" t="str">
        <f>IFERROR(INDEX(Product_Structure[Product group],MATCH(Товары[[#This Row],[SubGroup]],Product_Structure[Subgroup],0)),"")</f>
        <v>WMS_C</v>
      </c>
      <c r="G1281" s="113" t="str">
        <f>IFERROR(INDEX(Product_Structure[Product group name ENG],MATCH(Товары[[#This Row],[SubGroup]],Product_Structure[Subgroup],0)),"")</f>
        <v>Watering Mobile Sprinklers</v>
      </c>
      <c r="H1281" s="113" t="str">
        <f>IFERROR(INDEX(Product_Structure[Generic Name (long)3],MATCH(Товары[[#This Row],[SubGroup]],Product_Structure[Subgroup],0)),"")</f>
        <v>Дождеватели</v>
      </c>
      <c r="I1281" s="36">
        <v>9021</v>
      </c>
      <c r="J1281" s="36" t="str">
        <f>IFERROR(INDEX(Product_Structure[Generic Name (long)],MATCH(Товары[[#This Row],[SubGroup]],Product_Structure[Subgroup],0)),"")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Row],[SubGroup]],DIY!$B:$C,2,FALSE),0)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3" t="str">
        <f>IFERROR(INDEX(Product_Structure[SuperCategory],MATCH(Товары[[#This Row],[SubGroup]],Product_Structure[Subgroup],0)),"")</f>
        <v>W</v>
      </c>
      <c r="D1282" s="113" t="str">
        <f>IFERROR(INDEX(Product_Structure[SuperCategory Name ENG],MATCH(Товары[[#This Row],[SubGroup]],Product_Structure[Subgroup],0)),"")</f>
        <v>Watering (mobile, sprinkler system&amp;MDS, Ponds)</v>
      </c>
      <c r="E12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2" s="113" t="str">
        <f>IFERROR(INDEX(Product_Structure[Product group],MATCH(Товары[[#This Row],[SubGroup]],Product_Structure[Subgroup],0)),"")</f>
        <v>WMS_C</v>
      </c>
      <c r="G1282" s="113" t="str">
        <f>IFERROR(INDEX(Product_Structure[Product group name ENG],MATCH(Товары[[#This Row],[SubGroup]],Product_Structure[Subgroup],0)),"")</f>
        <v>Watering Mobile Sprinklers</v>
      </c>
      <c r="H1282" s="113" t="str">
        <f>IFERROR(INDEX(Product_Structure[Generic Name (long)3],MATCH(Товары[[#This Row],[SubGroup]],Product_Structure[Subgroup],0)),"")</f>
        <v>Дождеватели</v>
      </c>
      <c r="I1282" s="36">
        <v>9021</v>
      </c>
      <c r="J1282" s="36" t="str">
        <f>IFERROR(INDEX(Product_Structure[Generic Name (long)],MATCH(Товары[[#This Row],[SubGroup]],Product_Structure[Subgroup],0)),"")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Row],[SubGroup]],DIY!$B:$C,2,FALSE),0)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3" t="str">
        <f>IFERROR(INDEX(Product_Structure[SuperCategory],MATCH(Товары[[#This Row],[SubGroup]],Product_Structure[Subgroup],0)),"")</f>
        <v>W</v>
      </c>
      <c r="D1283" s="113" t="str">
        <f>IFERROR(INDEX(Product_Structure[SuperCategory Name ENG],MATCH(Товары[[#This Row],[SubGroup]],Product_Structure[Subgroup],0)),"")</f>
        <v>Watering (mobile, sprinkler system&amp;MDS, Ponds)</v>
      </c>
      <c r="E12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3" s="113" t="str">
        <f>IFERROR(INDEX(Product_Structure[Product group],MATCH(Товары[[#This Row],[SubGroup]],Product_Structure[Subgroup],0)),"")</f>
        <v>WMS_C</v>
      </c>
      <c r="G1283" s="113" t="str">
        <f>IFERROR(INDEX(Product_Structure[Product group name ENG],MATCH(Товары[[#This Row],[SubGroup]],Product_Structure[Subgroup],0)),"")</f>
        <v>Watering Mobile Sprinklers</v>
      </c>
      <c r="H1283" s="113" t="str">
        <f>IFERROR(INDEX(Product_Structure[Generic Name (long)3],MATCH(Товары[[#This Row],[SubGroup]],Product_Structure[Subgroup],0)),"")</f>
        <v>Дождеватели</v>
      </c>
      <c r="I1283" s="36">
        <v>9021</v>
      </c>
      <c r="J1283" s="36" t="str">
        <f>IFERROR(INDEX(Product_Structure[Generic Name (long)],MATCH(Товары[[#This Row],[SubGroup]],Product_Structure[Subgroup],0)),"")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Row],[SubGroup]],DIY!$B:$C,2,FALSE),0)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3" t="str">
        <f>IFERROR(INDEX(Product_Structure[SuperCategory],MATCH(Товары[[#This Row],[SubGroup]],Product_Structure[Subgroup],0)),"")</f>
        <v>W</v>
      </c>
      <c r="D1284" s="113" t="str">
        <f>IFERROR(INDEX(Product_Structure[SuperCategory Name ENG],MATCH(Товары[[#This Row],[SubGroup]],Product_Structure[Subgroup],0)),"")</f>
        <v>Watering (mobile, sprinkler system&amp;MDS, Ponds)</v>
      </c>
      <c r="E12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4" s="113" t="str">
        <f>IFERROR(INDEX(Product_Structure[Product group],MATCH(Товары[[#This Row],[SubGroup]],Product_Structure[Subgroup],0)),"")</f>
        <v>WMS_C</v>
      </c>
      <c r="G1284" s="113" t="str">
        <f>IFERROR(INDEX(Product_Structure[Product group name ENG],MATCH(Товары[[#This Row],[SubGroup]],Product_Structure[Subgroup],0)),"")</f>
        <v>Watering Mobile Sprinklers</v>
      </c>
      <c r="H1284" s="113" t="str">
        <f>IFERROR(INDEX(Product_Structure[Generic Name (long)3],MATCH(Товары[[#This Row],[SubGroup]],Product_Structure[Subgroup],0)),"")</f>
        <v>Дождеватели</v>
      </c>
      <c r="I1284" s="36">
        <v>9021</v>
      </c>
      <c r="J1284" s="36" t="str">
        <f>IFERROR(INDEX(Product_Structure[Generic Name (long)],MATCH(Товары[[#This Row],[SubGroup]],Product_Structure[Subgroup],0)),"")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Row],[SubGroup]],DIY!$B:$C,2,FALSE),0)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3" t="str">
        <f>IFERROR(INDEX(Product_Structure[SuperCategory],MATCH(Товары[[#This Row],[SubGroup]],Product_Structure[Subgroup],0)),"")</f>
        <v>W</v>
      </c>
      <c r="D1285" s="113" t="str">
        <f>IFERROR(INDEX(Product_Structure[SuperCategory Name ENG],MATCH(Товары[[#This Row],[SubGroup]],Product_Structure[Subgroup],0)),"")</f>
        <v>Watering (mobile, sprinkler system&amp;MDS, Ponds)</v>
      </c>
      <c r="E12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5" s="113" t="str">
        <f>IFERROR(INDEX(Product_Structure[Product group],MATCH(Товары[[#This Row],[SubGroup]],Product_Structure[Subgroup],0)),"")</f>
        <v>WMS_C</v>
      </c>
      <c r="G1285" s="113" t="str">
        <f>IFERROR(INDEX(Product_Structure[Product group name ENG],MATCH(Товары[[#This Row],[SubGroup]],Product_Structure[Subgroup],0)),"")</f>
        <v>Watering Mobile Sprinklers</v>
      </c>
      <c r="H1285" s="113" t="str">
        <f>IFERROR(INDEX(Product_Structure[Generic Name (long)3],MATCH(Товары[[#This Row],[SubGroup]],Product_Structure[Subgroup],0)),"")</f>
        <v>Дождеватели</v>
      </c>
      <c r="I1285" s="36">
        <v>9021</v>
      </c>
      <c r="J1285" s="36" t="str">
        <f>IFERROR(INDEX(Product_Structure[Generic Name (long)],MATCH(Товары[[#This Row],[SubGroup]],Product_Structure[Subgroup],0)),"")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Row],[SubGroup]],DIY!$B:$C,2,FALSE),0)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3" t="str">
        <f>IFERROR(INDEX(Product_Structure[SuperCategory],MATCH(Товары[[#This Row],[SubGroup]],Product_Structure[Subgroup],0)),"")</f>
        <v>W</v>
      </c>
      <c r="D1286" s="113" t="str">
        <f>IFERROR(INDEX(Product_Structure[SuperCategory Name ENG],MATCH(Товары[[#This Row],[SubGroup]],Product_Structure[Subgroup],0)),"")</f>
        <v>Watering (mobile, sprinkler system&amp;MDS, Ponds)</v>
      </c>
      <c r="E12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6" s="113" t="str">
        <f>IFERROR(INDEX(Product_Structure[Product group],MATCH(Товары[[#This Row],[SubGroup]],Product_Structure[Subgroup],0)),"")</f>
        <v>WMS_C</v>
      </c>
      <c r="G1286" s="113" t="str">
        <f>IFERROR(INDEX(Product_Structure[Product group name ENG],MATCH(Товары[[#This Row],[SubGroup]],Product_Structure[Subgroup],0)),"")</f>
        <v>Watering Mobile Sprinklers</v>
      </c>
      <c r="H1286" s="113" t="str">
        <f>IFERROR(INDEX(Product_Structure[Generic Name (long)3],MATCH(Товары[[#This Row],[SubGroup]],Product_Structure[Subgroup],0)),"")</f>
        <v>Дождеватели</v>
      </c>
      <c r="I1286" s="36">
        <v>9021</v>
      </c>
      <c r="J1286" s="36" t="str">
        <f>IFERROR(INDEX(Product_Structure[Generic Name (long)],MATCH(Товары[[#This Row],[SubGroup]],Product_Structure[Subgroup],0)),"")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Row],[SubGroup]],DIY!$B:$C,2,FALSE),0)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3" t="str">
        <f>IFERROR(INDEX(Product_Structure[SuperCategory],MATCH(Товары[[#This Row],[SubGroup]],Product_Structure[Subgroup],0)),"")</f>
        <v>W</v>
      </c>
      <c r="D1287" s="113" t="str">
        <f>IFERROR(INDEX(Product_Structure[SuperCategory Name ENG],MATCH(Товары[[#This Row],[SubGroup]],Product_Structure[Subgroup],0)),"")</f>
        <v>Watering (mobile, sprinkler system&amp;MDS, Ponds)</v>
      </c>
      <c r="E12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7" s="113" t="str">
        <f>IFERROR(INDEX(Product_Structure[Product group],MATCH(Товары[[#This Row],[SubGroup]],Product_Structure[Subgroup],0)),"")</f>
        <v>WMS_C</v>
      </c>
      <c r="G1287" s="113" t="str">
        <f>IFERROR(INDEX(Product_Structure[Product group name ENG],MATCH(Товары[[#This Row],[SubGroup]],Product_Structure[Subgroup],0)),"")</f>
        <v>Watering Mobile Sprinklers</v>
      </c>
      <c r="H1287" s="113" t="str">
        <f>IFERROR(INDEX(Product_Structure[Generic Name (long)3],MATCH(Товары[[#This Row],[SubGroup]],Product_Structure[Subgroup],0)),"")</f>
        <v>Дождеватели</v>
      </c>
      <c r="I1287" s="36">
        <v>9021</v>
      </c>
      <c r="J1287" s="36" t="str">
        <f>IFERROR(INDEX(Product_Structure[Generic Name (long)],MATCH(Товары[[#This Row],[SubGroup]],Product_Structure[Subgroup],0)),"")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Row],[SubGroup]],DIY!$B:$C,2,FALSE),0)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3" t="str">
        <f>IFERROR(INDEX(Product_Structure[SuperCategory],MATCH(Товары[[#This Row],[SubGroup]],Product_Structure[Subgroup],0)),"")</f>
        <v>W</v>
      </c>
      <c r="D1288" s="113" t="str">
        <f>IFERROR(INDEX(Product_Structure[SuperCategory Name ENG],MATCH(Товары[[#This Row],[SubGroup]],Product_Structure[Subgroup],0)),"")</f>
        <v>Watering (mobile, sprinkler system&amp;MDS, Ponds)</v>
      </c>
      <c r="E12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8" s="113" t="str">
        <f>IFERROR(INDEX(Product_Structure[Product group],MATCH(Товары[[#This Row],[SubGroup]],Product_Structure[Subgroup],0)),"")</f>
        <v>WMS_C</v>
      </c>
      <c r="G1288" s="113" t="str">
        <f>IFERROR(INDEX(Product_Structure[Product group name ENG],MATCH(Товары[[#This Row],[SubGroup]],Product_Structure[Subgroup],0)),"")</f>
        <v>Watering Mobile Sprinklers</v>
      </c>
      <c r="H1288" s="113" t="str">
        <f>IFERROR(INDEX(Product_Structure[Generic Name (long)3],MATCH(Товары[[#This Row],[SubGroup]],Product_Structure[Subgroup],0)),"")</f>
        <v>Дождеватели</v>
      </c>
      <c r="I1288" s="36">
        <v>9021</v>
      </c>
      <c r="J1288" s="36" t="str">
        <f>IFERROR(INDEX(Product_Structure[Generic Name (long)],MATCH(Товары[[#This Row],[SubGroup]],Product_Structure[Subgroup],0)),"")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Row],[SubGroup]],DIY!$B:$C,2,FALSE),0)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3" t="str">
        <f>IFERROR(INDEX(Product_Structure[SuperCategory],MATCH(Товары[[#This Row],[SubGroup]],Product_Structure[Subgroup],0)),"")</f>
        <v>W</v>
      </c>
      <c r="D1289" s="113" t="str">
        <f>IFERROR(INDEX(Product_Structure[SuperCategory Name ENG],MATCH(Товары[[#This Row],[SubGroup]],Product_Structure[Subgroup],0)),"")</f>
        <v>Watering (mobile, sprinkler system&amp;MDS, Ponds)</v>
      </c>
      <c r="E12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89" s="113" t="str">
        <f>IFERROR(INDEX(Product_Structure[Product group],MATCH(Товары[[#This Row],[SubGroup]],Product_Structure[Subgroup],0)),"")</f>
        <v>WMS_C</v>
      </c>
      <c r="G1289" s="113" t="str">
        <f>IFERROR(INDEX(Product_Structure[Product group name ENG],MATCH(Товары[[#This Row],[SubGroup]],Product_Structure[Subgroup],0)),"")</f>
        <v>Watering Mobile Sprinklers</v>
      </c>
      <c r="H1289" s="113" t="str">
        <f>IFERROR(INDEX(Product_Structure[Generic Name (long)3],MATCH(Товары[[#This Row],[SubGroup]],Product_Structure[Subgroup],0)),"")</f>
        <v>Дождеватели</v>
      </c>
      <c r="I1289" s="36">
        <v>9021</v>
      </c>
      <c r="J1289" s="36" t="str">
        <f>IFERROR(INDEX(Product_Structure[Generic Name (long)],MATCH(Товары[[#This Row],[SubGroup]],Product_Structure[Subgroup],0)),"")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Row],[SubGroup]],DIY!$B:$C,2,FALSE),0)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3" t="str">
        <f>IFERROR(INDEX(Product_Structure[SuperCategory],MATCH(Товары[[#This Row],[SubGroup]],Product_Structure[Subgroup],0)),"")</f>
        <v>W</v>
      </c>
      <c r="D1290" s="113" t="str">
        <f>IFERROR(INDEX(Product_Structure[SuperCategory Name ENG],MATCH(Товары[[#This Row],[SubGroup]],Product_Structure[Subgroup],0)),"")</f>
        <v>Watering (mobile, sprinkler system&amp;MDS, Ponds)</v>
      </c>
      <c r="E12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0" s="113" t="str">
        <f>IFERROR(INDEX(Product_Structure[Product group],MATCH(Товары[[#This Row],[SubGroup]],Product_Structure[Subgroup],0)),"")</f>
        <v>WMS_C</v>
      </c>
      <c r="G1290" s="113" t="str">
        <f>IFERROR(INDEX(Product_Structure[Product group name ENG],MATCH(Товары[[#This Row],[SubGroup]],Product_Structure[Subgroup],0)),"")</f>
        <v>Watering Mobile Sprinklers</v>
      </c>
      <c r="H1290" s="113" t="str">
        <f>IFERROR(INDEX(Product_Structure[Generic Name (long)3],MATCH(Товары[[#This Row],[SubGroup]],Product_Structure[Subgroup],0)),"")</f>
        <v>Дождеватели</v>
      </c>
      <c r="I1290" s="36">
        <v>9021</v>
      </c>
      <c r="J1290" s="36" t="str">
        <f>IFERROR(INDEX(Product_Structure[Generic Name (long)],MATCH(Товары[[#This Row],[SubGroup]],Product_Structure[Subgroup],0)),"")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Row],[SubGroup]],DIY!$B:$C,2,FALSE),0)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3" t="str">
        <f>IFERROR(INDEX(Product_Structure[SuperCategory],MATCH(Товары[[#This Row],[SubGroup]],Product_Structure[Subgroup],0)),"")</f>
        <v>W</v>
      </c>
      <c r="D1291" s="113" t="str">
        <f>IFERROR(INDEX(Product_Structure[SuperCategory Name ENG],MATCH(Товары[[#This Row],[SubGroup]],Product_Structure[Subgroup],0)),"")</f>
        <v>Watering (mobile, sprinkler system&amp;MDS, Ponds)</v>
      </c>
      <c r="E12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1" s="113" t="str">
        <f>IFERROR(INDEX(Product_Structure[Product group],MATCH(Товары[[#This Row],[SubGroup]],Product_Structure[Subgroup],0)),"")</f>
        <v>WMS_C</v>
      </c>
      <c r="G1291" s="113" t="str">
        <f>IFERROR(INDEX(Product_Structure[Product group name ENG],MATCH(Товары[[#This Row],[SubGroup]],Product_Structure[Subgroup],0)),"")</f>
        <v>Watering Mobile Sprinklers</v>
      </c>
      <c r="H1291" s="113" t="str">
        <f>IFERROR(INDEX(Product_Structure[Generic Name (long)3],MATCH(Товары[[#This Row],[SubGroup]],Product_Structure[Subgroup],0)),"")</f>
        <v>Дождеватели</v>
      </c>
      <c r="I1291" s="36">
        <v>9021</v>
      </c>
      <c r="J1291" s="36" t="str">
        <f>IFERROR(INDEX(Product_Structure[Generic Name (long)],MATCH(Товары[[#This Row],[SubGroup]],Product_Structure[Subgroup],0)),"")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Row],[SubGroup]],DIY!$B:$C,2,FALSE),0)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3" t="str">
        <f>IFERROR(INDEX(Product_Structure[SuperCategory],MATCH(Товары[[#This Row],[SubGroup]],Product_Structure[Subgroup],0)),"")</f>
        <v>W</v>
      </c>
      <c r="D1292" s="113" t="str">
        <f>IFERROR(INDEX(Product_Structure[SuperCategory Name ENG],MATCH(Товары[[#This Row],[SubGroup]],Product_Structure[Subgroup],0)),"")</f>
        <v>Watering (mobile, sprinkler system&amp;MDS, Ponds)</v>
      </c>
      <c r="E12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2" s="113" t="str">
        <f>IFERROR(INDEX(Product_Structure[Product group],MATCH(Товары[[#This Row],[SubGroup]],Product_Structure[Subgroup],0)),"")</f>
        <v>WMS_C</v>
      </c>
      <c r="G1292" s="113" t="str">
        <f>IFERROR(INDEX(Product_Structure[Product group name ENG],MATCH(Товары[[#This Row],[SubGroup]],Product_Structure[Subgroup],0)),"")</f>
        <v>Watering Mobile Sprinklers</v>
      </c>
      <c r="H1292" s="113" t="str">
        <f>IFERROR(INDEX(Product_Structure[Generic Name (long)3],MATCH(Товары[[#This Row],[SubGroup]],Product_Structure[Subgroup],0)),"")</f>
        <v>Дождеватели</v>
      </c>
      <c r="I1292" s="36">
        <v>9021</v>
      </c>
      <c r="J1292" s="36" t="str">
        <f>IFERROR(INDEX(Product_Structure[Generic Name (long)],MATCH(Товары[[#This Row],[SubGroup]],Product_Structure[Subgroup],0)),"")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Row],[SubGroup]],DIY!$B:$C,2,FALSE),0)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3" t="str">
        <f>IFERROR(INDEX(Product_Structure[SuperCategory],MATCH(Товары[[#This Row],[SubGroup]],Product_Structure[Subgroup],0)),"")</f>
        <v>W</v>
      </c>
      <c r="D1293" s="113" t="str">
        <f>IFERROR(INDEX(Product_Structure[SuperCategory Name ENG],MATCH(Товары[[#This Row],[SubGroup]],Product_Structure[Subgroup],0)),"")</f>
        <v>Watering (mobile, sprinkler system&amp;MDS, Ponds)</v>
      </c>
      <c r="E12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3" s="113" t="str">
        <f>IFERROR(INDEX(Product_Structure[Product group],MATCH(Товары[[#This Row],[SubGroup]],Product_Structure[Subgroup],0)),"")</f>
        <v>WMS_C</v>
      </c>
      <c r="G1293" s="113" t="str">
        <f>IFERROR(INDEX(Product_Structure[Product group name ENG],MATCH(Товары[[#This Row],[SubGroup]],Product_Structure[Subgroup],0)),"")</f>
        <v>Watering Mobile Sprinklers</v>
      </c>
      <c r="H1293" s="113" t="str">
        <f>IFERROR(INDEX(Product_Structure[Generic Name (long)3],MATCH(Товары[[#This Row],[SubGroup]],Product_Structure[Subgroup],0)),"")</f>
        <v>Дождеватели</v>
      </c>
      <c r="I1293" s="36">
        <v>9021</v>
      </c>
      <c r="J1293" s="36" t="str">
        <f>IFERROR(INDEX(Product_Structure[Generic Name (long)],MATCH(Товары[[#This Row],[SubGroup]],Product_Structure[Subgroup],0)),"")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Row],[SubGroup]],DIY!$B:$C,2,FALSE),0)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3" t="str">
        <f>IFERROR(INDEX(Product_Structure[SuperCategory],MATCH(Товары[[#This Row],[SubGroup]],Product_Structure[Subgroup],0)),"")</f>
        <v>W</v>
      </c>
      <c r="D1294" s="113" t="str">
        <f>IFERROR(INDEX(Product_Structure[SuperCategory Name ENG],MATCH(Товары[[#This Row],[SubGroup]],Product_Structure[Subgroup],0)),"")</f>
        <v>Watering (mobile, sprinkler system&amp;MDS, Ponds)</v>
      </c>
      <c r="E12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4" s="113" t="str">
        <f>IFERROR(INDEX(Product_Structure[Product group],MATCH(Товары[[#This Row],[SubGroup]],Product_Structure[Subgroup],0)),"")</f>
        <v>WMS_C</v>
      </c>
      <c r="G1294" s="113" t="str">
        <f>IFERROR(INDEX(Product_Structure[Product group name ENG],MATCH(Товары[[#This Row],[SubGroup]],Product_Structure[Subgroup],0)),"")</f>
        <v>Watering Mobile Sprinklers</v>
      </c>
      <c r="H1294" s="113" t="str">
        <f>IFERROR(INDEX(Product_Structure[Generic Name (long)3],MATCH(Товары[[#This Row],[SubGroup]],Product_Structure[Subgroup],0)),"")</f>
        <v>Дождеватели</v>
      </c>
      <c r="I1294" s="36">
        <v>9021</v>
      </c>
      <c r="J1294" s="36" t="str">
        <f>IFERROR(INDEX(Product_Structure[Generic Name (long)],MATCH(Товары[[#This Row],[SubGroup]],Product_Structure[Subgroup],0)),"")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Row],[SubGroup]],DIY!$B:$C,2,FALSE),0)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3" t="str">
        <f>IFERROR(INDEX(Product_Structure[SuperCategory],MATCH(Товары[[#This Row],[SubGroup]],Product_Structure[Subgroup],0)),"")</f>
        <v>W</v>
      </c>
      <c r="D1295" s="113" t="str">
        <f>IFERROR(INDEX(Product_Structure[SuperCategory Name ENG],MATCH(Товары[[#This Row],[SubGroup]],Product_Structure[Subgroup],0)),"")</f>
        <v>Watering (mobile, sprinkler system&amp;MDS, Ponds)</v>
      </c>
      <c r="E12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5" s="113" t="str">
        <f>IFERROR(INDEX(Product_Structure[Product group],MATCH(Товары[[#This Row],[SubGroup]],Product_Structure[Subgroup],0)),"")</f>
        <v>WMS_C</v>
      </c>
      <c r="G1295" s="113" t="str">
        <f>IFERROR(INDEX(Product_Structure[Product group name ENG],MATCH(Товары[[#This Row],[SubGroup]],Product_Structure[Subgroup],0)),"")</f>
        <v>Watering Mobile Sprinklers</v>
      </c>
      <c r="H1295" s="113" t="str">
        <f>IFERROR(INDEX(Product_Structure[Generic Name (long)3],MATCH(Товары[[#This Row],[SubGroup]],Product_Structure[Subgroup],0)),"")</f>
        <v>Дождеватели</v>
      </c>
      <c r="I1295" s="36">
        <v>9021</v>
      </c>
      <c r="J1295" s="36" t="str">
        <f>IFERROR(INDEX(Product_Structure[Generic Name (long)],MATCH(Товары[[#This Row],[SubGroup]],Product_Structure[Subgroup],0)),"")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Row],[SubGroup]],DIY!$B:$C,2,FALSE),0)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3" t="str">
        <f>IFERROR(INDEX(Product_Structure[SuperCategory],MATCH(Товары[[#This Row],[SubGroup]],Product_Structure[Subgroup],0)),"")</f>
        <v>W</v>
      </c>
      <c r="D1296" s="113" t="str">
        <f>IFERROR(INDEX(Product_Structure[SuperCategory Name ENG],MATCH(Товары[[#This Row],[SubGroup]],Product_Structure[Subgroup],0)),"")</f>
        <v>Watering (mobile, sprinkler system&amp;MDS, Ponds)</v>
      </c>
      <c r="E12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6" s="113" t="str">
        <f>IFERROR(INDEX(Product_Structure[Product group],MATCH(Товары[[#This Row],[SubGroup]],Product_Structure[Subgroup],0)),"")</f>
        <v>WMS_C</v>
      </c>
      <c r="G1296" s="113" t="str">
        <f>IFERROR(INDEX(Product_Structure[Product group name ENG],MATCH(Товары[[#This Row],[SubGroup]],Product_Structure[Subgroup],0)),"")</f>
        <v>Watering Mobile Sprinklers</v>
      </c>
      <c r="H1296" s="113" t="str">
        <f>IFERROR(INDEX(Product_Structure[Generic Name (long)3],MATCH(Товары[[#This Row],[SubGroup]],Product_Structure[Subgroup],0)),"")</f>
        <v>Дождеватели</v>
      </c>
      <c r="I1296" s="36">
        <v>9021</v>
      </c>
      <c r="J1296" s="36" t="str">
        <f>IFERROR(INDEX(Product_Structure[Generic Name (long)],MATCH(Товары[[#This Row],[SubGroup]],Product_Structure[Subgroup],0)),"")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Row],[SubGroup]],DIY!$B:$C,2,FALSE),0)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3" t="str">
        <f>IFERROR(INDEX(Product_Structure[SuperCategory],MATCH(Товары[[#This Row],[SubGroup]],Product_Structure[Subgroup],0)),"")</f>
        <v>W</v>
      </c>
      <c r="D1297" s="113" t="str">
        <f>IFERROR(INDEX(Product_Structure[SuperCategory Name ENG],MATCH(Товары[[#This Row],[SubGroup]],Product_Structure[Subgroup],0)),"")</f>
        <v>Watering (mobile, sprinkler system&amp;MDS, Ponds)</v>
      </c>
      <c r="E12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7" s="113" t="str">
        <f>IFERROR(INDEX(Product_Structure[Product group],MATCH(Товары[[#This Row],[SubGroup]],Product_Structure[Subgroup],0)),"")</f>
        <v>WMS_C</v>
      </c>
      <c r="G1297" s="113" t="str">
        <f>IFERROR(INDEX(Product_Structure[Product group name ENG],MATCH(Товары[[#This Row],[SubGroup]],Product_Structure[Subgroup],0)),"")</f>
        <v>Watering Mobile Sprinklers</v>
      </c>
      <c r="H1297" s="113" t="str">
        <f>IFERROR(INDEX(Product_Structure[Generic Name (long)3],MATCH(Товары[[#This Row],[SubGroup]],Product_Structure[Subgroup],0)),"")</f>
        <v>Дождеватели</v>
      </c>
      <c r="I1297" s="36">
        <v>9021</v>
      </c>
      <c r="J1297" s="36" t="str">
        <f>IFERROR(INDEX(Product_Structure[Generic Name (long)],MATCH(Товары[[#This Row],[SubGroup]],Product_Structure[Subgroup],0)),"")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Row],[SubGroup]],DIY!$B:$C,2,FALSE),0)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3" t="str">
        <f>IFERROR(INDEX(Product_Structure[SuperCategory],MATCH(Товары[[#This Row],[SubGroup]],Product_Structure[Subgroup],0)),"")</f>
        <v>W</v>
      </c>
      <c r="D1298" s="113" t="str">
        <f>IFERROR(INDEX(Product_Structure[SuperCategory Name ENG],MATCH(Товары[[#This Row],[SubGroup]],Product_Structure[Subgroup],0)),"")</f>
        <v>Watering (mobile, sprinkler system&amp;MDS, Ponds)</v>
      </c>
      <c r="E12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8" s="113" t="str">
        <f>IFERROR(INDEX(Product_Structure[Product group],MATCH(Товары[[#This Row],[SubGroup]],Product_Structure[Subgroup],0)),"")</f>
        <v>WMS_C</v>
      </c>
      <c r="G1298" s="113" t="str">
        <f>IFERROR(INDEX(Product_Structure[Product group name ENG],MATCH(Товары[[#This Row],[SubGroup]],Product_Structure[Subgroup],0)),"")</f>
        <v>Watering Mobile Sprinklers</v>
      </c>
      <c r="H1298" s="113" t="str">
        <f>IFERROR(INDEX(Product_Structure[Generic Name (long)3],MATCH(Товары[[#This Row],[SubGroup]],Product_Structure[Subgroup],0)),"")</f>
        <v>Дождеватели</v>
      </c>
      <c r="I1298" s="36">
        <v>9021</v>
      </c>
      <c r="J1298" s="36" t="str">
        <f>IFERROR(INDEX(Product_Structure[Generic Name (long)],MATCH(Товары[[#This Row],[SubGroup]],Product_Structure[Subgroup],0)),"")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Row],[SubGroup]],DIY!$B:$C,2,FALSE),0)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3" t="str">
        <f>IFERROR(INDEX(Product_Structure[SuperCategory],MATCH(Товары[[#This Row],[SubGroup]],Product_Structure[Subgroup],0)),"")</f>
        <v>W</v>
      </c>
      <c r="D1299" s="113" t="str">
        <f>IFERROR(INDEX(Product_Structure[SuperCategory Name ENG],MATCH(Товары[[#This Row],[SubGroup]],Product_Structure[Subgroup],0)),"")</f>
        <v>Watering (mobile, sprinkler system&amp;MDS, Ponds)</v>
      </c>
      <c r="E12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299" s="113" t="str">
        <f>IFERROR(INDEX(Product_Structure[Product group],MATCH(Товары[[#This Row],[SubGroup]],Product_Structure[Subgroup],0)),"")</f>
        <v>WMS_C</v>
      </c>
      <c r="G1299" s="113" t="str">
        <f>IFERROR(INDEX(Product_Structure[Product group name ENG],MATCH(Товары[[#This Row],[SubGroup]],Product_Structure[Subgroup],0)),"")</f>
        <v>Watering Mobile Sprinklers</v>
      </c>
      <c r="H1299" s="113" t="str">
        <f>IFERROR(INDEX(Product_Structure[Generic Name (long)3],MATCH(Товары[[#This Row],[SubGroup]],Product_Structure[Subgroup],0)),"")</f>
        <v>Дождеватели</v>
      </c>
      <c r="I1299" s="36">
        <v>9021</v>
      </c>
      <c r="J1299" s="36" t="str">
        <f>IFERROR(INDEX(Product_Structure[Generic Name (long)],MATCH(Товары[[#This Row],[SubGroup]],Product_Structure[Subgroup],0)),"")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Row],[SubGroup]],DIY!$B:$C,2,FALSE),0)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3" t="str">
        <f>IFERROR(INDEX(Product_Structure[SuperCategory],MATCH(Товары[[#This Row],[SubGroup]],Product_Structure[Subgroup],0)),"")</f>
        <v>W</v>
      </c>
      <c r="D1300" s="113" t="str">
        <f>IFERROR(INDEX(Product_Structure[SuperCategory Name ENG],MATCH(Товары[[#This Row],[SubGroup]],Product_Structure[Subgroup],0)),"")</f>
        <v>Watering (mobile, sprinkler system&amp;MDS, Ponds)</v>
      </c>
      <c r="E13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0" s="113" t="str">
        <f>IFERROR(INDEX(Product_Structure[Product group],MATCH(Товары[[#This Row],[SubGroup]],Product_Structure[Subgroup],0)),"")</f>
        <v>WMS_C</v>
      </c>
      <c r="G1300" s="113" t="str">
        <f>IFERROR(INDEX(Product_Structure[Product group name ENG],MATCH(Товары[[#This Row],[SubGroup]],Product_Structure[Subgroup],0)),"")</f>
        <v>Watering Mobile Sprinklers</v>
      </c>
      <c r="H1300" s="113" t="str">
        <f>IFERROR(INDEX(Product_Structure[Generic Name (long)3],MATCH(Товары[[#This Row],[SubGroup]],Product_Structure[Subgroup],0)),"")</f>
        <v>Дождеватели</v>
      </c>
      <c r="I1300" s="36">
        <v>9021</v>
      </c>
      <c r="J1300" s="36" t="str">
        <f>IFERROR(INDEX(Product_Structure[Generic Name (long)],MATCH(Товары[[#This Row],[SubGroup]],Product_Structure[Subgroup],0)),"")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Row],[SubGroup]],DIY!$B:$C,2,FALSE),0)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3" t="str">
        <f>IFERROR(INDEX(Product_Structure[SuperCategory],MATCH(Товары[[#This Row],[SubGroup]],Product_Structure[Subgroup],0)),"")</f>
        <v>W</v>
      </c>
      <c r="D1301" s="113" t="str">
        <f>IFERROR(INDEX(Product_Structure[SuperCategory Name ENG],MATCH(Товары[[#This Row],[SubGroup]],Product_Structure[Subgroup],0)),"")</f>
        <v>Watering (mobile, sprinkler system&amp;MDS, Ponds)</v>
      </c>
      <c r="E13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1" s="113" t="str">
        <f>IFERROR(INDEX(Product_Structure[Product group],MATCH(Товары[[#This Row],[SubGroup]],Product_Structure[Subgroup],0)),"")</f>
        <v>WMT_C</v>
      </c>
      <c r="G1301" s="113" t="str">
        <f>IFERROR(INDEX(Product_Structure[Product group name ENG],MATCH(Товары[[#This Row],[SubGroup]],Product_Structure[Subgroup],0)),"")</f>
        <v>Watering Mobile Trolleys/ hose reels</v>
      </c>
      <c r="H1301" s="113" t="str">
        <f>IFERROR(INDEX(Product_Structure[Generic Name (long)3],MATCH(Товары[[#This Row],[SubGroup]],Product_Structure[Subgroup],0)),"")</f>
        <v>Тележки и катушки для шлангов</v>
      </c>
      <c r="I1301" s="36">
        <v>9015</v>
      </c>
      <c r="J1301" s="36" t="str">
        <f>IFERROR(INDEX(Product_Structure[Generic Name (long)],MATCH(Товары[[#This Row],[SubGroup]],Product_Structure[Subgroup],0)),"")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Row],[SubGroup]],DIY!$B:$C,2,FALSE),0)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3" t="str">
        <f>IFERROR(INDEX(Product_Structure[SuperCategory],MATCH(Товары[[#This Row],[SubGroup]],Product_Structure[Subgroup],0)),"")</f>
        <v>W</v>
      </c>
      <c r="D1302" s="113" t="str">
        <f>IFERROR(INDEX(Product_Structure[SuperCategory Name ENG],MATCH(Товары[[#This Row],[SubGroup]],Product_Structure[Subgroup],0)),"")</f>
        <v>Watering (mobile, sprinkler system&amp;MDS, Ponds)</v>
      </c>
      <c r="E13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2" s="113" t="str">
        <f>IFERROR(INDEX(Product_Structure[Product group],MATCH(Товары[[#This Row],[SubGroup]],Product_Structure[Subgroup],0)),"")</f>
        <v>WMT_C</v>
      </c>
      <c r="G1302" s="113" t="str">
        <f>IFERROR(INDEX(Product_Structure[Product group name ENG],MATCH(Товары[[#This Row],[SubGroup]],Product_Structure[Subgroup],0)),"")</f>
        <v>Watering Mobile Trolleys/ hose reels</v>
      </c>
      <c r="H1302" s="113" t="str">
        <f>IFERROR(INDEX(Product_Structure[Generic Name (long)3],MATCH(Товары[[#This Row],[SubGroup]],Product_Structure[Subgroup],0)),"")</f>
        <v>Тележки и катушки для шлангов</v>
      </c>
      <c r="I1302" s="36">
        <v>9015</v>
      </c>
      <c r="J1302" s="36" t="str">
        <f>IFERROR(INDEX(Product_Structure[Generic Name (long)],MATCH(Товары[[#This Row],[SubGroup]],Product_Structure[Subgroup],0)),"")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Row],[SubGroup]],DIY!$B:$C,2,FALSE),0)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3" t="str">
        <f>IFERROR(INDEX(Product_Structure[SuperCategory],MATCH(Товары[[#This Row],[SubGroup]],Product_Structure[Subgroup],0)),"")</f>
        <v>W</v>
      </c>
      <c r="D1303" s="113" t="str">
        <f>IFERROR(INDEX(Product_Structure[SuperCategory Name ENG],MATCH(Товары[[#This Row],[SubGroup]],Product_Structure[Subgroup],0)),"")</f>
        <v>Watering (mobile, sprinkler system&amp;MDS, Ponds)</v>
      </c>
      <c r="E13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3" s="113" t="str">
        <f>IFERROR(INDEX(Product_Structure[Product group],MATCH(Товары[[#This Row],[SubGroup]],Product_Structure[Subgroup],0)),"")</f>
        <v>WMT_C</v>
      </c>
      <c r="G1303" s="113" t="str">
        <f>IFERROR(INDEX(Product_Structure[Product group name ENG],MATCH(Товары[[#This Row],[SubGroup]],Product_Structure[Subgroup],0)),"")</f>
        <v>Watering Mobile Trolleys/ hose reels</v>
      </c>
      <c r="H1303" s="113" t="str">
        <f>IFERROR(INDEX(Product_Structure[Generic Name (long)3],MATCH(Товары[[#This Row],[SubGroup]],Product_Structure[Subgroup],0)),"")</f>
        <v>Тележки и катушки для шлангов</v>
      </c>
      <c r="I1303" s="36">
        <v>9015</v>
      </c>
      <c r="J1303" s="36" t="str">
        <f>IFERROR(INDEX(Product_Structure[Generic Name (long)],MATCH(Товары[[#This Row],[SubGroup]],Product_Structure[Subgroup],0)),"")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Row],[SubGroup]],DIY!$B:$C,2,FALSE),0)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3" t="str">
        <f>IFERROR(INDEX(Product_Structure[SuperCategory],MATCH(Товары[[#This Row],[SubGroup]],Product_Structure[Subgroup],0)),"")</f>
        <v>W</v>
      </c>
      <c r="D1304" s="113" t="str">
        <f>IFERROR(INDEX(Product_Structure[SuperCategory Name ENG],MATCH(Товары[[#This Row],[SubGroup]],Product_Structure[Subgroup],0)),"")</f>
        <v>Watering (mobile, sprinkler system&amp;MDS, Ponds)</v>
      </c>
      <c r="E13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4" s="113" t="str">
        <f>IFERROR(INDEX(Product_Structure[Product group],MATCH(Товары[[#This Row],[SubGroup]],Product_Structure[Subgroup],0)),"")</f>
        <v>WMT_C</v>
      </c>
      <c r="G1304" s="113" t="str">
        <f>IFERROR(INDEX(Product_Structure[Product group name ENG],MATCH(Товары[[#This Row],[SubGroup]],Product_Structure[Subgroup],0)),"")</f>
        <v>Watering Mobile Trolleys/ hose reels</v>
      </c>
      <c r="H1304" s="113" t="str">
        <f>IFERROR(INDEX(Product_Structure[Generic Name (long)3],MATCH(Товары[[#This Row],[SubGroup]],Product_Structure[Subgroup],0)),"")</f>
        <v>Тележки и катушки для шлангов</v>
      </c>
      <c r="I1304" s="36">
        <v>9015</v>
      </c>
      <c r="J1304" s="36" t="str">
        <f>IFERROR(INDEX(Product_Structure[Generic Name (long)],MATCH(Товары[[#This Row],[SubGroup]],Product_Structure[Subgroup],0)),"")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Row],[SubGroup]],DIY!$B:$C,2,FALSE),0)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3" t="str">
        <f>IFERROR(INDEX(Product_Structure[SuperCategory],MATCH(Товары[[#This Row],[SubGroup]],Product_Structure[Subgroup],0)),"")</f>
        <v>W</v>
      </c>
      <c r="D1305" s="113" t="str">
        <f>IFERROR(INDEX(Product_Structure[SuperCategory Name ENG],MATCH(Товары[[#This Row],[SubGroup]],Product_Structure[Subgroup],0)),"")</f>
        <v>Watering (mobile, sprinkler system&amp;MDS, Ponds)</v>
      </c>
      <c r="E13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5" s="113" t="str">
        <f>IFERROR(INDEX(Product_Structure[Product group],MATCH(Товары[[#This Row],[SubGroup]],Product_Structure[Subgroup],0)),"")</f>
        <v>WMT_C</v>
      </c>
      <c r="G1305" s="113" t="str">
        <f>IFERROR(INDEX(Product_Structure[Product group name ENG],MATCH(Товары[[#This Row],[SubGroup]],Product_Structure[Subgroup],0)),"")</f>
        <v>Watering Mobile Trolleys/ hose reels</v>
      </c>
      <c r="H1305" s="113" t="str">
        <f>IFERROR(INDEX(Product_Structure[Generic Name (long)3],MATCH(Товары[[#This Row],[SubGroup]],Product_Structure[Subgroup],0)),"")</f>
        <v>Тележки и катушки для шлангов</v>
      </c>
      <c r="I1305" s="36">
        <v>9015</v>
      </c>
      <c r="J1305" s="36" t="str">
        <f>IFERROR(INDEX(Product_Structure[Generic Name (long)],MATCH(Товары[[#This Row],[SubGroup]],Product_Structure[Subgroup],0)),"")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Row],[SubGroup]],DIY!$B:$C,2,FALSE),0)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3" t="str">
        <f>IFERROR(INDEX(Product_Structure[SuperCategory],MATCH(Товары[[#This Row],[SubGroup]],Product_Structure[Subgroup],0)),"")</f>
        <v>W</v>
      </c>
      <c r="D1306" s="113" t="str">
        <f>IFERROR(INDEX(Product_Structure[SuperCategory Name ENG],MATCH(Товары[[#This Row],[SubGroup]],Product_Structure[Subgroup],0)),"")</f>
        <v>Watering (mobile, sprinkler system&amp;MDS, Ponds)</v>
      </c>
      <c r="E13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6" s="113" t="str">
        <f>IFERROR(INDEX(Product_Structure[Product group],MATCH(Товары[[#This Row],[SubGroup]],Product_Structure[Subgroup],0)),"")</f>
        <v>WMT_C</v>
      </c>
      <c r="G1306" s="113" t="str">
        <f>IFERROR(INDEX(Product_Structure[Product group name ENG],MATCH(Товары[[#This Row],[SubGroup]],Product_Structure[Subgroup],0)),"")</f>
        <v>Watering Mobile Trolleys/ hose reels</v>
      </c>
      <c r="H1306" s="113" t="str">
        <f>IFERROR(INDEX(Product_Structure[Generic Name (long)3],MATCH(Товары[[#This Row],[SubGroup]],Product_Structure[Subgroup],0)),"")</f>
        <v>Тележки и катушки для шлангов</v>
      </c>
      <c r="I1306" s="36">
        <v>9015</v>
      </c>
      <c r="J1306" s="36" t="str">
        <f>IFERROR(INDEX(Product_Structure[Generic Name (long)],MATCH(Товары[[#This Row],[SubGroup]],Product_Structure[Subgroup],0)),"")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Row],[SubGroup]],DIY!$B:$C,2,FALSE),0)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3" t="str">
        <f>IFERROR(INDEX(Product_Structure[SuperCategory],MATCH(Товары[[#This Row],[SubGroup]],Product_Structure[Subgroup],0)),"")</f>
        <v>W</v>
      </c>
      <c r="D1307" s="113" t="str">
        <f>IFERROR(INDEX(Product_Structure[SuperCategory Name ENG],MATCH(Товары[[#This Row],[SubGroup]],Product_Structure[Subgroup],0)),"")</f>
        <v>Watering (mobile, sprinkler system&amp;MDS, Ponds)</v>
      </c>
      <c r="E13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7" s="113" t="str">
        <f>IFERROR(INDEX(Product_Structure[Product group],MATCH(Товары[[#This Row],[SubGroup]],Product_Structure[Subgroup],0)),"")</f>
        <v>WMT_C</v>
      </c>
      <c r="G1307" s="113" t="str">
        <f>IFERROR(INDEX(Product_Structure[Product group name ENG],MATCH(Товары[[#This Row],[SubGroup]],Product_Structure[Subgroup],0)),"")</f>
        <v>Watering Mobile Trolleys/ hose reels</v>
      </c>
      <c r="H1307" s="113" t="str">
        <f>IFERROR(INDEX(Product_Structure[Generic Name (long)3],MATCH(Товары[[#This Row],[SubGroup]],Product_Structure[Subgroup],0)),"")</f>
        <v>Тележки и катушки для шлангов</v>
      </c>
      <c r="I1307" s="36">
        <v>9015</v>
      </c>
      <c r="J1307" s="36" t="str">
        <f>IFERROR(INDEX(Product_Structure[Generic Name (long)],MATCH(Товары[[#This Row],[SubGroup]],Product_Structure[Subgroup],0)),"")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Row],[SubGroup]],DIY!$B:$C,2,FALSE),0)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3" t="str">
        <f>IFERROR(INDEX(Product_Structure[SuperCategory],MATCH(Товары[[#This Row],[SubGroup]],Product_Structure[Subgroup],0)),"")</f>
        <v>W</v>
      </c>
      <c r="D1308" s="113" t="str">
        <f>IFERROR(INDEX(Product_Structure[SuperCategory Name ENG],MATCH(Товары[[#This Row],[SubGroup]],Product_Structure[Subgroup],0)),"")</f>
        <v>Watering (mobile, sprinkler system&amp;MDS, Ponds)</v>
      </c>
      <c r="E13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8" s="113" t="str">
        <f>IFERROR(INDEX(Product_Structure[Product group],MATCH(Товары[[#This Row],[SubGroup]],Product_Structure[Subgroup],0)),"")</f>
        <v>WMT_C</v>
      </c>
      <c r="G1308" s="113" t="str">
        <f>IFERROR(INDEX(Product_Structure[Product group name ENG],MATCH(Товары[[#This Row],[SubGroup]],Product_Structure[Subgroup],0)),"")</f>
        <v>Watering Mobile Trolleys/ hose reels</v>
      </c>
      <c r="H1308" s="113" t="str">
        <f>IFERROR(INDEX(Product_Structure[Generic Name (long)3],MATCH(Товары[[#This Row],[SubGroup]],Product_Structure[Subgroup],0)),"")</f>
        <v>Тележки и катушки для шлангов</v>
      </c>
      <c r="I1308" s="36">
        <v>9015</v>
      </c>
      <c r="J1308" s="36" t="str">
        <f>IFERROR(INDEX(Product_Structure[Generic Name (long)],MATCH(Товары[[#This Row],[SubGroup]],Product_Structure[Subgroup],0)),"")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Row],[SubGroup]],DIY!$B:$C,2,FALSE),0)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3" t="str">
        <f>IFERROR(INDEX(Product_Structure[SuperCategory],MATCH(Товары[[#This Row],[SubGroup]],Product_Structure[Subgroup],0)),"")</f>
        <v>W</v>
      </c>
      <c r="D1309" s="113" t="str">
        <f>IFERROR(INDEX(Product_Structure[SuperCategory Name ENG],MATCH(Товары[[#This Row],[SubGroup]],Product_Structure[Subgroup],0)),"")</f>
        <v>Watering (mobile, sprinkler system&amp;MDS, Ponds)</v>
      </c>
      <c r="E13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09" s="113" t="str">
        <f>IFERROR(INDEX(Product_Structure[Product group],MATCH(Товары[[#This Row],[SubGroup]],Product_Structure[Subgroup],0)),"")</f>
        <v>WMT_C</v>
      </c>
      <c r="G1309" s="113" t="str">
        <f>IFERROR(INDEX(Product_Structure[Product group name ENG],MATCH(Товары[[#This Row],[SubGroup]],Product_Structure[Subgroup],0)),"")</f>
        <v>Watering Mobile Trolleys/ hose reels</v>
      </c>
      <c r="H1309" s="113" t="str">
        <f>IFERROR(INDEX(Product_Structure[Generic Name (long)3],MATCH(Товары[[#This Row],[SubGroup]],Product_Structure[Subgroup],0)),"")</f>
        <v>Тележки и катушки для шлангов</v>
      </c>
      <c r="I1309" s="36">
        <v>9015</v>
      </c>
      <c r="J1309" s="36" t="str">
        <f>IFERROR(INDEX(Product_Structure[Generic Name (long)],MATCH(Товары[[#This Row],[SubGroup]],Product_Structure[Subgroup],0)),"")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Row],[SubGroup]],DIY!$B:$C,2,FALSE),0)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3" t="str">
        <f>IFERROR(INDEX(Product_Structure[SuperCategory],MATCH(Товары[[#This Row],[SubGroup]],Product_Structure[Subgroup],0)),"")</f>
        <v>W</v>
      </c>
      <c r="D1310" s="113" t="str">
        <f>IFERROR(INDEX(Product_Structure[SuperCategory Name ENG],MATCH(Товары[[#This Row],[SubGroup]],Product_Structure[Subgroup],0)),"")</f>
        <v>Watering (mobile, sprinkler system&amp;MDS, Ponds)</v>
      </c>
      <c r="E13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0" s="113" t="str">
        <f>IFERROR(INDEX(Product_Structure[Product group],MATCH(Товары[[#This Row],[SubGroup]],Product_Structure[Subgroup],0)),"")</f>
        <v>WMT_C</v>
      </c>
      <c r="G1310" s="113" t="str">
        <f>IFERROR(INDEX(Product_Structure[Product group name ENG],MATCH(Товары[[#This Row],[SubGroup]],Product_Structure[Subgroup],0)),"")</f>
        <v>Watering Mobile Trolleys/ hose reels</v>
      </c>
      <c r="H1310" s="113" t="str">
        <f>IFERROR(INDEX(Product_Structure[Generic Name (long)3],MATCH(Товары[[#This Row],[SubGroup]],Product_Structure[Subgroup],0)),"")</f>
        <v>Тележки и катушки для шлангов</v>
      </c>
      <c r="I1310" s="36">
        <v>9015</v>
      </c>
      <c r="J1310" s="36" t="str">
        <f>IFERROR(INDEX(Product_Structure[Generic Name (long)],MATCH(Товары[[#This Row],[SubGroup]],Product_Structure[Subgroup],0)),"")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Row],[SubGroup]],DIY!$B:$C,2,FALSE),0)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3" t="str">
        <f>IFERROR(INDEX(Product_Structure[SuperCategory],MATCH(Товары[[#This Row],[SubGroup]],Product_Structure[Subgroup],0)),"")</f>
        <v>W</v>
      </c>
      <c r="D1311" s="113" t="str">
        <f>IFERROR(INDEX(Product_Structure[SuperCategory Name ENG],MATCH(Товары[[#This Row],[SubGroup]],Product_Structure[Subgroup],0)),"")</f>
        <v>Watering (mobile, sprinkler system&amp;MDS, Ponds)</v>
      </c>
      <c r="E13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1" s="113" t="str">
        <f>IFERROR(INDEX(Product_Structure[Product group],MATCH(Товары[[#This Row],[SubGroup]],Product_Structure[Subgroup],0)),"")</f>
        <v>WMT_C</v>
      </c>
      <c r="G1311" s="113" t="str">
        <f>IFERROR(INDEX(Product_Structure[Product group name ENG],MATCH(Товары[[#This Row],[SubGroup]],Product_Structure[Subgroup],0)),"")</f>
        <v>Watering Mobile Trolleys/ hose reels</v>
      </c>
      <c r="H1311" s="113" t="str">
        <f>IFERROR(INDEX(Product_Structure[Generic Name (long)3],MATCH(Товары[[#This Row],[SubGroup]],Product_Structure[Subgroup],0)),"")</f>
        <v>Тележки и катушки для шлангов</v>
      </c>
      <c r="I1311" s="36">
        <v>9015</v>
      </c>
      <c r="J1311" s="36" t="str">
        <f>IFERROR(INDEX(Product_Structure[Generic Name (long)],MATCH(Товары[[#This Row],[SubGroup]],Product_Structure[Subgroup],0)),"")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Row],[SubGroup]],DIY!$B:$C,2,FALSE),0)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3" t="str">
        <f>IFERROR(INDEX(Product_Structure[SuperCategory],MATCH(Товары[[#This Row],[SubGroup]],Product_Structure[Subgroup],0)),"")</f>
        <v>W</v>
      </c>
      <c r="D1312" s="113" t="str">
        <f>IFERROR(INDEX(Product_Structure[SuperCategory Name ENG],MATCH(Товары[[#This Row],[SubGroup]],Product_Structure[Subgroup],0)),"")</f>
        <v>Watering (mobile, sprinkler system&amp;MDS, Ponds)</v>
      </c>
      <c r="E13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2" s="113" t="str">
        <f>IFERROR(INDEX(Product_Structure[Product group],MATCH(Товары[[#This Row],[SubGroup]],Product_Structure[Subgroup],0)),"")</f>
        <v>WMT_C</v>
      </c>
      <c r="G1312" s="113" t="str">
        <f>IFERROR(INDEX(Product_Structure[Product group name ENG],MATCH(Товары[[#This Row],[SubGroup]],Product_Structure[Subgroup],0)),"")</f>
        <v>Watering Mobile Trolleys/ hose reels</v>
      </c>
      <c r="H1312" s="113" t="str">
        <f>IFERROR(INDEX(Product_Structure[Generic Name (long)3],MATCH(Товары[[#This Row],[SubGroup]],Product_Structure[Subgroup],0)),"")</f>
        <v>Тележки и катушки для шлангов</v>
      </c>
      <c r="I1312" s="36">
        <v>9015</v>
      </c>
      <c r="J1312" s="36" t="str">
        <f>IFERROR(INDEX(Product_Structure[Generic Name (long)],MATCH(Товары[[#This Row],[SubGroup]],Product_Structure[Subgroup],0)),"")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Row],[SubGroup]],DIY!$B:$C,2,FALSE),0)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3" t="str">
        <f>IFERROR(INDEX(Product_Structure[SuperCategory],MATCH(Товары[[#This Row],[SubGroup]],Product_Structure[Subgroup],0)),"")</f>
        <v>W</v>
      </c>
      <c r="D1313" s="113" t="str">
        <f>IFERROR(INDEX(Product_Structure[SuperCategory Name ENG],MATCH(Товары[[#This Row],[SubGroup]],Product_Structure[Subgroup],0)),"")</f>
        <v>Watering (mobile, sprinkler system&amp;MDS, Ponds)</v>
      </c>
      <c r="E13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3" s="113" t="str">
        <f>IFERROR(INDEX(Product_Structure[Product group],MATCH(Товары[[#This Row],[SubGroup]],Product_Structure[Subgroup],0)),"")</f>
        <v>WMT_C</v>
      </c>
      <c r="G1313" s="113" t="str">
        <f>IFERROR(INDEX(Product_Structure[Product group name ENG],MATCH(Товары[[#This Row],[SubGroup]],Product_Structure[Subgroup],0)),"")</f>
        <v>Watering Mobile Trolleys/ hose reels</v>
      </c>
      <c r="H1313" s="113" t="str">
        <f>IFERROR(INDEX(Product_Structure[Generic Name (long)3],MATCH(Товары[[#This Row],[SubGroup]],Product_Structure[Subgroup],0)),"")</f>
        <v>Тележки и катушки для шлангов</v>
      </c>
      <c r="I1313" s="36">
        <v>9015</v>
      </c>
      <c r="J1313" s="36" t="str">
        <f>IFERROR(INDEX(Product_Structure[Generic Name (long)],MATCH(Товары[[#This Row],[SubGroup]],Product_Structure[Subgroup],0)),"")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Row],[SubGroup]],DIY!$B:$C,2,FALSE),0)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3" t="str">
        <f>IFERROR(INDEX(Product_Structure[SuperCategory],MATCH(Товары[[#This Row],[SubGroup]],Product_Structure[Subgroup],0)),"")</f>
        <v>W</v>
      </c>
      <c r="D1314" s="113" t="str">
        <f>IFERROR(INDEX(Product_Structure[SuperCategory Name ENG],MATCH(Товары[[#This Row],[SubGroup]],Product_Structure[Subgroup],0)),"")</f>
        <v>Watering (mobile, sprinkler system&amp;MDS, Ponds)</v>
      </c>
      <c r="E13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4" s="113" t="str">
        <f>IFERROR(INDEX(Product_Structure[Product group],MATCH(Товары[[#This Row],[SubGroup]],Product_Structure[Subgroup],0)),"")</f>
        <v>WMT_C</v>
      </c>
      <c r="G1314" s="113" t="str">
        <f>IFERROR(INDEX(Product_Structure[Product group name ENG],MATCH(Товары[[#This Row],[SubGroup]],Product_Structure[Subgroup],0)),"")</f>
        <v>Watering Mobile Trolleys/ hose reels</v>
      </c>
      <c r="H1314" s="113" t="str">
        <f>IFERROR(INDEX(Product_Structure[Generic Name (long)3],MATCH(Товары[[#This Row],[SubGroup]],Product_Structure[Subgroup],0)),"")</f>
        <v>Тележки и катушки для шлангов</v>
      </c>
      <c r="I1314" s="36">
        <v>9015</v>
      </c>
      <c r="J1314" s="36" t="str">
        <f>IFERROR(INDEX(Product_Structure[Generic Name (long)],MATCH(Товары[[#This Row],[SubGroup]],Product_Structure[Subgroup],0)),"")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Row],[SubGroup]],DIY!$B:$C,2,FALSE),0)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3" t="str">
        <f>IFERROR(INDEX(Product_Structure[SuperCategory],MATCH(Товары[[#This Row],[SubGroup]],Product_Structure[Subgroup],0)),"")</f>
        <v>W</v>
      </c>
      <c r="D1315" s="113" t="str">
        <f>IFERROR(INDEX(Product_Structure[SuperCategory Name ENG],MATCH(Товары[[#This Row],[SubGroup]],Product_Structure[Subgroup],0)),"")</f>
        <v>Watering (mobile, sprinkler system&amp;MDS, Ponds)</v>
      </c>
      <c r="E13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5" s="113" t="str">
        <f>IFERROR(INDEX(Product_Structure[Product group],MATCH(Товары[[#This Row],[SubGroup]],Product_Structure[Subgroup],0)),"")</f>
        <v>WMT_C</v>
      </c>
      <c r="G1315" s="113" t="str">
        <f>IFERROR(INDEX(Product_Structure[Product group name ENG],MATCH(Товары[[#This Row],[SubGroup]],Product_Structure[Subgroup],0)),"")</f>
        <v>Watering Mobile Trolleys/ hose reels</v>
      </c>
      <c r="H1315" s="113" t="str">
        <f>IFERROR(INDEX(Product_Structure[Generic Name (long)3],MATCH(Товары[[#This Row],[SubGroup]],Product_Structure[Subgroup],0)),"")</f>
        <v>Тележки и катушки для шлангов</v>
      </c>
      <c r="I1315" s="36">
        <v>9015</v>
      </c>
      <c r="J1315" s="36" t="str">
        <f>IFERROR(INDEX(Product_Structure[Generic Name (long)],MATCH(Товары[[#This Row],[SubGroup]],Product_Structure[Subgroup],0)),"")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Row],[SubGroup]],DIY!$B:$C,2,FALSE),0)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3" t="str">
        <f>IFERROR(INDEX(Product_Structure[SuperCategory],MATCH(Товары[[#This Row],[SubGroup]],Product_Structure[Subgroup],0)),"")</f>
        <v>W</v>
      </c>
      <c r="D1316" s="113" t="str">
        <f>IFERROR(INDEX(Product_Structure[SuperCategory Name ENG],MATCH(Товары[[#This Row],[SubGroup]],Product_Structure[Subgroup],0)),"")</f>
        <v>Watering (mobile, sprinkler system&amp;MDS, Ponds)</v>
      </c>
      <c r="E13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6" s="113" t="str">
        <f>IFERROR(INDEX(Product_Structure[Product group],MATCH(Товары[[#This Row],[SubGroup]],Product_Structure[Subgroup],0)),"")</f>
        <v>WMT_C</v>
      </c>
      <c r="G1316" s="113" t="str">
        <f>IFERROR(INDEX(Product_Structure[Product group name ENG],MATCH(Товары[[#This Row],[SubGroup]],Product_Structure[Subgroup],0)),"")</f>
        <v>Watering Mobile Trolleys/ hose reels</v>
      </c>
      <c r="H1316" s="113" t="str">
        <f>IFERROR(INDEX(Product_Structure[Generic Name (long)3],MATCH(Товары[[#This Row],[SubGroup]],Product_Structure[Subgroup],0)),"")</f>
        <v>Тележки и катушки для шлангов</v>
      </c>
      <c r="I1316" s="36">
        <v>9015</v>
      </c>
      <c r="J1316" s="36" t="str">
        <f>IFERROR(INDEX(Product_Structure[Generic Name (long)],MATCH(Товары[[#This Row],[SubGroup]],Product_Structure[Subgroup],0)),"")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Row],[SubGroup]],DIY!$B:$C,2,FALSE),0)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3" t="str">
        <f>IFERROR(INDEX(Product_Structure[SuperCategory],MATCH(Товары[[#This Row],[SubGroup]],Product_Structure[Subgroup],0)),"")</f>
        <v>W</v>
      </c>
      <c r="D1317" s="113" t="str">
        <f>IFERROR(INDEX(Product_Structure[SuperCategory Name ENG],MATCH(Товары[[#This Row],[SubGroup]],Product_Structure[Subgroup],0)),"")</f>
        <v>Watering (mobile, sprinkler system&amp;MDS, Ponds)</v>
      </c>
      <c r="E13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7" s="113" t="str">
        <f>IFERROR(INDEX(Product_Structure[Product group],MATCH(Товары[[#This Row],[SubGroup]],Product_Structure[Subgroup],0)),"")</f>
        <v>WMT_C</v>
      </c>
      <c r="G1317" s="113" t="str">
        <f>IFERROR(INDEX(Product_Structure[Product group name ENG],MATCH(Товары[[#This Row],[SubGroup]],Product_Structure[Subgroup],0)),"")</f>
        <v>Watering Mobile Trolleys/ hose reels</v>
      </c>
      <c r="H1317" s="113" t="str">
        <f>IFERROR(INDEX(Product_Structure[Generic Name (long)3],MATCH(Товары[[#This Row],[SubGroup]],Product_Structure[Subgroup],0)),"")</f>
        <v>Тележки и катушки для шлангов</v>
      </c>
      <c r="I1317" s="36">
        <v>9015</v>
      </c>
      <c r="J1317" s="36" t="str">
        <f>IFERROR(INDEX(Product_Structure[Generic Name (long)],MATCH(Товары[[#This Row],[SubGroup]],Product_Structure[Subgroup],0)),"")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Row],[SubGroup]],DIY!$B:$C,2,FALSE),0)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3" t="str">
        <f>IFERROR(INDEX(Product_Structure[SuperCategory],MATCH(Товары[[#This Row],[SubGroup]],Product_Structure[Subgroup],0)),"")</f>
        <v>W</v>
      </c>
      <c r="D1318" s="113" t="str">
        <f>IFERROR(INDEX(Product_Structure[SuperCategory Name ENG],MATCH(Товары[[#This Row],[SubGroup]],Product_Structure[Subgroup],0)),"")</f>
        <v>Watering (mobile, sprinkler system&amp;MDS, Ponds)</v>
      </c>
      <c r="E13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8" s="113" t="str">
        <f>IFERROR(INDEX(Product_Structure[Product group],MATCH(Товары[[#This Row],[SubGroup]],Product_Structure[Subgroup],0)),"")</f>
        <v>WMT_C</v>
      </c>
      <c r="G1318" s="113" t="str">
        <f>IFERROR(INDEX(Product_Structure[Product group name ENG],MATCH(Товары[[#This Row],[SubGroup]],Product_Structure[Subgroup],0)),"")</f>
        <v>Watering Mobile Trolleys/ hose reels</v>
      </c>
      <c r="H1318" s="113" t="str">
        <f>IFERROR(INDEX(Product_Structure[Generic Name (long)3],MATCH(Товары[[#This Row],[SubGroup]],Product_Structure[Subgroup],0)),"")</f>
        <v>Тележки и катушки для шлангов</v>
      </c>
      <c r="I1318" s="36">
        <v>9015</v>
      </c>
      <c r="J1318" s="36" t="str">
        <f>IFERROR(INDEX(Product_Structure[Generic Name (long)],MATCH(Товары[[#This Row],[SubGroup]],Product_Structure[Subgroup],0)),"")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Row],[SubGroup]],DIY!$B:$C,2,FALSE),0)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3" t="str">
        <f>IFERROR(INDEX(Product_Structure[SuperCategory],MATCH(Товары[[#This Row],[SubGroup]],Product_Structure[Subgroup],0)),"")</f>
        <v>W</v>
      </c>
      <c r="D1319" s="113" t="str">
        <f>IFERROR(INDEX(Product_Structure[SuperCategory Name ENG],MATCH(Товары[[#This Row],[SubGroup]],Product_Structure[Subgroup],0)),"")</f>
        <v>Watering (mobile, sprinkler system&amp;MDS, Ponds)</v>
      </c>
      <c r="E13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19" s="113" t="str">
        <f>IFERROR(INDEX(Product_Structure[Product group],MATCH(Товары[[#This Row],[SubGroup]],Product_Structure[Subgroup],0)),"")</f>
        <v>WMT_C</v>
      </c>
      <c r="G1319" s="113" t="str">
        <f>IFERROR(INDEX(Product_Structure[Product group name ENG],MATCH(Товары[[#This Row],[SubGroup]],Product_Structure[Subgroup],0)),"")</f>
        <v>Watering Mobile Trolleys/ hose reels</v>
      </c>
      <c r="H1319" s="113" t="str">
        <f>IFERROR(INDEX(Product_Structure[Generic Name (long)3],MATCH(Товары[[#This Row],[SubGroup]],Product_Structure[Subgroup],0)),"")</f>
        <v>Тележки и катушки для шлангов</v>
      </c>
      <c r="I1319" s="36">
        <v>9015</v>
      </c>
      <c r="J1319" s="36" t="str">
        <f>IFERROR(INDEX(Product_Structure[Generic Name (long)],MATCH(Товары[[#This Row],[SubGroup]],Product_Structure[Subgroup],0)),"")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Row],[SubGroup]],DIY!$B:$C,2,FALSE),0)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3" t="str">
        <f>IFERROR(INDEX(Product_Structure[SuperCategory],MATCH(Товары[[#This Row],[SubGroup]],Product_Structure[Subgroup],0)),"")</f>
        <v>W</v>
      </c>
      <c r="D1320" s="113" t="str">
        <f>IFERROR(INDEX(Product_Structure[SuperCategory Name ENG],MATCH(Товары[[#This Row],[SubGroup]],Product_Structure[Subgroup],0)),"")</f>
        <v>Watering (mobile, sprinkler system&amp;MDS, Ponds)</v>
      </c>
      <c r="E13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0" s="113" t="str">
        <f>IFERROR(INDEX(Product_Structure[Product group],MATCH(Товары[[#This Row],[SubGroup]],Product_Structure[Subgroup],0)),"")</f>
        <v>WMT_C</v>
      </c>
      <c r="G1320" s="113" t="str">
        <f>IFERROR(INDEX(Product_Structure[Product group name ENG],MATCH(Товары[[#This Row],[SubGroup]],Product_Structure[Subgroup],0)),"")</f>
        <v>Watering Mobile Trolleys/ hose reels</v>
      </c>
      <c r="H1320" s="113" t="str">
        <f>IFERROR(INDEX(Product_Structure[Generic Name (long)3],MATCH(Товары[[#This Row],[SubGroup]],Product_Structure[Subgroup],0)),"")</f>
        <v>Тележки и катушки для шлангов</v>
      </c>
      <c r="I1320" s="36">
        <v>9015</v>
      </c>
      <c r="J1320" s="36" t="str">
        <f>IFERROR(INDEX(Product_Structure[Generic Name (long)],MATCH(Товары[[#This Row],[SubGroup]],Product_Structure[Subgroup],0)),"")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Row],[SubGroup]],DIY!$B:$C,2,FALSE),0)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3" t="str">
        <f>IFERROR(INDEX(Product_Structure[SuperCategory],MATCH(Товары[[#This Row],[SubGroup]],Product_Structure[Subgroup],0)),"")</f>
        <v>W</v>
      </c>
      <c r="D1321" s="113" t="str">
        <f>IFERROR(INDEX(Product_Structure[SuperCategory Name ENG],MATCH(Товары[[#This Row],[SubGroup]],Product_Structure[Subgroup],0)),"")</f>
        <v>Watering (mobile, sprinkler system&amp;MDS, Ponds)</v>
      </c>
      <c r="E13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1" s="113" t="str">
        <f>IFERROR(INDEX(Product_Structure[Product group],MATCH(Товары[[#This Row],[SubGroup]],Product_Structure[Subgroup],0)),"")</f>
        <v>WMT_C</v>
      </c>
      <c r="G1321" s="113" t="str">
        <f>IFERROR(INDEX(Product_Structure[Product group name ENG],MATCH(Товары[[#This Row],[SubGroup]],Product_Structure[Subgroup],0)),"")</f>
        <v>Watering Mobile Trolleys/ hose reels</v>
      </c>
      <c r="H1321" s="113" t="str">
        <f>IFERROR(INDEX(Product_Structure[Generic Name (long)3],MATCH(Товары[[#This Row],[SubGroup]],Product_Structure[Subgroup],0)),"")</f>
        <v>Тележки и катушки для шлангов</v>
      </c>
      <c r="I1321" s="36">
        <v>9015</v>
      </c>
      <c r="J1321" s="36" t="str">
        <f>IFERROR(INDEX(Product_Structure[Generic Name (long)],MATCH(Товары[[#This Row],[SubGroup]],Product_Structure[Subgroup],0)),"")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Row],[SubGroup]],DIY!$B:$C,2,FALSE),0)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3" t="str">
        <f>IFERROR(INDEX(Product_Structure[SuperCategory],MATCH(Товары[[#This Row],[SubGroup]],Product_Structure[Subgroup],0)),"")</f>
        <v>W</v>
      </c>
      <c r="D1322" s="113" t="str">
        <f>IFERROR(INDEX(Product_Structure[SuperCategory Name ENG],MATCH(Товары[[#This Row],[SubGroup]],Product_Structure[Subgroup],0)),"")</f>
        <v>Watering (mobile, sprinkler system&amp;MDS, Ponds)</v>
      </c>
      <c r="E13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2" s="113" t="str">
        <f>IFERROR(INDEX(Product_Structure[Product group],MATCH(Товары[[#This Row],[SubGroup]],Product_Structure[Subgroup],0)),"")</f>
        <v>WMT_C</v>
      </c>
      <c r="G1322" s="113" t="str">
        <f>IFERROR(INDEX(Product_Structure[Product group name ENG],MATCH(Товары[[#This Row],[SubGroup]],Product_Structure[Subgroup],0)),"")</f>
        <v>Watering Mobile Trolleys/ hose reels</v>
      </c>
      <c r="H1322" s="113" t="str">
        <f>IFERROR(INDEX(Product_Structure[Generic Name (long)3],MATCH(Товары[[#This Row],[SubGroup]],Product_Structure[Subgroup],0)),"")</f>
        <v>Тележки и катушки для шлангов</v>
      </c>
      <c r="I1322" s="36">
        <v>9015</v>
      </c>
      <c r="J1322" s="36" t="str">
        <f>IFERROR(INDEX(Product_Structure[Generic Name (long)],MATCH(Товары[[#This Row],[SubGroup]],Product_Structure[Subgroup],0)),"")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Row],[SubGroup]],DIY!$B:$C,2,FALSE),0)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3" t="str">
        <f>IFERROR(INDEX(Product_Structure[SuperCategory],MATCH(Товары[[#This Row],[SubGroup]],Product_Structure[Subgroup],0)),"")</f>
        <v>W</v>
      </c>
      <c r="D1323" s="113" t="str">
        <f>IFERROR(INDEX(Product_Structure[SuperCategory Name ENG],MATCH(Товары[[#This Row],[SubGroup]],Product_Structure[Subgroup],0)),"")</f>
        <v>Watering (mobile, sprinkler system&amp;MDS, Ponds)</v>
      </c>
      <c r="E13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3" s="113" t="str">
        <f>IFERROR(INDEX(Product_Structure[Product group],MATCH(Товары[[#This Row],[SubGroup]],Product_Structure[Subgroup],0)),"")</f>
        <v>WMT_C</v>
      </c>
      <c r="G1323" s="113" t="str">
        <f>IFERROR(INDEX(Product_Structure[Product group name ENG],MATCH(Товары[[#This Row],[SubGroup]],Product_Structure[Subgroup],0)),"")</f>
        <v>Watering Mobile Trolleys/ hose reels</v>
      </c>
      <c r="H1323" s="113" t="str">
        <f>IFERROR(INDEX(Product_Structure[Generic Name (long)3],MATCH(Товары[[#This Row],[SubGroup]],Product_Structure[Subgroup],0)),"")</f>
        <v>Тележки и катушки для шлангов</v>
      </c>
      <c r="I1323" s="36">
        <v>9015</v>
      </c>
      <c r="J1323" s="36" t="str">
        <f>IFERROR(INDEX(Product_Structure[Generic Name (long)],MATCH(Товары[[#This Row],[SubGroup]],Product_Structure[Subgroup],0)),"")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Row],[SubGroup]],DIY!$B:$C,2,FALSE),0)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3" t="str">
        <f>IFERROR(INDEX(Product_Structure[SuperCategory],MATCH(Товары[[#This Row],[SubGroup]],Product_Structure[Subgroup],0)),"")</f>
        <v>W</v>
      </c>
      <c r="D1324" s="113" t="str">
        <f>IFERROR(INDEX(Product_Structure[SuperCategory Name ENG],MATCH(Товары[[#This Row],[SubGroup]],Product_Structure[Subgroup],0)),"")</f>
        <v>Watering (mobile, sprinkler system&amp;MDS, Ponds)</v>
      </c>
      <c r="E13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4" s="113" t="str">
        <f>IFERROR(INDEX(Product_Structure[Product group],MATCH(Товары[[#This Row],[SubGroup]],Product_Structure[Subgroup],0)),"")</f>
        <v>WMT_C</v>
      </c>
      <c r="G1324" s="113" t="str">
        <f>IFERROR(INDEX(Product_Structure[Product group name ENG],MATCH(Товары[[#This Row],[SubGroup]],Product_Structure[Subgroup],0)),"")</f>
        <v>Watering Mobile Trolleys/ hose reels</v>
      </c>
      <c r="H1324" s="113" t="str">
        <f>IFERROR(INDEX(Product_Structure[Generic Name (long)3],MATCH(Товары[[#This Row],[SubGroup]],Product_Structure[Subgroup],0)),"")</f>
        <v>Тележки и катушки для шлангов</v>
      </c>
      <c r="I1324" s="36">
        <v>9015</v>
      </c>
      <c r="J1324" s="36" t="str">
        <f>IFERROR(INDEX(Product_Structure[Generic Name (long)],MATCH(Товары[[#This Row],[SubGroup]],Product_Structure[Subgroup],0)),"")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Row],[SubGroup]],DIY!$B:$C,2,FALSE),0)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3" t="str">
        <f>IFERROR(INDEX(Product_Structure[SuperCategory],MATCH(Товары[[#This Row],[SubGroup]],Product_Structure[Subgroup],0)),"")</f>
        <v>W</v>
      </c>
      <c r="D1325" s="113" t="str">
        <f>IFERROR(INDEX(Product_Structure[SuperCategory Name ENG],MATCH(Товары[[#This Row],[SubGroup]],Product_Structure[Subgroup],0)),"")</f>
        <v>Watering (mobile, sprinkler system&amp;MDS, Ponds)</v>
      </c>
      <c r="E13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5" s="113" t="str">
        <f>IFERROR(INDEX(Product_Structure[Product group],MATCH(Товары[[#This Row],[SubGroup]],Product_Structure[Subgroup],0)),"")</f>
        <v>WMT_C</v>
      </c>
      <c r="G1325" s="113" t="str">
        <f>IFERROR(INDEX(Product_Structure[Product group name ENG],MATCH(Товары[[#This Row],[SubGroup]],Product_Structure[Subgroup],0)),"")</f>
        <v>Watering Mobile Trolleys/ hose reels</v>
      </c>
      <c r="H1325" s="113" t="str">
        <f>IFERROR(INDEX(Product_Structure[Generic Name (long)3],MATCH(Товары[[#This Row],[SubGroup]],Product_Structure[Subgroup],0)),"")</f>
        <v>Тележки и катушки для шлангов</v>
      </c>
      <c r="I1325" s="36">
        <v>9015</v>
      </c>
      <c r="J1325" s="36" t="str">
        <f>IFERROR(INDEX(Product_Structure[Generic Name (long)],MATCH(Товары[[#This Row],[SubGroup]],Product_Structure[Subgroup],0)),"")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Row],[SubGroup]],DIY!$B:$C,2,FALSE),0)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3" t="str">
        <f>IFERROR(INDEX(Product_Structure[SuperCategory],MATCH(Товары[[#This Row],[SubGroup]],Product_Structure[Subgroup],0)),"")</f>
        <v>W</v>
      </c>
      <c r="D1326" s="113" t="str">
        <f>IFERROR(INDEX(Product_Structure[SuperCategory Name ENG],MATCH(Товары[[#This Row],[SubGroup]],Product_Structure[Subgroup],0)),"")</f>
        <v>Watering (mobile, sprinkler system&amp;MDS, Ponds)</v>
      </c>
      <c r="E13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6" s="113" t="str">
        <f>IFERROR(INDEX(Product_Structure[Product group],MATCH(Товары[[#This Row],[SubGroup]],Product_Structure[Subgroup],0)),"")</f>
        <v>WMT_C</v>
      </c>
      <c r="G1326" s="113" t="str">
        <f>IFERROR(INDEX(Product_Structure[Product group name ENG],MATCH(Товары[[#This Row],[SubGroup]],Product_Structure[Subgroup],0)),"")</f>
        <v>Watering Mobile Trolleys/ hose reels</v>
      </c>
      <c r="H1326" s="113" t="str">
        <f>IFERROR(INDEX(Product_Structure[Generic Name (long)3],MATCH(Товары[[#This Row],[SubGroup]],Product_Structure[Subgroup],0)),"")</f>
        <v>Тележки и катушки для шлангов</v>
      </c>
      <c r="I1326" s="36">
        <v>9015</v>
      </c>
      <c r="J1326" s="36" t="str">
        <f>IFERROR(INDEX(Product_Structure[Generic Name (long)],MATCH(Товары[[#This Row],[SubGroup]],Product_Structure[Subgroup],0)),"")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Row],[SubGroup]],DIY!$B:$C,2,FALSE),0)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3" t="str">
        <f>IFERROR(INDEX(Product_Structure[SuperCategory],MATCH(Товары[[#This Row],[SubGroup]],Product_Structure[Subgroup],0)),"")</f>
        <v>W</v>
      </c>
      <c r="D1327" s="113" t="str">
        <f>IFERROR(INDEX(Product_Structure[SuperCategory Name ENG],MATCH(Товары[[#This Row],[SubGroup]],Product_Structure[Subgroup],0)),"")</f>
        <v>Watering (mobile, sprinkler system&amp;MDS, Ponds)</v>
      </c>
      <c r="E13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7" s="113" t="str">
        <f>IFERROR(INDEX(Product_Structure[Product group],MATCH(Товары[[#This Row],[SubGroup]],Product_Structure[Subgroup],0)),"")</f>
        <v>WMT_C</v>
      </c>
      <c r="G1327" s="113" t="str">
        <f>IFERROR(INDEX(Product_Structure[Product group name ENG],MATCH(Товары[[#This Row],[SubGroup]],Product_Structure[Subgroup],0)),"")</f>
        <v>Watering Mobile Trolleys/ hose reels</v>
      </c>
      <c r="H1327" s="113" t="str">
        <f>IFERROR(INDEX(Product_Structure[Generic Name (long)3],MATCH(Товары[[#This Row],[SubGroup]],Product_Structure[Subgroup],0)),"")</f>
        <v>Тележки и катушки для шлангов</v>
      </c>
      <c r="I1327" s="36">
        <v>9015</v>
      </c>
      <c r="J1327" s="36" t="str">
        <f>IFERROR(INDEX(Product_Structure[Generic Name (long)],MATCH(Товары[[#This Row],[SubGroup]],Product_Structure[Subgroup],0)),"")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Row],[SubGroup]],DIY!$B:$C,2,FALSE),0)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3" t="str">
        <f>IFERROR(INDEX(Product_Structure[SuperCategory],MATCH(Товары[[#This Row],[SubGroup]],Product_Structure[Subgroup],0)),"")</f>
        <v>W</v>
      </c>
      <c r="D1328" s="113" t="str">
        <f>IFERROR(INDEX(Product_Structure[SuperCategory Name ENG],MATCH(Товары[[#This Row],[SubGroup]],Product_Structure[Subgroup],0)),"")</f>
        <v>Watering (mobile, sprinkler system&amp;MDS, Ponds)</v>
      </c>
      <c r="E13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8" s="113" t="str">
        <f>IFERROR(INDEX(Product_Structure[Product group],MATCH(Товары[[#This Row],[SubGroup]],Product_Structure[Subgroup],0)),"")</f>
        <v>WMT_C</v>
      </c>
      <c r="G1328" s="113" t="str">
        <f>IFERROR(INDEX(Product_Structure[Product group name ENG],MATCH(Товары[[#This Row],[SubGroup]],Product_Structure[Subgroup],0)),"")</f>
        <v>Watering Mobile Trolleys/ hose reels</v>
      </c>
      <c r="H1328" s="113" t="str">
        <f>IFERROR(INDEX(Product_Structure[Generic Name (long)3],MATCH(Товары[[#This Row],[SubGroup]],Product_Structure[Subgroup],0)),"")</f>
        <v>Тележки и катушки для шлангов</v>
      </c>
      <c r="I1328" s="36">
        <v>9015</v>
      </c>
      <c r="J1328" s="36" t="str">
        <f>IFERROR(INDEX(Product_Structure[Generic Name (long)],MATCH(Товары[[#This Row],[SubGroup]],Product_Structure[Subgroup],0)),"")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Row],[SubGroup]],DIY!$B:$C,2,FALSE),0)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3" t="str">
        <f>IFERROR(INDEX(Product_Structure[SuperCategory],MATCH(Товары[[#This Row],[SubGroup]],Product_Structure[Subgroup],0)),"")</f>
        <v>W</v>
      </c>
      <c r="D1329" s="113" t="str">
        <f>IFERROR(INDEX(Product_Structure[SuperCategory Name ENG],MATCH(Товары[[#This Row],[SubGroup]],Product_Structure[Subgroup],0)),"")</f>
        <v>Watering (mobile, sprinkler system&amp;MDS, Ponds)</v>
      </c>
      <c r="E13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29" s="113" t="str">
        <f>IFERROR(INDEX(Product_Structure[Product group],MATCH(Товары[[#This Row],[SubGroup]],Product_Structure[Subgroup],0)),"")</f>
        <v>WMT_C</v>
      </c>
      <c r="G1329" s="113" t="str">
        <f>IFERROR(INDEX(Product_Structure[Product group name ENG],MATCH(Товары[[#This Row],[SubGroup]],Product_Structure[Subgroup],0)),"")</f>
        <v>Watering Mobile Trolleys/ hose reels</v>
      </c>
      <c r="H1329" s="113" t="str">
        <f>IFERROR(INDEX(Product_Structure[Generic Name (long)3],MATCH(Товары[[#This Row],[SubGroup]],Product_Structure[Subgroup],0)),"")</f>
        <v>Тележки и катушки для шлангов</v>
      </c>
      <c r="I1329" s="36">
        <v>9015</v>
      </c>
      <c r="J1329" s="36" t="str">
        <f>IFERROR(INDEX(Product_Structure[Generic Name (long)],MATCH(Товары[[#This Row],[SubGroup]],Product_Structure[Subgroup],0)),"")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Row],[SubGroup]],DIY!$B:$C,2,FALSE),0)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3" t="str">
        <f>IFERROR(INDEX(Product_Structure[SuperCategory],MATCH(Товары[[#This Row],[SubGroup]],Product_Structure[Subgroup],0)),"")</f>
        <v>W</v>
      </c>
      <c r="D1330" s="113" t="str">
        <f>IFERROR(INDEX(Product_Structure[SuperCategory Name ENG],MATCH(Товары[[#This Row],[SubGroup]],Product_Structure[Subgroup],0)),"")</f>
        <v>Watering (mobile, sprinkler system&amp;MDS, Ponds)</v>
      </c>
      <c r="E13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0" s="113" t="str">
        <f>IFERROR(INDEX(Product_Structure[Product group],MATCH(Товары[[#This Row],[SubGroup]],Product_Structure[Subgroup],0)),"")</f>
        <v>WMT_C</v>
      </c>
      <c r="G1330" s="113" t="str">
        <f>IFERROR(INDEX(Product_Structure[Product group name ENG],MATCH(Товары[[#This Row],[SubGroup]],Product_Structure[Subgroup],0)),"")</f>
        <v>Watering Mobile Trolleys/ hose reels</v>
      </c>
      <c r="H1330" s="113" t="str">
        <f>IFERROR(INDEX(Product_Structure[Generic Name (long)3],MATCH(Товары[[#This Row],[SubGroup]],Product_Structure[Subgroup],0)),"")</f>
        <v>Тележки и катушки для шлангов</v>
      </c>
      <c r="I1330" s="36">
        <v>9015</v>
      </c>
      <c r="J1330" s="36" t="str">
        <f>IFERROR(INDEX(Product_Structure[Generic Name (long)],MATCH(Товары[[#This Row],[SubGroup]],Product_Structure[Subgroup],0)),"")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Row],[SubGroup]],DIY!$B:$C,2,FALSE),0)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3" t="str">
        <f>IFERROR(INDEX(Product_Structure[SuperCategory],MATCH(Товары[[#This Row],[SubGroup]],Product_Structure[Subgroup],0)),"")</f>
        <v>W</v>
      </c>
      <c r="D1331" s="113" t="str">
        <f>IFERROR(INDEX(Product_Structure[SuperCategory Name ENG],MATCH(Товары[[#This Row],[SubGroup]],Product_Structure[Subgroup],0)),"")</f>
        <v>Watering (mobile, sprinkler system&amp;MDS, Ponds)</v>
      </c>
      <c r="E13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1" s="113" t="str">
        <f>IFERROR(INDEX(Product_Structure[Product group],MATCH(Товары[[#This Row],[SubGroup]],Product_Structure[Subgroup],0)),"")</f>
        <v>WMT_C</v>
      </c>
      <c r="G1331" s="113" t="str">
        <f>IFERROR(INDEX(Product_Structure[Product group name ENG],MATCH(Товары[[#This Row],[SubGroup]],Product_Structure[Subgroup],0)),"")</f>
        <v>Watering Mobile Trolleys/ hose reels</v>
      </c>
      <c r="H1331" s="113" t="str">
        <f>IFERROR(INDEX(Product_Structure[Generic Name (long)3],MATCH(Товары[[#This Row],[SubGroup]],Product_Structure[Subgroup],0)),"")</f>
        <v>Тележки и катушки для шлангов</v>
      </c>
      <c r="I1331" s="36">
        <v>9015</v>
      </c>
      <c r="J1331" s="36" t="str">
        <f>IFERROR(INDEX(Product_Structure[Generic Name (long)],MATCH(Товары[[#This Row],[SubGroup]],Product_Structure[Subgroup],0)),"")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Row],[SubGroup]],DIY!$B:$C,2,FALSE),0)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3" t="str">
        <f>IFERROR(INDEX(Product_Structure[SuperCategory],MATCH(Товары[[#This Row],[SubGroup]],Product_Structure[Subgroup],0)),"")</f>
        <v>W</v>
      </c>
      <c r="D1332" s="113" t="str">
        <f>IFERROR(INDEX(Product_Structure[SuperCategory Name ENG],MATCH(Товары[[#This Row],[SubGroup]],Product_Structure[Subgroup],0)),"")</f>
        <v>Watering (mobile, sprinkler system&amp;MDS, Ponds)</v>
      </c>
      <c r="E13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2" s="113" t="str">
        <f>IFERROR(INDEX(Product_Structure[Product group],MATCH(Товары[[#This Row],[SubGroup]],Product_Structure[Subgroup],0)),"")</f>
        <v>WMT_C</v>
      </c>
      <c r="G1332" s="113" t="str">
        <f>IFERROR(INDEX(Product_Structure[Product group name ENG],MATCH(Товары[[#This Row],[SubGroup]],Product_Structure[Subgroup],0)),"")</f>
        <v>Watering Mobile Trolleys/ hose reels</v>
      </c>
      <c r="H1332" s="113" t="str">
        <f>IFERROR(INDEX(Product_Structure[Generic Name (long)3],MATCH(Товары[[#This Row],[SubGroup]],Product_Structure[Subgroup],0)),"")</f>
        <v>Тележки и катушки для шлангов</v>
      </c>
      <c r="I1332" s="36">
        <v>9015</v>
      </c>
      <c r="J1332" s="36" t="str">
        <f>IFERROR(INDEX(Product_Structure[Generic Name (long)],MATCH(Товары[[#This Row],[SubGroup]],Product_Structure[Subgroup],0)),"")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Row],[SubGroup]],DIY!$B:$C,2,FALSE),0)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3" t="str">
        <f>IFERROR(INDEX(Product_Structure[SuperCategory],MATCH(Товары[[#This Row],[SubGroup]],Product_Structure[Subgroup],0)),"")</f>
        <v>W</v>
      </c>
      <c r="D1333" s="113" t="str">
        <f>IFERROR(INDEX(Product_Structure[SuperCategory Name ENG],MATCH(Товары[[#This Row],[SubGroup]],Product_Structure[Subgroup],0)),"")</f>
        <v>Watering (mobile, sprinkler system&amp;MDS, Ponds)</v>
      </c>
      <c r="E13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3" s="113" t="str">
        <f>IFERROR(INDEX(Product_Structure[Product group],MATCH(Товары[[#This Row],[SubGroup]],Product_Structure[Subgroup],0)),"")</f>
        <v>WMT_C</v>
      </c>
      <c r="G1333" s="113" t="str">
        <f>IFERROR(INDEX(Product_Structure[Product group name ENG],MATCH(Товары[[#This Row],[SubGroup]],Product_Structure[Subgroup],0)),"")</f>
        <v>Watering Mobile Trolleys/ hose reels</v>
      </c>
      <c r="H1333" s="113" t="str">
        <f>IFERROR(INDEX(Product_Structure[Generic Name (long)3],MATCH(Товары[[#This Row],[SubGroup]],Product_Structure[Subgroup],0)),"")</f>
        <v>Тележки и катушки для шлангов</v>
      </c>
      <c r="I1333" s="36">
        <v>9015</v>
      </c>
      <c r="J1333" s="36" t="str">
        <f>IFERROR(INDEX(Product_Structure[Generic Name (long)],MATCH(Товары[[#This Row],[SubGroup]],Product_Structure[Subgroup],0)),"")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Row],[SubGroup]],DIY!$B:$C,2,FALSE),0)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3" t="str">
        <f>IFERROR(INDEX(Product_Structure[SuperCategory],MATCH(Товары[[#This Row],[SubGroup]],Product_Structure[Subgroup],0)),"")</f>
        <v>W</v>
      </c>
      <c r="D1334" s="113" t="str">
        <f>IFERROR(INDEX(Product_Structure[SuperCategory Name ENG],MATCH(Товары[[#This Row],[SubGroup]],Product_Structure[Subgroup],0)),"")</f>
        <v>Watering (mobile, sprinkler system&amp;MDS, Ponds)</v>
      </c>
      <c r="E13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4" s="113" t="str">
        <f>IFERROR(INDEX(Product_Structure[Product group],MATCH(Товары[[#This Row],[SubGroup]],Product_Structure[Subgroup],0)),"")</f>
        <v>WMT_C</v>
      </c>
      <c r="G1334" s="113" t="str">
        <f>IFERROR(INDEX(Product_Structure[Product group name ENG],MATCH(Товары[[#This Row],[SubGroup]],Product_Structure[Subgroup],0)),"")</f>
        <v>Watering Mobile Trolleys/ hose reels</v>
      </c>
      <c r="H1334" s="113" t="str">
        <f>IFERROR(INDEX(Product_Structure[Generic Name (long)3],MATCH(Товары[[#This Row],[SubGroup]],Product_Structure[Subgroup],0)),"")</f>
        <v>Тележки и катушки для шлангов</v>
      </c>
      <c r="I1334" s="36">
        <v>9015</v>
      </c>
      <c r="J1334" s="36" t="str">
        <f>IFERROR(INDEX(Product_Structure[Generic Name (long)],MATCH(Товары[[#This Row],[SubGroup]],Product_Structure[Subgroup],0)),"")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Row],[SubGroup]],DIY!$B:$C,2,FALSE),0)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3" t="str">
        <f>IFERROR(INDEX(Product_Structure[SuperCategory],MATCH(Товары[[#This Row],[SubGroup]],Product_Structure[Subgroup],0)),"")</f>
        <v>W</v>
      </c>
      <c r="D1335" s="113" t="str">
        <f>IFERROR(INDEX(Product_Structure[SuperCategory Name ENG],MATCH(Товары[[#This Row],[SubGroup]],Product_Structure[Subgroup],0)),"")</f>
        <v>Watering (mobile, sprinkler system&amp;MDS, Ponds)</v>
      </c>
      <c r="E13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5" s="113" t="str">
        <f>IFERROR(INDEX(Product_Structure[Product group],MATCH(Товары[[#This Row],[SubGroup]],Product_Structure[Subgroup],0)),"")</f>
        <v>WMT_C</v>
      </c>
      <c r="G1335" s="113" t="str">
        <f>IFERROR(INDEX(Product_Structure[Product group name ENG],MATCH(Товары[[#This Row],[SubGroup]],Product_Structure[Subgroup],0)),"")</f>
        <v>Watering Mobile Trolleys/ hose reels</v>
      </c>
      <c r="H1335" s="113" t="str">
        <f>IFERROR(INDEX(Product_Structure[Generic Name (long)3],MATCH(Товары[[#This Row],[SubGroup]],Product_Structure[Subgroup],0)),"")</f>
        <v>Тележки и катушки для шлангов</v>
      </c>
      <c r="I1335" s="36">
        <v>9015</v>
      </c>
      <c r="J1335" s="36" t="str">
        <f>IFERROR(INDEX(Product_Structure[Generic Name (long)],MATCH(Товары[[#This Row],[SubGroup]],Product_Structure[Subgroup],0)),"")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Row],[SubGroup]],DIY!$B:$C,2,FALSE),0)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3" t="str">
        <f>IFERROR(INDEX(Product_Structure[SuperCategory],MATCH(Товары[[#This Row],[SubGroup]],Product_Structure[Subgroup],0)),"")</f>
        <v>W</v>
      </c>
      <c r="D1336" s="113" t="str">
        <f>IFERROR(INDEX(Product_Structure[SuperCategory Name ENG],MATCH(Товары[[#This Row],[SubGroup]],Product_Structure[Subgroup],0)),"")</f>
        <v>Watering (mobile, sprinkler system&amp;MDS, Ponds)</v>
      </c>
      <c r="E13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6" s="113" t="str">
        <f>IFERROR(INDEX(Product_Structure[Product group],MATCH(Товары[[#This Row],[SubGroup]],Product_Structure[Subgroup],0)),"")</f>
        <v>WMT_C</v>
      </c>
      <c r="G1336" s="113" t="str">
        <f>IFERROR(INDEX(Product_Structure[Product group name ENG],MATCH(Товары[[#This Row],[SubGroup]],Product_Structure[Subgroup],0)),"")</f>
        <v>Watering Mobile Trolleys/ hose reels</v>
      </c>
      <c r="H1336" s="113" t="str">
        <f>IFERROR(INDEX(Product_Structure[Generic Name (long)3],MATCH(Товары[[#This Row],[SubGroup]],Product_Structure[Subgroup],0)),"")</f>
        <v>Тележки и катушки для шлангов</v>
      </c>
      <c r="I1336" s="36">
        <v>9015</v>
      </c>
      <c r="J1336" s="36" t="str">
        <f>IFERROR(INDEX(Product_Structure[Generic Name (long)],MATCH(Товары[[#This Row],[SubGroup]],Product_Structure[Subgroup],0)),"")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Row],[SubGroup]],DIY!$B:$C,2,FALSE),0)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3" t="str">
        <f>IFERROR(INDEX(Product_Structure[SuperCategory],MATCH(Товары[[#This Row],[SubGroup]],Product_Structure[Subgroup],0)),"")</f>
        <v>W</v>
      </c>
      <c r="D1337" s="113" t="str">
        <f>IFERROR(INDEX(Product_Structure[SuperCategory Name ENG],MATCH(Товары[[#This Row],[SubGroup]],Product_Structure[Subgroup],0)),"")</f>
        <v>Watering (mobile, sprinkler system&amp;MDS, Ponds)</v>
      </c>
      <c r="E13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7" s="113" t="str">
        <f>IFERROR(INDEX(Product_Structure[Product group],MATCH(Товары[[#This Row],[SubGroup]],Product_Structure[Subgroup],0)),"")</f>
        <v>WMT_C</v>
      </c>
      <c r="G1337" s="113" t="str">
        <f>IFERROR(INDEX(Product_Structure[Product group name ENG],MATCH(Товары[[#This Row],[SubGroup]],Product_Structure[Subgroup],0)),"")</f>
        <v>Watering Mobile Trolleys/ hose reels</v>
      </c>
      <c r="H1337" s="113" t="str">
        <f>IFERROR(INDEX(Product_Structure[Generic Name (long)3],MATCH(Товары[[#This Row],[SubGroup]],Product_Structure[Subgroup],0)),"")</f>
        <v>Тележки и катушки для шлангов</v>
      </c>
      <c r="I1337" s="36">
        <v>9015</v>
      </c>
      <c r="J1337" s="36" t="str">
        <f>IFERROR(INDEX(Product_Structure[Generic Name (long)],MATCH(Товары[[#This Row],[SubGroup]],Product_Structure[Subgroup],0)),"")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Row],[SubGroup]],DIY!$B:$C,2,FALSE),0)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3" t="str">
        <f>IFERROR(INDEX(Product_Structure[SuperCategory],MATCH(Товары[[#This Row],[SubGroup]],Product_Structure[Subgroup],0)),"")</f>
        <v>W</v>
      </c>
      <c r="D1338" s="113" t="str">
        <f>IFERROR(INDEX(Product_Structure[SuperCategory Name ENG],MATCH(Товары[[#This Row],[SubGroup]],Product_Structure[Subgroup],0)),"")</f>
        <v>Watering (mobile, sprinkler system&amp;MDS, Ponds)</v>
      </c>
      <c r="E13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8" s="113" t="str">
        <f>IFERROR(INDEX(Product_Structure[Product group],MATCH(Товары[[#This Row],[SubGroup]],Product_Structure[Subgroup],0)),"")</f>
        <v>WMT_C</v>
      </c>
      <c r="G1338" s="113" t="str">
        <f>IFERROR(INDEX(Product_Structure[Product group name ENG],MATCH(Товары[[#This Row],[SubGroup]],Product_Structure[Subgroup],0)),"")</f>
        <v>Watering Mobile Trolleys/ hose reels</v>
      </c>
      <c r="H1338" s="113" t="str">
        <f>IFERROR(INDEX(Product_Structure[Generic Name (long)3],MATCH(Товары[[#This Row],[SubGroup]],Product_Structure[Subgroup],0)),"")</f>
        <v>Тележки и катушки для шлангов</v>
      </c>
      <c r="I1338" s="36">
        <v>9015</v>
      </c>
      <c r="J1338" s="36" t="str">
        <f>IFERROR(INDEX(Product_Structure[Generic Name (long)],MATCH(Товары[[#This Row],[SubGroup]],Product_Structure[Subgroup],0)),"")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Row],[SubGroup]],DIY!$B:$C,2,FALSE),0)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3" t="str">
        <f>IFERROR(INDEX(Product_Structure[SuperCategory],MATCH(Товары[[#This Row],[SubGroup]],Product_Structure[Subgroup],0)),"")</f>
        <v>W</v>
      </c>
      <c r="D1339" s="113" t="str">
        <f>IFERROR(INDEX(Product_Structure[SuperCategory Name ENG],MATCH(Товары[[#This Row],[SubGroup]],Product_Structure[Subgroup],0)),"")</f>
        <v>Watering (mobile, sprinkler system&amp;MDS, Ponds)</v>
      </c>
      <c r="E13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39" s="113" t="str">
        <f>IFERROR(INDEX(Product_Structure[Product group],MATCH(Товары[[#This Row],[SubGroup]],Product_Structure[Subgroup],0)),"")</f>
        <v>WMT_C</v>
      </c>
      <c r="G1339" s="113" t="str">
        <f>IFERROR(INDEX(Product_Structure[Product group name ENG],MATCH(Товары[[#This Row],[SubGroup]],Product_Structure[Subgroup],0)),"")</f>
        <v>Watering Mobile Trolleys/ hose reels</v>
      </c>
      <c r="H1339" s="113" t="str">
        <f>IFERROR(INDEX(Product_Structure[Generic Name (long)3],MATCH(Товары[[#This Row],[SubGroup]],Product_Structure[Subgroup],0)),"")</f>
        <v>Тележки и катушки для шлангов</v>
      </c>
      <c r="I1339" s="36">
        <v>9015</v>
      </c>
      <c r="J1339" s="36" t="str">
        <f>IFERROR(INDEX(Product_Structure[Generic Name (long)],MATCH(Товары[[#This Row],[SubGroup]],Product_Structure[Subgroup],0)),"")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Row],[SubGroup]],DIY!$B:$C,2,FALSE),0)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3" t="str">
        <f>IFERROR(INDEX(Product_Structure[SuperCategory],MATCH(Товары[[#This Row],[SubGroup]],Product_Structure[Subgroup],0)),"")</f>
        <v>W</v>
      </c>
      <c r="D1340" s="113" t="str">
        <f>IFERROR(INDEX(Product_Structure[SuperCategory Name ENG],MATCH(Товары[[#This Row],[SubGroup]],Product_Structure[Subgroup],0)),"")</f>
        <v>Watering (mobile, sprinkler system&amp;MDS, Ponds)</v>
      </c>
      <c r="E13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0" s="113" t="str">
        <f>IFERROR(INDEX(Product_Structure[Product group],MATCH(Товары[[#This Row],[SubGroup]],Product_Structure[Subgroup],0)),"")</f>
        <v>WMT_C</v>
      </c>
      <c r="G1340" s="113" t="str">
        <f>IFERROR(INDEX(Product_Structure[Product group name ENG],MATCH(Товары[[#This Row],[SubGroup]],Product_Structure[Subgroup],0)),"")</f>
        <v>Watering Mobile Trolleys/ hose reels</v>
      </c>
      <c r="H1340" s="113" t="str">
        <f>IFERROR(INDEX(Product_Structure[Generic Name (long)3],MATCH(Товары[[#This Row],[SubGroup]],Product_Structure[Subgroup],0)),"")</f>
        <v>Тележки и катушки для шлангов</v>
      </c>
      <c r="I1340" s="36">
        <v>9015</v>
      </c>
      <c r="J1340" s="36" t="str">
        <f>IFERROR(INDEX(Product_Structure[Generic Name (long)],MATCH(Товары[[#This Row],[SubGroup]],Product_Structure[Subgroup],0)),"")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Row],[SubGroup]],DIY!$B:$C,2,FALSE),0)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3" t="str">
        <f>IFERROR(INDEX(Product_Structure[SuperCategory],MATCH(Товары[[#This Row],[SubGroup]],Product_Structure[Subgroup],0)),"")</f>
        <v>W</v>
      </c>
      <c r="D1341" s="113" t="str">
        <f>IFERROR(INDEX(Product_Structure[SuperCategory Name ENG],MATCH(Товары[[#This Row],[SubGroup]],Product_Structure[Subgroup],0)),"")</f>
        <v>Watering (mobile, sprinkler system&amp;MDS, Ponds)</v>
      </c>
      <c r="E13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1" s="113" t="str">
        <f>IFERROR(INDEX(Product_Structure[Product group],MATCH(Товары[[#This Row],[SubGroup]],Product_Structure[Subgroup],0)),"")</f>
        <v>WMT_C</v>
      </c>
      <c r="G1341" s="113" t="str">
        <f>IFERROR(INDEX(Product_Structure[Product group name ENG],MATCH(Товары[[#This Row],[SubGroup]],Product_Structure[Subgroup],0)),"")</f>
        <v>Watering Mobile Trolleys/ hose reels</v>
      </c>
      <c r="H1341" s="113" t="str">
        <f>IFERROR(INDEX(Product_Structure[Generic Name (long)3],MATCH(Товары[[#This Row],[SubGroup]],Product_Structure[Subgroup],0)),"")</f>
        <v>Тележки и катушки для шлангов</v>
      </c>
      <c r="I1341" s="36">
        <v>9015</v>
      </c>
      <c r="J1341" s="36" t="str">
        <f>IFERROR(INDEX(Product_Structure[Generic Name (long)],MATCH(Товары[[#This Row],[SubGroup]],Product_Structure[Subgroup],0)),"")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Row],[SubGroup]],DIY!$B:$C,2,FALSE),0)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3" t="str">
        <f>IFERROR(INDEX(Product_Structure[SuperCategory],MATCH(Товары[[#This Row],[SubGroup]],Product_Structure[Subgroup],0)),"")</f>
        <v>W</v>
      </c>
      <c r="D1342" s="113" t="str">
        <f>IFERROR(INDEX(Product_Structure[SuperCategory Name ENG],MATCH(Товары[[#This Row],[SubGroup]],Product_Structure[Subgroup],0)),"")</f>
        <v>Watering (mobile, sprinkler system&amp;MDS, Ponds)</v>
      </c>
      <c r="E13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2" s="113" t="str">
        <f>IFERROR(INDEX(Product_Structure[Product group],MATCH(Товары[[#This Row],[SubGroup]],Product_Structure[Subgroup],0)),"")</f>
        <v>WMT_C</v>
      </c>
      <c r="G1342" s="113" t="str">
        <f>IFERROR(INDEX(Product_Structure[Product group name ENG],MATCH(Товары[[#This Row],[SubGroup]],Product_Structure[Subgroup],0)),"")</f>
        <v>Watering Mobile Trolleys/ hose reels</v>
      </c>
      <c r="H1342" s="113" t="str">
        <f>IFERROR(INDEX(Product_Structure[Generic Name (long)3],MATCH(Товары[[#This Row],[SubGroup]],Product_Structure[Subgroup],0)),"")</f>
        <v>Тележки и катушки для шлангов</v>
      </c>
      <c r="I1342" s="36">
        <v>9015</v>
      </c>
      <c r="J1342" s="36" t="str">
        <f>IFERROR(INDEX(Product_Structure[Generic Name (long)],MATCH(Товары[[#This Row],[SubGroup]],Product_Structure[Subgroup],0)),"")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Row],[SubGroup]],DIY!$B:$C,2,FALSE),0)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3" t="str">
        <f>IFERROR(INDEX(Product_Structure[SuperCategory],MATCH(Товары[[#This Row],[SubGroup]],Product_Structure[Subgroup],0)),"")</f>
        <v>W</v>
      </c>
      <c r="D1343" s="113" t="str">
        <f>IFERROR(INDEX(Product_Structure[SuperCategory Name ENG],MATCH(Товары[[#This Row],[SubGroup]],Product_Structure[Subgroup],0)),"")</f>
        <v>Watering (mobile, sprinkler system&amp;MDS, Ponds)</v>
      </c>
      <c r="E13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3" s="113" t="str">
        <f>IFERROR(INDEX(Product_Structure[Product group],MATCH(Товары[[#This Row],[SubGroup]],Product_Structure[Subgroup],0)),"")</f>
        <v>WMT_C</v>
      </c>
      <c r="G1343" s="113" t="str">
        <f>IFERROR(INDEX(Product_Structure[Product group name ENG],MATCH(Товары[[#This Row],[SubGroup]],Product_Structure[Subgroup],0)),"")</f>
        <v>Watering Mobile Trolleys/ hose reels</v>
      </c>
      <c r="H1343" s="113" t="str">
        <f>IFERROR(INDEX(Product_Structure[Generic Name (long)3],MATCH(Товары[[#This Row],[SubGroup]],Product_Structure[Subgroup],0)),"")</f>
        <v>Тележки и катушки для шлангов</v>
      </c>
      <c r="I1343" s="36">
        <v>9015</v>
      </c>
      <c r="J1343" s="36" t="str">
        <f>IFERROR(INDEX(Product_Structure[Generic Name (long)],MATCH(Товары[[#This Row],[SubGroup]],Product_Structure[Subgroup],0)),"")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Row],[SubGroup]],DIY!$B:$C,2,FALSE),0)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3" t="str">
        <f>IFERROR(INDEX(Product_Structure[SuperCategory],MATCH(Товары[[#This Row],[SubGroup]],Product_Structure[Subgroup],0)),"")</f>
        <v>W</v>
      </c>
      <c r="D1344" s="113" t="str">
        <f>IFERROR(INDEX(Product_Structure[SuperCategory Name ENG],MATCH(Товары[[#This Row],[SubGroup]],Product_Structure[Subgroup],0)),"")</f>
        <v>Watering (mobile, sprinkler system&amp;MDS, Ponds)</v>
      </c>
      <c r="E13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4" s="113" t="str">
        <f>IFERROR(INDEX(Product_Structure[Product group],MATCH(Товары[[#This Row],[SubGroup]],Product_Structure[Subgroup],0)),"")</f>
        <v>WMT_C</v>
      </c>
      <c r="G1344" s="113" t="str">
        <f>IFERROR(INDEX(Product_Structure[Product group name ENG],MATCH(Товары[[#This Row],[SubGroup]],Product_Structure[Subgroup],0)),"")</f>
        <v>Watering Mobile Trolleys/ hose reels</v>
      </c>
      <c r="H1344" s="113" t="str">
        <f>IFERROR(INDEX(Product_Structure[Generic Name (long)3],MATCH(Товары[[#This Row],[SubGroup]],Product_Structure[Subgroup],0)),"")</f>
        <v>Тележки и катушки для шлангов</v>
      </c>
      <c r="I1344" s="36">
        <v>9015</v>
      </c>
      <c r="J1344" s="36" t="str">
        <f>IFERROR(INDEX(Product_Structure[Generic Name (long)],MATCH(Товары[[#This Row],[SubGroup]],Product_Structure[Subgroup],0)),"")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Row],[SubGroup]],DIY!$B:$C,2,FALSE),0)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3" t="str">
        <f>IFERROR(INDEX(Product_Structure[SuperCategory],MATCH(Товары[[#This Row],[SubGroup]],Product_Structure[Subgroup],0)),"")</f>
        <v>W</v>
      </c>
      <c r="D1345" s="113" t="str">
        <f>IFERROR(INDEX(Product_Structure[SuperCategory Name ENG],MATCH(Товары[[#This Row],[SubGroup]],Product_Structure[Subgroup],0)),"")</f>
        <v>Watering (mobile, sprinkler system&amp;MDS, Ponds)</v>
      </c>
      <c r="E13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5" s="113" t="str">
        <f>IFERROR(INDEX(Product_Structure[Product group],MATCH(Товары[[#This Row],[SubGroup]],Product_Structure[Subgroup],0)),"")</f>
        <v>WMT_C</v>
      </c>
      <c r="G1345" s="113" t="str">
        <f>IFERROR(INDEX(Product_Structure[Product group name ENG],MATCH(Товары[[#This Row],[SubGroup]],Product_Structure[Subgroup],0)),"")</f>
        <v>Watering Mobile Trolleys/ hose reels</v>
      </c>
      <c r="H1345" s="113" t="str">
        <f>IFERROR(INDEX(Product_Structure[Generic Name (long)3],MATCH(Товары[[#This Row],[SubGroup]],Product_Structure[Subgroup],0)),"")</f>
        <v>Тележки и катушки для шлангов</v>
      </c>
      <c r="I1345" s="36">
        <v>9015</v>
      </c>
      <c r="J1345" s="36" t="str">
        <f>IFERROR(INDEX(Product_Structure[Generic Name (long)],MATCH(Товары[[#This Row],[SubGroup]],Product_Structure[Subgroup],0)),"")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Row],[SubGroup]],DIY!$B:$C,2,FALSE),0)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3" t="str">
        <f>IFERROR(INDEX(Product_Structure[SuperCategory],MATCH(Товары[[#This Row],[SubGroup]],Product_Structure[Subgroup],0)),"")</f>
        <v>W</v>
      </c>
      <c r="D1346" s="113" t="str">
        <f>IFERROR(INDEX(Product_Structure[SuperCategory Name ENG],MATCH(Товары[[#This Row],[SubGroup]],Product_Structure[Subgroup],0)),"")</f>
        <v>Watering (mobile, sprinkler system&amp;MDS, Ponds)</v>
      </c>
      <c r="E13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6" s="113" t="str">
        <f>IFERROR(INDEX(Product_Structure[Product group],MATCH(Товары[[#This Row],[SubGroup]],Product_Structure[Subgroup],0)),"")</f>
        <v>WMT_C</v>
      </c>
      <c r="G1346" s="113" t="str">
        <f>IFERROR(INDEX(Product_Structure[Product group name ENG],MATCH(Товары[[#This Row],[SubGroup]],Product_Structure[Subgroup],0)),"")</f>
        <v>Watering Mobile Trolleys/ hose reels</v>
      </c>
      <c r="H1346" s="113" t="str">
        <f>IFERROR(INDEX(Product_Structure[Generic Name (long)3],MATCH(Товары[[#This Row],[SubGroup]],Product_Structure[Subgroup],0)),"")</f>
        <v>Тележки и катушки для шлангов</v>
      </c>
      <c r="I1346" s="36">
        <v>9015</v>
      </c>
      <c r="J1346" s="36" t="str">
        <f>IFERROR(INDEX(Product_Structure[Generic Name (long)],MATCH(Товары[[#This Row],[SubGroup]],Product_Structure[Subgroup],0)),"")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Row],[SubGroup]],DIY!$B:$C,2,FALSE),0)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3" t="str">
        <f>IFERROR(INDEX(Product_Structure[SuperCategory],MATCH(Товары[[#This Row],[SubGroup]],Product_Structure[Subgroup],0)),"")</f>
        <v>W</v>
      </c>
      <c r="D1347" s="113" t="str">
        <f>IFERROR(INDEX(Product_Structure[SuperCategory Name ENG],MATCH(Товары[[#This Row],[SubGroup]],Product_Structure[Subgroup],0)),"")</f>
        <v>Watering (mobile, sprinkler system&amp;MDS, Ponds)</v>
      </c>
      <c r="E13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7" s="113" t="str">
        <f>IFERROR(INDEX(Product_Structure[Product group],MATCH(Товары[[#This Row],[SubGroup]],Product_Structure[Subgroup],0)),"")</f>
        <v>WMT_C</v>
      </c>
      <c r="G1347" s="113" t="str">
        <f>IFERROR(INDEX(Product_Structure[Product group name ENG],MATCH(Товары[[#This Row],[SubGroup]],Product_Structure[Subgroup],0)),"")</f>
        <v>Watering Mobile Trolleys/ hose reels</v>
      </c>
      <c r="H1347" s="113" t="str">
        <f>IFERROR(INDEX(Product_Structure[Generic Name (long)3],MATCH(Товары[[#This Row],[SubGroup]],Product_Structure[Subgroup],0)),"")</f>
        <v>Тележки и катушки для шлангов</v>
      </c>
      <c r="I1347" s="36">
        <v>9015</v>
      </c>
      <c r="J1347" s="36" t="str">
        <f>IFERROR(INDEX(Product_Structure[Generic Name (long)],MATCH(Товары[[#This Row],[SubGroup]],Product_Structure[Subgroup],0)),"")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Row],[SubGroup]],DIY!$B:$C,2,FALSE),0)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3" t="str">
        <f>IFERROR(INDEX(Product_Structure[SuperCategory],MATCH(Товары[[#This Row],[SubGroup]],Product_Structure[Subgroup],0)),"")</f>
        <v>W</v>
      </c>
      <c r="D1348" s="113" t="str">
        <f>IFERROR(INDEX(Product_Structure[SuperCategory Name ENG],MATCH(Товары[[#This Row],[SubGroup]],Product_Structure[Subgroup],0)),"")</f>
        <v>Watering (mobile, sprinkler system&amp;MDS, Ponds)</v>
      </c>
      <c r="E13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8" s="113" t="str">
        <f>IFERROR(INDEX(Product_Structure[Product group],MATCH(Товары[[#This Row],[SubGroup]],Product_Structure[Subgroup],0)),"")</f>
        <v>WMT_C</v>
      </c>
      <c r="G1348" s="113" t="str">
        <f>IFERROR(INDEX(Product_Structure[Product group name ENG],MATCH(Товары[[#This Row],[SubGroup]],Product_Structure[Subgroup],0)),"")</f>
        <v>Watering Mobile Trolleys/ hose reels</v>
      </c>
      <c r="H1348" s="113" t="str">
        <f>IFERROR(INDEX(Product_Structure[Generic Name (long)3],MATCH(Товары[[#This Row],[SubGroup]],Product_Structure[Subgroup],0)),"")</f>
        <v>Тележки и катушки для шлангов</v>
      </c>
      <c r="I1348" s="36">
        <v>9015</v>
      </c>
      <c r="J1348" s="36" t="str">
        <f>IFERROR(INDEX(Product_Structure[Generic Name (long)],MATCH(Товары[[#This Row],[SubGroup]],Product_Structure[Subgroup],0)),"")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Row],[SubGroup]],DIY!$B:$C,2,FALSE),0)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3" t="str">
        <f>IFERROR(INDEX(Product_Structure[SuperCategory],MATCH(Товары[[#This Row],[SubGroup]],Product_Structure[Subgroup],0)),"")</f>
        <v>W</v>
      </c>
      <c r="D1349" s="113" t="str">
        <f>IFERROR(INDEX(Product_Structure[SuperCategory Name ENG],MATCH(Товары[[#This Row],[SubGroup]],Product_Structure[Subgroup],0)),"")</f>
        <v>Watering (mobile, sprinkler system&amp;MDS, Ponds)</v>
      </c>
      <c r="E13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49" s="113" t="str">
        <f>IFERROR(INDEX(Product_Structure[Product group],MATCH(Товары[[#This Row],[SubGroup]],Product_Structure[Subgroup],0)),"")</f>
        <v>WMT_C</v>
      </c>
      <c r="G1349" s="113" t="str">
        <f>IFERROR(INDEX(Product_Structure[Product group name ENG],MATCH(Товары[[#This Row],[SubGroup]],Product_Structure[Subgroup],0)),"")</f>
        <v>Watering Mobile Trolleys/ hose reels</v>
      </c>
      <c r="H1349" s="113" t="str">
        <f>IFERROR(INDEX(Product_Structure[Generic Name (long)3],MATCH(Товары[[#This Row],[SubGroup]],Product_Structure[Subgroup],0)),"")</f>
        <v>Тележки и катушки для шлангов</v>
      </c>
      <c r="I1349" s="36">
        <v>9015</v>
      </c>
      <c r="J1349" s="36" t="str">
        <f>IFERROR(INDEX(Product_Structure[Generic Name (long)],MATCH(Товары[[#This Row],[SubGroup]],Product_Structure[Subgroup],0)),"")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Row],[SubGroup]],DIY!$B:$C,2,FALSE),0)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3" t="str">
        <f>IFERROR(INDEX(Product_Structure[SuperCategory],MATCH(Товары[[#This Row],[SubGroup]],Product_Structure[Subgroup],0)),"")</f>
        <v>W</v>
      </c>
      <c r="D1350" s="113" t="str">
        <f>IFERROR(INDEX(Product_Structure[SuperCategory Name ENG],MATCH(Товары[[#This Row],[SubGroup]],Product_Structure[Subgroup],0)),"")</f>
        <v>Watering (mobile, sprinkler system&amp;MDS, Ponds)</v>
      </c>
      <c r="E13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0" s="113" t="str">
        <f>IFERROR(INDEX(Product_Structure[Product group],MATCH(Товары[[#This Row],[SubGroup]],Product_Structure[Subgroup],0)),"")</f>
        <v>WMT_C</v>
      </c>
      <c r="G1350" s="113" t="str">
        <f>IFERROR(INDEX(Product_Structure[Product group name ENG],MATCH(Товары[[#This Row],[SubGroup]],Product_Structure[Subgroup],0)),"")</f>
        <v>Watering Mobile Trolleys/ hose reels</v>
      </c>
      <c r="H1350" s="113" t="str">
        <f>IFERROR(INDEX(Product_Structure[Generic Name (long)3],MATCH(Товары[[#This Row],[SubGroup]],Product_Structure[Subgroup],0)),"")</f>
        <v>Тележки и катушки для шлангов</v>
      </c>
      <c r="I1350" s="36">
        <v>9015</v>
      </c>
      <c r="J1350" s="36" t="str">
        <f>IFERROR(INDEX(Product_Structure[Generic Name (long)],MATCH(Товары[[#This Row],[SubGroup]],Product_Structure[Subgroup],0)),"")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Row],[SubGroup]],DIY!$B:$C,2,FALSE),0)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3" t="str">
        <f>IFERROR(INDEX(Product_Structure[SuperCategory],MATCH(Товары[[#This Row],[SubGroup]],Product_Structure[Subgroup],0)),"")</f>
        <v>W</v>
      </c>
      <c r="D1351" s="113" t="str">
        <f>IFERROR(INDEX(Product_Structure[SuperCategory Name ENG],MATCH(Товары[[#This Row],[SubGroup]],Product_Structure[Subgroup],0)),"")</f>
        <v>Watering (mobile, sprinkler system&amp;MDS, Ponds)</v>
      </c>
      <c r="E13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1" s="113" t="str">
        <f>IFERROR(INDEX(Product_Structure[Product group],MATCH(Товары[[#This Row],[SubGroup]],Product_Structure[Subgroup],0)),"")</f>
        <v>WMT_C</v>
      </c>
      <c r="G1351" s="113" t="str">
        <f>IFERROR(INDEX(Product_Structure[Product group name ENG],MATCH(Товары[[#This Row],[SubGroup]],Product_Structure[Subgroup],0)),"")</f>
        <v>Watering Mobile Trolleys/ hose reels</v>
      </c>
      <c r="H1351" s="113" t="str">
        <f>IFERROR(INDEX(Product_Structure[Generic Name (long)3],MATCH(Товары[[#This Row],[SubGroup]],Product_Structure[Subgroup],0)),"")</f>
        <v>Тележки и катушки для шлангов</v>
      </c>
      <c r="I1351" s="36">
        <v>9015</v>
      </c>
      <c r="J1351" s="36" t="str">
        <f>IFERROR(INDEX(Product_Structure[Generic Name (long)],MATCH(Товары[[#This Row],[SubGroup]],Product_Structure[Subgroup],0)),"")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Row],[SubGroup]],DIY!$B:$C,2,FALSE),0)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3" t="str">
        <f>IFERROR(INDEX(Product_Structure[SuperCategory],MATCH(Товары[[#This Row],[SubGroup]],Product_Structure[Subgroup],0)),"")</f>
        <v>W</v>
      </c>
      <c r="D1352" s="113" t="str">
        <f>IFERROR(INDEX(Product_Structure[SuperCategory Name ENG],MATCH(Товары[[#This Row],[SubGroup]],Product_Structure[Subgroup],0)),"")</f>
        <v>Watering (mobile, sprinkler system&amp;MDS, Ponds)</v>
      </c>
      <c r="E13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2" s="113" t="str">
        <f>IFERROR(INDEX(Product_Structure[Product group],MATCH(Товары[[#This Row],[SubGroup]],Product_Structure[Subgroup],0)),"")</f>
        <v>WMT_C</v>
      </c>
      <c r="G1352" s="113" t="str">
        <f>IFERROR(INDEX(Product_Structure[Product group name ENG],MATCH(Товары[[#This Row],[SubGroup]],Product_Structure[Subgroup],0)),"")</f>
        <v>Watering Mobile Trolleys/ hose reels</v>
      </c>
      <c r="H1352" s="113" t="str">
        <f>IFERROR(INDEX(Product_Structure[Generic Name (long)3],MATCH(Товары[[#This Row],[SubGroup]],Product_Structure[Subgroup],0)),"")</f>
        <v>Тележки и катушки для шлангов</v>
      </c>
      <c r="I1352" s="36">
        <v>9015</v>
      </c>
      <c r="J1352" s="36" t="str">
        <f>IFERROR(INDEX(Product_Structure[Generic Name (long)],MATCH(Товары[[#This Row],[SubGroup]],Product_Structure[Subgroup],0)),"")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Row],[SubGroup]],DIY!$B:$C,2,FALSE),0)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3" t="str">
        <f>IFERROR(INDEX(Product_Structure[SuperCategory],MATCH(Товары[[#This Row],[SubGroup]],Product_Structure[Subgroup],0)),"")</f>
        <v>W</v>
      </c>
      <c r="D1353" s="113" t="str">
        <f>IFERROR(INDEX(Product_Structure[SuperCategory Name ENG],MATCH(Товары[[#This Row],[SubGroup]],Product_Structure[Subgroup],0)),"")</f>
        <v>Watering (mobile, sprinkler system&amp;MDS, Ponds)</v>
      </c>
      <c r="E13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3" s="113" t="str">
        <f>IFERROR(INDEX(Product_Structure[Product group],MATCH(Товары[[#This Row],[SubGroup]],Product_Structure[Subgroup],0)),"")</f>
        <v>WMT_C</v>
      </c>
      <c r="G1353" s="113" t="str">
        <f>IFERROR(INDEX(Product_Structure[Product group name ENG],MATCH(Товары[[#This Row],[SubGroup]],Product_Structure[Subgroup],0)),"")</f>
        <v>Watering Mobile Trolleys/ hose reels</v>
      </c>
      <c r="H1353" s="113" t="str">
        <f>IFERROR(INDEX(Product_Structure[Generic Name (long)3],MATCH(Товары[[#This Row],[SubGroup]],Product_Structure[Subgroup],0)),"")</f>
        <v>Тележки и катушки для шлангов</v>
      </c>
      <c r="I1353" s="36">
        <v>9015</v>
      </c>
      <c r="J1353" s="36" t="str">
        <f>IFERROR(INDEX(Product_Structure[Generic Name (long)],MATCH(Товары[[#This Row],[SubGroup]],Product_Structure[Subgroup],0)),"")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Row],[SubGroup]],DIY!$B:$C,2,FALSE),0)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3" t="str">
        <f>IFERROR(INDEX(Product_Structure[SuperCategory],MATCH(Товары[[#This Row],[SubGroup]],Product_Structure[Subgroup],0)),"")</f>
        <v>W</v>
      </c>
      <c r="D1354" s="113" t="str">
        <f>IFERROR(INDEX(Product_Structure[SuperCategory Name ENG],MATCH(Товары[[#This Row],[SubGroup]],Product_Structure[Subgroup],0)),"")</f>
        <v>Watering (mobile, sprinkler system&amp;MDS, Ponds)</v>
      </c>
      <c r="E13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4" s="113" t="str">
        <f>IFERROR(INDEX(Product_Structure[Product group],MATCH(Товары[[#This Row],[SubGroup]],Product_Structure[Subgroup],0)),"")</f>
        <v>WMT_C</v>
      </c>
      <c r="G1354" s="113" t="str">
        <f>IFERROR(INDEX(Product_Structure[Product group name ENG],MATCH(Товары[[#This Row],[SubGroup]],Product_Structure[Subgroup],0)),"")</f>
        <v>Watering Mobile Trolleys/ hose reels</v>
      </c>
      <c r="H1354" s="113" t="str">
        <f>IFERROR(INDEX(Product_Structure[Generic Name (long)3],MATCH(Товары[[#This Row],[SubGroup]],Product_Structure[Subgroup],0)),"")</f>
        <v>Тележки и катушки для шлангов</v>
      </c>
      <c r="I1354" s="36">
        <v>9015</v>
      </c>
      <c r="J1354" s="36" t="str">
        <f>IFERROR(INDEX(Product_Structure[Generic Name (long)],MATCH(Товары[[#This Row],[SubGroup]],Product_Structure[Subgroup],0)),"")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Row],[SubGroup]],DIY!$B:$C,2,FALSE),0)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3" t="str">
        <f>IFERROR(INDEX(Product_Structure[SuperCategory],MATCH(Товары[[#This Row],[SubGroup]],Product_Structure[Subgroup],0)),"")</f>
        <v>W</v>
      </c>
      <c r="D1355" s="113" t="str">
        <f>IFERROR(INDEX(Product_Structure[SuperCategory Name ENG],MATCH(Товары[[#This Row],[SubGroup]],Product_Structure[Subgroup],0)),"")</f>
        <v>Watering (mobile, sprinkler system&amp;MDS, Ponds)</v>
      </c>
      <c r="E13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5" s="113" t="str">
        <f>IFERROR(INDEX(Product_Structure[Product group],MATCH(Товары[[#This Row],[SubGroup]],Product_Structure[Subgroup],0)),"")</f>
        <v>WMT_C</v>
      </c>
      <c r="G1355" s="113" t="str">
        <f>IFERROR(INDEX(Product_Structure[Product group name ENG],MATCH(Товары[[#This Row],[SubGroup]],Product_Structure[Subgroup],0)),"")</f>
        <v>Watering Mobile Trolleys/ hose reels</v>
      </c>
      <c r="H1355" s="113" t="str">
        <f>IFERROR(INDEX(Product_Structure[Generic Name (long)3],MATCH(Товары[[#This Row],[SubGroup]],Product_Structure[Subgroup],0)),"")</f>
        <v>Тележки и катушки для шлангов</v>
      </c>
      <c r="I1355" s="36">
        <v>9015</v>
      </c>
      <c r="J1355" s="36" t="str">
        <f>IFERROR(INDEX(Product_Structure[Generic Name (long)],MATCH(Товары[[#This Row],[SubGroup]],Product_Structure[Subgroup],0)),"")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Row],[SubGroup]],DIY!$B:$C,2,FALSE),0)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3" t="str">
        <f>IFERROR(INDEX(Product_Structure[SuperCategory],MATCH(Товары[[#This Row],[SubGroup]],Product_Structure[Subgroup],0)),"")</f>
        <v>W</v>
      </c>
      <c r="D1356" s="113" t="str">
        <f>IFERROR(INDEX(Product_Structure[SuperCategory Name ENG],MATCH(Товары[[#This Row],[SubGroup]],Product_Structure[Subgroup],0)),"")</f>
        <v>Watering (mobile, sprinkler system&amp;MDS, Ponds)</v>
      </c>
      <c r="E13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6" s="113" t="str">
        <f>IFERROR(INDEX(Product_Structure[Product group],MATCH(Товары[[#This Row],[SubGroup]],Product_Structure[Subgroup],0)),"")</f>
        <v>WMT_C</v>
      </c>
      <c r="G1356" s="113" t="str">
        <f>IFERROR(INDEX(Product_Structure[Product group name ENG],MATCH(Товары[[#This Row],[SubGroup]],Product_Structure[Subgroup],0)),"")</f>
        <v>Watering Mobile Trolleys/ hose reels</v>
      </c>
      <c r="H1356" s="113" t="str">
        <f>IFERROR(INDEX(Product_Structure[Generic Name (long)3],MATCH(Товары[[#This Row],[SubGroup]],Product_Structure[Subgroup],0)),"")</f>
        <v>Тележки и катушки для шлангов</v>
      </c>
      <c r="I1356" s="36">
        <v>9015</v>
      </c>
      <c r="J1356" s="36" t="str">
        <f>IFERROR(INDEX(Product_Structure[Generic Name (long)],MATCH(Товары[[#This Row],[SubGroup]],Product_Structure[Subgroup],0)),"")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Row],[SubGroup]],DIY!$B:$C,2,FALSE),0)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3" t="str">
        <f>IFERROR(INDEX(Product_Structure[SuperCategory],MATCH(Товары[[#This Row],[SubGroup]],Product_Structure[Subgroup],0)),"")</f>
        <v>W</v>
      </c>
      <c r="D1357" s="113" t="str">
        <f>IFERROR(INDEX(Product_Structure[SuperCategory Name ENG],MATCH(Товары[[#This Row],[SubGroup]],Product_Structure[Subgroup],0)),"")</f>
        <v>Watering (mobile, sprinkler system&amp;MDS, Ponds)</v>
      </c>
      <c r="E13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7" s="113" t="str">
        <f>IFERROR(INDEX(Product_Structure[Product group],MATCH(Товары[[#This Row],[SubGroup]],Product_Structure[Subgroup],0)),"")</f>
        <v>WMT_C</v>
      </c>
      <c r="G1357" s="113" t="str">
        <f>IFERROR(INDEX(Product_Structure[Product group name ENG],MATCH(Товары[[#This Row],[SubGroup]],Product_Structure[Subgroup],0)),"")</f>
        <v>Watering Mobile Trolleys/ hose reels</v>
      </c>
      <c r="H1357" s="113" t="str">
        <f>IFERROR(INDEX(Product_Structure[Generic Name (long)3],MATCH(Товары[[#This Row],[SubGroup]],Product_Structure[Subgroup],0)),"")</f>
        <v>Тележки и катушки для шлангов</v>
      </c>
      <c r="I1357" s="36">
        <v>9015</v>
      </c>
      <c r="J1357" s="36" t="str">
        <f>IFERROR(INDEX(Product_Structure[Generic Name (long)],MATCH(Товары[[#This Row],[SubGroup]],Product_Structure[Subgroup],0)),"")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Row],[SubGroup]],DIY!$B:$C,2,FALSE),0)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3" t="str">
        <f>IFERROR(INDEX(Product_Structure[SuperCategory],MATCH(Товары[[#This Row],[SubGroup]],Product_Structure[Subgroup],0)),"")</f>
        <v>W</v>
      </c>
      <c r="D1358" s="113" t="str">
        <f>IFERROR(INDEX(Product_Structure[SuperCategory Name ENG],MATCH(Товары[[#This Row],[SubGroup]],Product_Structure[Subgroup],0)),"")</f>
        <v>Watering (mobile, sprinkler system&amp;MDS, Ponds)</v>
      </c>
      <c r="E13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8" s="113" t="str">
        <f>IFERROR(INDEX(Product_Structure[Product group],MATCH(Товары[[#This Row],[SubGroup]],Product_Structure[Subgroup],0)),"")</f>
        <v>WMT_C</v>
      </c>
      <c r="G1358" s="113" t="str">
        <f>IFERROR(INDEX(Product_Structure[Product group name ENG],MATCH(Товары[[#This Row],[SubGroup]],Product_Structure[Subgroup],0)),"")</f>
        <v>Watering Mobile Trolleys/ hose reels</v>
      </c>
      <c r="H1358" s="113" t="str">
        <f>IFERROR(INDEX(Product_Structure[Generic Name (long)3],MATCH(Товары[[#This Row],[SubGroup]],Product_Structure[Subgroup],0)),"")</f>
        <v>Тележки и катушки для шлангов</v>
      </c>
      <c r="I1358" s="36">
        <v>9015</v>
      </c>
      <c r="J1358" s="36" t="str">
        <f>IFERROR(INDEX(Product_Structure[Generic Name (long)],MATCH(Товары[[#This Row],[SubGroup]],Product_Structure[Subgroup],0)),"")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Row],[SubGroup]],DIY!$B:$C,2,FALSE),0)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3" t="str">
        <f>IFERROR(INDEX(Product_Structure[SuperCategory],MATCH(Товары[[#This Row],[SubGroup]],Product_Structure[Subgroup],0)),"")</f>
        <v>W</v>
      </c>
      <c r="D1359" s="113" t="str">
        <f>IFERROR(INDEX(Product_Structure[SuperCategory Name ENG],MATCH(Товары[[#This Row],[SubGroup]],Product_Structure[Subgroup],0)),"")</f>
        <v>Watering (mobile, sprinkler system&amp;MDS, Ponds)</v>
      </c>
      <c r="E13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59" s="113" t="str">
        <f>IFERROR(INDEX(Product_Structure[Product group],MATCH(Товары[[#This Row],[SubGroup]],Product_Structure[Subgroup],0)),"")</f>
        <v>WMT_C</v>
      </c>
      <c r="G1359" s="113" t="str">
        <f>IFERROR(INDEX(Product_Structure[Product group name ENG],MATCH(Товары[[#This Row],[SubGroup]],Product_Structure[Subgroup],0)),"")</f>
        <v>Watering Mobile Trolleys/ hose reels</v>
      </c>
      <c r="H1359" s="113" t="str">
        <f>IFERROR(INDEX(Product_Structure[Generic Name (long)3],MATCH(Товары[[#This Row],[SubGroup]],Product_Structure[Subgroup],0)),"")</f>
        <v>Тележки и катушки для шлангов</v>
      </c>
      <c r="I1359" s="36">
        <v>9015</v>
      </c>
      <c r="J1359" s="36" t="str">
        <f>IFERROR(INDEX(Product_Structure[Generic Name (long)],MATCH(Товары[[#This Row],[SubGroup]],Product_Structure[Subgroup],0)),"")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Row],[SubGroup]],DIY!$B:$C,2,FALSE),0)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3" t="str">
        <f>IFERROR(INDEX(Product_Structure[SuperCategory],MATCH(Товары[[#This Row],[SubGroup]],Product_Structure[Subgroup],0)),"")</f>
        <v>W</v>
      </c>
      <c r="D1360" s="113" t="str">
        <f>IFERROR(INDEX(Product_Structure[SuperCategory Name ENG],MATCH(Товары[[#This Row],[SubGroup]],Product_Structure[Subgroup],0)),"")</f>
        <v>Watering (mobile, sprinkler system&amp;MDS, Ponds)</v>
      </c>
      <c r="E13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0" s="113" t="str">
        <f>IFERROR(INDEX(Product_Structure[Product group],MATCH(Товары[[#This Row],[SubGroup]],Product_Structure[Subgroup],0)),"")</f>
        <v>WMT_C</v>
      </c>
      <c r="G1360" s="113" t="str">
        <f>IFERROR(INDEX(Product_Structure[Product group name ENG],MATCH(Товары[[#This Row],[SubGroup]],Product_Structure[Subgroup],0)),"")</f>
        <v>Watering Mobile Trolleys/ hose reels</v>
      </c>
      <c r="H1360" s="113" t="str">
        <f>IFERROR(INDEX(Product_Structure[Generic Name (long)3],MATCH(Товары[[#This Row],[SubGroup]],Product_Structure[Subgroup],0)),"")</f>
        <v>Тележки и катушки для шлангов</v>
      </c>
      <c r="I1360" s="36">
        <v>9015</v>
      </c>
      <c r="J1360" s="36" t="str">
        <f>IFERROR(INDEX(Product_Structure[Generic Name (long)],MATCH(Товары[[#This Row],[SubGroup]],Product_Structure[Subgroup],0)),"")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Row],[SubGroup]],DIY!$B:$C,2,FALSE),0)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3" t="str">
        <f>IFERROR(INDEX(Product_Structure[SuperCategory],MATCH(Товары[[#This Row],[SubGroup]],Product_Structure[Subgroup],0)),"")</f>
        <v>W</v>
      </c>
      <c r="D1361" s="113" t="str">
        <f>IFERROR(INDEX(Product_Structure[SuperCategory Name ENG],MATCH(Товары[[#This Row],[SubGroup]],Product_Structure[Subgroup],0)),"")</f>
        <v>Watering (mobile, sprinkler system&amp;MDS, Ponds)</v>
      </c>
      <c r="E13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1" s="113" t="str">
        <f>IFERROR(INDEX(Product_Structure[Product group],MATCH(Товары[[#This Row],[SubGroup]],Product_Structure[Subgroup],0)),"")</f>
        <v>WMT_C</v>
      </c>
      <c r="G1361" s="113" t="str">
        <f>IFERROR(INDEX(Product_Structure[Product group name ENG],MATCH(Товары[[#This Row],[SubGroup]],Product_Structure[Subgroup],0)),"")</f>
        <v>Watering Mobile Trolleys/ hose reels</v>
      </c>
      <c r="H1361" s="113" t="str">
        <f>IFERROR(INDEX(Product_Structure[Generic Name (long)3],MATCH(Товары[[#This Row],[SubGroup]],Product_Structure[Subgroup],0)),"")</f>
        <v>Тележки и катушки для шлангов</v>
      </c>
      <c r="I1361" s="36">
        <v>9015</v>
      </c>
      <c r="J1361" s="36" t="str">
        <f>IFERROR(INDEX(Product_Structure[Generic Name (long)],MATCH(Товары[[#This Row],[SubGroup]],Product_Structure[Subgroup],0)),"")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Row],[SubGroup]],DIY!$B:$C,2,FALSE),0)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3" t="str">
        <f>IFERROR(INDEX(Product_Structure[SuperCategory],MATCH(Товары[[#This Row],[SubGroup]],Product_Structure[Subgroup],0)),"")</f>
        <v>W</v>
      </c>
      <c r="D1362" s="113" t="str">
        <f>IFERROR(INDEX(Product_Structure[SuperCategory Name ENG],MATCH(Товары[[#This Row],[SubGroup]],Product_Structure[Subgroup],0)),"")</f>
        <v>Watering (mobile, sprinkler system&amp;MDS, Ponds)</v>
      </c>
      <c r="E13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2" s="113" t="str">
        <f>IFERROR(INDEX(Product_Structure[Product group],MATCH(Товары[[#This Row],[SubGroup]],Product_Structure[Subgroup],0)),"")</f>
        <v>WMT_C</v>
      </c>
      <c r="G1362" s="113" t="str">
        <f>IFERROR(INDEX(Product_Structure[Product group name ENG],MATCH(Товары[[#This Row],[SubGroup]],Product_Structure[Subgroup],0)),"")</f>
        <v>Watering Mobile Trolleys/ hose reels</v>
      </c>
      <c r="H1362" s="113" t="str">
        <f>IFERROR(INDEX(Product_Structure[Generic Name (long)3],MATCH(Товары[[#This Row],[SubGroup]],Product_Structure[Subgroup],0)),"")</f>
        <v>Тележки и катушки для шлангов</v>
      </c>
      <c r="I1362" s="36">
        <v>9015</v>
      </c>
      <c r="J1362" s="36" t="str">
        <f>IFERROR(INDEX(Product_Structure[Generic Name (long)],MATCH(Товары[[#This Row],[SubGroup]],Product_Structure[Subgroup],0)),"")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Row],[SubGroup]],DIY!$B:$C,2,FALSE),0)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3" t="str">
        <f>IFERROR(INDEX(Product_Structure[SuperCategory],MATCH(Товары[[#This Row],[SubGroup]],Product_Structure[Subgroup],0)),"")</f>
        <v>W</v>
      </c>
      <c r="D1363" s="113" t="str">
        <f>IFERROR(INDEX(Product_Structure[SuperCategory Name ENG],MATCH(Товары[[#This Row],[SubGroup]],Product_Structure[Subgroup],0)),"")</f>
        <v>Watering (mobile, sprinkler system&amp;MDS, Ponds)</v>
      </c>
      <c r="E13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3" s="113" t="str">
        <f>IFERROR(INDEX(Product_Structure[Product group],MATCH(Товары[[#This Row],[SubGroup]],Product_Structure[Subgroup],0)),"")</f>
        <v>WMT_C</v>
      </c>
      <c r="G1363" s="113" t="str">
        <f>IFERROR(INDEX(Product_Structure[Product group name ENG],MATCH(Товары[[#This Row],[SubGroup]],Product_Structure[Subgroup],0)),"")</f>
        <v>Watering Mobile Trolleys/ hose reels</v>
      </c>
      <c r="H1363" s="113" t="str">
        <f>IFERROR(INDEX(Product_Structure[Generic Name (long)3],MATCH(Товары[[#This Row],[SubGroup]],Product_Structure[Subgroup],0)),"")</f>
        <v>Тележки и катушки для шлангов</v>
      </c>
      <c r="I1363" s="36">
        <v>9015</v>
      </c>
      <c r="J1363" s="36" t="str">
        <f>IFERROR(INDEX(Product_Structure[Generic Name (long)],MATCH(Товары[[#This Row],[SubGroup]],Product_Structure[Subgroup],0)),"")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Row],[SubGroup]],DIY!$B:$C,2,FALSE),0)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3" t="str">
        <f>IFERROR(INDEX(Product_Structure[SuperCategory],MATCH(Товары[[#This Row],[SubGroup]],Product_Structure[Subgroup],0)),"")</f>
        <v>W</v>
      </c>
      <c r="D1364" s="113" t="str">
        <f>IFERROR(INDEX(Product_Structure[SuperCategory Name ENG],MATCH(Товары[[#This Row],[SubGroup]],Product_Structure[Subgroup],0)),"")</f>
        <v>Watering (mobile, sprinkler system&amp;MDS, Ponds)</v>
      </c>
      <c r="E13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4" s="113" t="str">
        <f>IFERROR(INDEX(Product_Structure[Product group],MATCH(Товары[[#This Row],[SubGroup]],Product_Structure[Subgroup],0)),"")</f>
        <v>WMT_C</v>
      </c>
      <c r="G1364" s="113" t="str">
        <f>IFERROR(INDEX(Product_Structure[Product group name ENG],MATCH(Товары[[#This Row],[SubGroup]],Product_Structure[Subgroup],0)),"")</f>
        <v>Watering Mobile Trolleys/ hose reels</v>
      </c>
      <c r="H1364" s="113" t="str">
        <f>IFERROR(INDEX(Product_Structure[Generic Name (long)3],MATCH(Товары[[#This Row],[SubGroup]],Product_Structure[Subgroup],0)),"")</f>
        <v>Тележки и катушки для шлангов</v>
      </c>
      <c r="I1364" s="36">
        <v>9015</v>
      </c>
      <c r="J1364" s="36" t="str">
        <f>IFERROR(INDEX(Product_Structure[Generic Name (long)],MATCH(Товары[[#This Row],[SubGroup]],Product_Structure[Subgroup],0)),"")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Row],[SubGroup]],DIY!$B:$C,2,FALSE),0)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3" t="str">
        <f>IFERROR(INDEX(Product_Structure[SuperCategory],MATCH(Товары[[#This Row],[SubGroup]],Product_Structure[Subgroup],0)),"")</f>
        <v>W</v>
      </c>
      <c r="D1365" s="113" t="str">
        <f>IFERROR(INDEX(Product_Structure[SuperCategory Name ENG],MATCH(Товары[[#This Row],[SubGroup]],Product_Structure[Subgroup],0)),"")</f>
        <v>Watering (mobile, sprinkler system&amp;MDS, Ponds)</v>
      </c>
      <c r="E13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5" s="113" t="str">
        <f>IFERROR(INDEX(Product_Structure[Product group],MATCH(Товары[[#This Row],[SubGroup]],Product_Structure[Subgroup],0)),"")</f>
        <v>WMT_C</v>
      </c>
      <c r="G1365" s="113" t="str">
        <f>IFERROR(INDEX(Product_Structure[Product group name ENG],MATCH(Товары[[#This Row],[SubGroup]],Product_Structure[Subgroup],0)),"")</f>
        <v>Watering Mobile Trolleys/ hose reels</v>
      </c>
      <c r="H1365" s="113" t="str">
        <f>IFERROR(INDEX(Product_Structure[Generic Name (long)3],MATCH(Товары[[#This Row],[SubGroup]],Product_Structure[Subgroup],0)),"")</f>
        <v>Тележки и катушки для шлангов</v>
      </c>
      <c r="I1365" s="36">
        <v>9015</v>
      </c>
      <c r="J1365" s="36" t="str">
        <f>IFERROR(INDEX(Product_Structure[Generic Name (long)],MATCH(Товары[[#This Row],[SubGroup]],Product_Structure[Subgroup],0)),"")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Row],[SubGroup]],DIY!$B:$C,2,FALSE),0)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3" t="str">
        <f>IFERROR(INDEX(Product_Structure[SuperCategory],MATCH(Товары[[#This Row],[SubGroup]],Product_Structure[Subgroup],0)),"")</f>
        <v>W</v>
      </c>
      <c r="D1366" s="113" t="str">
        <f>IFERROR(INDEX(Product_Structure[SuperCategory Name ENG],MATCH(Товары[[#This Row],[SubGroup]],Product_Structure[Subgroup],0)),"")</f>
        <v>Watering (mobile, sprinkler system&amp;MDS, Ponds)</v>
      </c>
      <c r="E13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6" s="113" t="str">
        <f>IFERROR(INDEX(Product_Structure[Product group],MATCH(Товары[[#This Row],[SubGroup]],Product_Structure[Subgroup],0)),"")</f>
        <v>WMT_C</v>
      </c>
      <c r="G1366" s="113" t="str">
        <f>IFERROR(INDEX(Product_Structure[Product group name ENG],MATCH(Товары[[#This Row],[SubGroup]],Product_Structure[Subgroup],0)),"")</f>
        <v>Watering Mobile Trolleys/ hose reels</v>
      </c>
      <c r="H1366" s="113" t="str">
        <f>IFERROR(INDEX(Product_Structure[Generic Name (long)3],MATCH(Товары[[#This Row],[SubGroup]],Product_Structure[Subgroup],0)),"")</f>
        <v>Тележки и катушки для шлангов</v>
      </c>
      <c r="I1366" s="36">
        <v>9015</v>
      </c>
      <c r="J1366" s="36" t="str">
        <f>IFERROR(INDEX(Product_Structure[Generic Name (long)],MATCH(Товары[[#This Row],[SubGroup]],Product_Structure[Subgroup],0)),"")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Row],[SubGroup]],DIY!$B:$C,2,FALSE),0)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3" t="str">
        <f>IFERROR(INDEX(Product_Structure[SuperCategory],MATCH(Товары[[#This Row],[SubGroup]],Product_Structure[Subgroup],0)),"")</f>
        <v>W</v>
      </c>
      <c r="D1367" s="113" t="str">
        <f>IFERROR(INDEX(Product_Structure[SuperCategory Name ENG],MATCH(Товары[[#This Row],[SubGroup]],Product_Structure[Subgroup],0)),"")</f>
        <v>Watering (mobile, sprinkler system&amp;MDS, Ponds)</v>
      </c>
      <c r="E13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7" s="113" t="str">
        <f>IFERROR(INDEX(Product_Structure[Product group],MATCH(Товары[[#This Row],[SubGroup]],Product_Structure[Subgroup],0)),"")</f>
        <v>WMT_C</v>
      </c>
      <c r="G1367" s="113" t="str">
        <f>IFERROR(INDEX(Product_Structure[Product group name ENG],MATCH(Товары[[#This Row],[SubGroup]],Product_Structure[Subgroup],0)),"")</f>
        <v>Watering Mobile Trolleys/ hose reels</v>
      </c>
      <c r="H1367" s="113" t="str">
        <f>IFERROR(INDEX(Product_Structure[Generic Name (long)3],MATCH(Товары[[#This Row],[SubGroup]],Product_Structure[Subgroup],0)),"")</f>
        <v>Тележки и катушки для шлангов</v>
      </c>
      <c r="I1367" s="36">
        <v>9015</v>
      </c>
      <c r="J1367" s="36" t="str">
        <f>IFERROR(INDEX(Product_Structure[Generic Name (long)],MATCH(Товары[[#This Row],[SubGroup]],Product_Structure[Subgroup],0)),"")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Row],[SubGroup]],DIY!$B:$C,2,FALSE),0)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3" t="str">
        <f>IFERROR(INDEX(Product_Structure[SuperCategory],MATCH(Товары[[#This Row],[SubGroup]],Product_Structure[Subgroup],0)),"")</f>
        <v>W</v>
      </c>
      <c r="D1368" s="113" t="str">
        <f>IFERROR(INDEX(Product_Structure[SuperCategory Name ENG],MATCH(Товары[[#This Row],[SubGroup]],Product_Structure[Subgroup],0)),"")</f>
        <v>Watering (mobile, sprinkler system&amp;MDS, Ponds)</v>
      </c>
      <c r="E13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8" s="113" t="str">
        <f>IFERROR(INDEX(Product_Structure[Product group],MATCH(Товары[[#This Row],[SubGroup]],Product_Structure[Subgroup],0)),"")</f>
        <v>WPO_C</v>
      </c>
      <c r="G1368" s="113" t="str">
        <f>IFERROR(INDEX(Product_Structure[Product group name ENG],MATCH(Товары[[#This Row],[SubGroup]],Product_Structure[Subgroup],0)),"")</f>
        <v>Watering, Pond</v>
      </c>
      <c r="H1368" s="113" t="str">
        <f>IFERROR(INDEX(Product_Structure[Generic Name (long)3],MATCH(Товары[[#This Row],[SubGroup]],Product_Structure[Subgroup],0)),"")</f>
        <v>Оборудования для прудов</v>
      </c>
      <c r="I1368" s="36">
        <v>9143</v>
      </c>
      <c r="J1368" s="36" t="str">
        <f>IFERROR(INDEX(Product_Structure[Generic Name (long)],MATCH(Товары[[#This Row],[SubGroup]],Product_Structure[Subgroup],0)),"")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Row],[SubGroup]],DIY!$B:$C,2,FALSE),0)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3" t="str">
        <f>IFERROR(INDEX(Product_Structure[SuperCategory],MATCH(Товары[[#This Row],[SubGroup]],Product_Structure[Subgroup],0)),"")</f>
        <v>W</v>
      </c>
      <c r="D1369" s="113" t="str">
        <f>IFERROR(INDEX(Product_Structure[SuperCategory Name ENG],MATCH(Товары[[#This Row],[SubGroup]],Product_Structure[Subgroup],0)),"")</f>
        <v>Watering (mobile, sprinkler system&amp;MDS, Ponds)</v>
      </c>
      <c r="E13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69" s="113" t="str">
        <f>IFERROR(INDEX(Product_Structure[Product group],MATCH(Товары[[#This Row],[SubGroup]],Product_Structure[Subgroup],0)),"")</f>
        <v>WPO_C</v>
      </c>
      <c r="G1369" s="113" t="str">
        <f>IFERROR(INDEX(Product_Structure[Product group name ENG],MATCH(Товары[[#This Row],[SubGroup]],Product_Structure[Subgroup],0)),"")</f>
        <v>Watering, Pond</v>
      </c>
      <c r="H1369" s="113" t="str">
        <f>IFERROR(INDEX(Product_Structure[Generic Name (long)3],MATCH(Товары[[#This Row],[SubGroup]],Product_Structure[Subgroup],0)),"")</f>
        <v>Оборудования для прудов</v>
      </c>
      <c r="I1369" s="36">
        <v>9143</v>
      </c>
      <c r="J1369" s="36" t="str">
        <f>IFERROR(INDEX(Product_Structure[Generic Name (long)],MATCH(Товары[[#This Row],[SubGroup]],Product_Structure[Subgroup],0)),"")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Row],[SubGroup]],DIY!$B:$C,2,FALSE),0)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3" t="str">
        <f>IFERROR(INDEX(Product_Structure[SuperCategory],MATCH(Товары[[#This Row],[SubGroup]],Product_Structure[Subgroup],0)),"")</f>
        <v>W</v>
      </c>
      <c r="D1370" s="113" t="str">
        <f>IFERROR(INDEX(Product_Structure[SuperCategory Name ENG],MATCH(Товары[[#This Row],[SubGroup]],Product_Structure[Subgroup],0)),"")</f>
        <v>Watering (mobile, sprinkler system&amp;MDS, Ponds)</v>
      </c>
      <c r="E13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70" s="113" t="str">
        <f>IFERROR(INDEX(Product_Structure[Product group],MATCH(Товары[[#This Row],[SubGroup]],Product_Structure[Subgroup],0)),"")</f>
        <v>WPO_C</v>
      </c>
      <c r="G1370" s="113" t="str">
        <f>IFERROR(INDEX(Product_Structure[Product group name ENG],MATCH(Товары[[#This Row],[SubGroup]],Product_Structure[Subgroup],0)),"")</f>
        <v>Watering, Pond</v>
      </c>
      <c r="H1370" s="113" t="str">
        <f>IFERROR(INDEX(Product_Structure[Generic Name (long)3],MATCH(Товары[[#This Row],[SubGroup]],Product_Structure[Subgroup],0)),"")</f>
        <v>Оборудования для прудов</v>
      </c>
      <c r="I1370" s="36">
        <v>9143</v>
      </c>
      <c r="J1370" s="36" t="str">
        <f>IFERROR(INDEX(Product_Structure[Generic Name (long)],MATCH(Товары[[#This Row],[SubGroup]],Product_Structure[Subgroup],0)),"")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Row],[SubGroup]],DIY!$B:$C,2,FALSE),0)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3" t="str">
        <f>IFERROR(INDEX(Product_Structure[SuperCategory],MATCH(Товары[[#This Row],[SubGroup]],Product_Structure[Subgroup],0)),"")</f>
        <v>W</v>
      </c>
      <c r="D1371" s="113" t="str">
        <f>IFERROR(INDEX(Product_Structure[SuperCategory Name ENG],MATCH(Товары[[#This Row],[SubGroup]],Product_Structure[Subgroup],0)),"")</f>
        <v>Watering (mobile, sprinkler system&amp;MDS, Ponds)</v>
      </c>
      <c r="E13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371" s="113" t="str">
        <f>IFERROR(INDEX(Product_Structure[Product group],MATCH(Товары[[#This Row],[SubGroup]],Product_Structure[Subgroup],0)),"")</f>
        <v>WPO_C</v>
      </c>
      <c r="G1371" s="113" t="str">
        <f>IFERROR(INDEX(Product_Structure[Product group name ENG],MATCH(Товары[[#This Row],[SubGroup]],Product_Structure[Subgroup],0)),"")</f>
        <v>Watering, Pond</v>
      </c>
      <c r="H1371" s="113" t="str">
        <f>IFERROR(INDEX(Product_Structure[Generic Name (long)3],MATCH(Товары[[#This Row],[SubGroup]],Product_Structure[Subgroup],0)),"")</f>
        <v>Оборудования для прудов</v>
      </c>
      <c r="I1371" s="36">
        <v>9143</v>
      </c>
      <c r="J1371" s="36" t="str">
        <f>IFERROR(INDEX(Product_Structure[Generic Name (long)],MATCH(Товары[[#This Row],[SubGroup]],Product_Structure[Subgroup],0)),"")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Row],[SubGroup]],DIY!$B:$C,2,FALSE),0)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3" t="str">
        <f>IFERROR(INDEX(Product_Structure[SuperCategory],MATCH(Товары[[#This Row],[SubGroup]],Product_Structure[Subgroup],0)),"")</f>
        <v>O</v>
      </c>
      <c r="D1372" s="113" t="str">
        <f>IFERROR(INDEX(Product_Structure[SuperCategory Name ENG],MATCH(Товары[[#This Row],[SubGroup]],Product_Structure[Subgroup],0)),"")</f>
        <v>Pumps (electric, battery) + spare parts</v>
      </c>
      <c r="E137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2" s="113" t="str">
        <f>IFERROR(INDEX(Product_Structure[Product group],MATCH(Товары[[#This Row],[SubGroup]],Product_Structure[Subgroup],0)),"")</f>
        <v>WPU_C</v>
      </c>
      <c r="G1372" s="113" t="str">
        <f>IFERROR(INDEX(Product_Structure[Product group name ENG],MATCH(Товары[[#This Row],[SubGroup]],Product_Structure[Subgroup],0)),"")</f>
        <v>Watering, Pumps</v>
      </c>
      <c r="H1372" s="113" t="str">
        <f>IFERROR(INDEX(Product_Structure[Generic Name (long)3],MATCH(Товары[[#This Row],[SubGroup]],Product_Structure[Subgroup],0)),"")</f>
        <v>Насосы напорные автоматические</v>
      </c>
      <c r="I1372" s="36">
        <v>9112</v>
      </c>
      <c r="J1372" s="36" t="str">
        <f>IFERROR(INDEX(Product_Structure[Generic Name (long)],MATCH(Товары[[#This Row],[SubGroup]],Product_Structure[Subgroup],0)),"")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Row],[SubGroup]],DIY!$B:$C,2,FALSE),0)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3" t="str">
        <f>IFERROR(INDEX(Product_Structure[SuperCategory],MATCH(Товары[[#This Row],[SubGroup]],Product_Structure[Subgroup],0)),"")</f>
        <v>O</v>
      </c>
      <c r="D1373" s="113" t="str">
        <f>IFERROR(INDEX(Product_Structure[SuperCategory Name ENG],MATCH(Товары[[#This Row],[SubGroup]],Product_Structure[Subgroup],0)),"")</f>
        <v>Pumps (electric, battery) + spare parts</v>
      </c>
      <c r="E137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3" s="113" t="str">
        <f>IFERROR(INDEX(Product_Structure[Product group],MATCH(Товары[[#This Row],[SubGroup]],Product_Structure[Subgroup],0)),"")</f>
        <v>WPU_C</v>
      </c>
      <c r="G1373" s="113" t="str">
        <f>IFERROR(INDEX(Product_Structure[Product group name ENG],MATCH(Товары[[#This Row],[SubGroup]],Product_Structure[Subgroup],0)),"")</f>
        <v>Watering, Pumps</v>
      </c>
      <c r="H1373" s="113" t="str">
        <f>IFERROR(INDEX(Product_Structure[Generic Name (long)3],MATCH(Товары[[#This Row],[SubGroup]],Product_Structure[Subgroup],0)),"")</f>
        <v>Насосы напорные автоматические</v>
      </c>
      <c r="I1373" s="36">
        <v>9112</v>
      </c>
      <c r="J1373" s="36" t="str">
        <f>IFERROR(INDEX(Product_Structure[Generic Name (long)],MATCH(Товары[[#This Row],[SubGroup]],Product_Structure[Subgroup],0)),"")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Row],[SubGroup]],DIY!$B:$C,2,FALSE),0)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3" t="str">
        <f>IFERROR(INDEX(Product_Structure[SuperCategory],MATCH(Товары[[#This Row],[SubGroup]],Product_Structure[Subgroup],0)),"")</f>
        <v>O</v>
      </c>
      <c r="D1374" s="113" t="str">
        <f>IFERROR(INDEX(Product_Structure[SuperCategory Name ENG],MATCH(Товары[[#This Row],[SubGroup]],Product_Structure[Subgroup],0)),"")</f>
        <v>Pumps (electric, battery) + spare parts</v>
      </c>
      <c r="E137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4" s="113" t="str">
        <f>IFERROR(INDEX(Product_Structure[Product group],MATCH(Товары[[#This Row],[SubGroup]],Product_Structure[Subgroup],0)),"")</f>
        <v>WPU_C</v>
      </c>
      <c r="G1374" s="113" t="str">
        <f>IFERROR(INDEX(Product_Structure[Product group name ENG],MATCH(Товары[[#This Row],[SubGroup]],Product_Structure[Subgroup],0)),"")</f>
        <v>Watering, Pumps</v>
      </c>
      <c r="H1374" s="113" t="str">
        <f>IFERROR(INDEX(Product_Structure[Generic Name (long)3],MATCH(Товары[[#This Row],[SubGroup]],Product_Structure[Subgroup],0)),"")</f>
        <v>Насосы садовые электрические</v>
      </c>
      <c r="I1374" s="36">
        <v>9111</v>
      </c>
      <c r="J1374" s="36" t="str">
        <f>IFERROR(INDEX(Product_Structure[Generic Name (long)],MATCH(Товары[[#This Row],[SubGroup]],Product_Structure[Subgroup],0)),"")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Row],[SubGroup]],DIY!$B:$C,2,FALSE),0)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3" t="str">
        <f>IFERROR(INDEX(Product_Structure[SuperCategory],MATCH(Товары[[#This Row],[SubGroup]],Product_Structure[Subgroup],0)),"")</f>
        <v>O</v>
      </c>
      <c r="D1375" s="113" t="str">
        <f>IFERROR(INDEX(Product_Structure[SuperCategory Name ENG],MATCH(Товары[[#This Row],[SubGroup]],Product_Structure[Subgroup],0)),"")</f>
        <v>Pumps (electric, battery) + spare parts</v>
      </c>
      <c r="E137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5" s="113" t="str">
        <f>IFERROR(INDEX(Product_Structure[Product group],MATCH(Товары[[#This Row],[SubGroup]],Product_Structure[Subgroup],0)),"")</f>
        <v>WPU_C</v>
      </c>
      <c r="G1375" s="113" t="str">
        <f>IFERROR(INDEX(Product_Structure[Product group name ENG],MATCH(Товары[[#This Row],[SubGroup]],Product_Structure[Subgroup],0)),"")</f>
        <v>Watering, Pumps</v>
      </c>
      <c r="H1375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IFERROR(INDEX(Product_Structure[Generic Name (long)],MATCH(Товары[[#This Row],[SubGroup]],Product_Structure[Subgroup],0)),"")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Row],[SubGroup]],DIY!$B:$C,2,FALSE),0)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3" t="str">
        <f>IFERROR(INDEX(Product_Structure[SuperCategory],MATCH(Товары[[#This Row],[SubGroup]],Product_Structure[Subgroup],0)),"")</f>
        <v>O</v>
      </c>
      <c r="D1376" s="113" t="str">
        <f>IFERROR(INDEX(Product_Structure[SuperCategory Name ENG],MATCH(Товары[[#This Row],[SubGroup]],Product_Structure[Subgroup],0)),"")</f>
        <v>Pumps (electric, battery) + spare parts</v>
      </c>
      <c r="E137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6" s="113" t="str">
        <f>IFERROR(INDEX(Product_Structure[Product group],MATCH(Товары[[#This Row],[SubGroup]],Product_Structure[Subgroup],0)),"")</f>
        <v>WPU_C</v>
      </c>
      <c r="G1376" s="113" t="str">
        <f>IFERROR(INDEX(Product_Structure[Product group name ENG],MATCH(Товары[[#This Row],[SubGroup]],Product_Structure[Subgroup],0)),"")</f>
        <v>Watering, Pumps</v>
      </c>
      <c r="H1376" s="113" t="str">
        <f>IFERROR(INDEX(Product_Structure[Generic Name (long)3],MATCH(Товары[[#This Row],[SubGroup]],Product_Structure[Subgroup],0)),"")</f>
        <v>Шланги всасывающие</v>
      </c>
      <c r="I1376" s="36">
        <v>9116</v>
      </c>
      <c r="J1376" s="36" t="str">
        <f>IFERROR(INDEX(Product_Structure[Generic Name (long)],MATCH(Товары[[#This Row],[SubGroup]],Product_Structure[Subgroup],0)),"")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Row],[SubGroup]],DIY!$B:$C,2,FALSE),0)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3" t="str">
        <f>IFERROR(INDEX(Product_Structure[SuperCategory],MATCH(Товары[[#This Row],[SubGroup]],Product_Structure[Subgroup],0)),"")</f>
        <v>O</v>
      </c>
      <c r="D1377" s="113" t="str">
        <f>IFERROR(INDEX(Product_Structure[SuperCategory Name ENG],MATCH(Товары[[#This Row],[SubGroup]],Product_Structure[Subgroup],0)),"")</f>
        <v>Pumps (electric, battery) + spare parts</v>
      </c>
      <c r="E137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7" s="113" t="str">
        <f>IFERROR(INDEX(Product_Structure[Product group],MATCH(Товары[[#This Row],[SubGroup]],Product_Structure[Subgroup],0)),"")</f>
        <v>WPU_C</v>
      </c>
      <c r="G1377" s="113" t="str">
        <f>IFERROR(INDEX(Product_Structure[Product group name ENG],MATCH(Товары[[#This Row],[SubGroup]],Product_Structure[Subgroup],0)),"")</f>
        <v>Watering, Pumps</v>
      </c>
      <c r="H1377" s="113" t="str">
        <f>IFERROR(INDEX(Product_Structure[Generic Name (long)3],MATCH(Товары[[#This Row],[SubGroup]],Product_Structure[Subgroup],0)),"")</f>
        <v>Шланги всасывающие</v>
      </c>
      <c r="I1377" s="36">
        <v>9116</v>
      </c>
      <c r="J1377" s="36" t="str">
        <f>IFERROR(INDEX(Product_Structure[Generic Name (long)],MATCH(Товары[[#This Row],[SubGroup]],Product_Structure[Subgroup],0)),"")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Row],[SubGroup]],DIY!$B:$C,2,FALSE),0)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3" t="str">
        <f>IFERROR(INDEX(Product_Structure[SuperCategory],MATCH(Товары[[#This Row],[SubGroup]],Product_Structure[Subgroup],0)),"")</f>
        <v>O</v>
      </c>
      <c r="D1378" s="113" t="str">
        <f>IFERROR(INDEX(Product_Structure[SuperCategory Name ENG],MATCH(Товары[[#This Row],[SubGroup]],Product_Structure[Subgroup],0)),"")</f>
        <v>Pumps (electric, battery) + spare parts</v>
      </c>
      <c r="E137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8" s="113" t="str">
        <f>IFERROR(INDEX(Product_Structure[Product group],MATCH(Товары[[#This Row],[SubGroup]],Product_Structure[Subgroup],0)),"")</f>
        <v>WPU_C</v>
      </c>
      <c r="G1378" s="113" t="str">
        <f>IFERROR(INDEX(Product_Structure[Product group name ENG],MATCH(Товары[[#This Row],[SubGroup]],Product_Structure[Subgroup],0)),"")</f>
        <v>Watering, Pumps</v>
      </c>
      <c r="H1378" s="113" t="str">
        <f>IFERROR(INDEX(Product_Structure[Generic Name (long)3],MATCH(Товары[[#This Row],[SubGroup]],Product_Structure[Subgroup],0)),"")</f>
        <v>Шланги всасывающие</v>
      </c>
      <c r="I1378" s="36">
        <v>9116</v>
      </c>
      <c r="J1378" s="36" t="str">
        <f>IFERROR(INDEX(Product_Structure[Generic Name (long)],MATCH(Товары[[#This Row],[SubGroup]],Product_Structure[Subgroup],0)),"")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Row],[SubGroup]],DIY!$B:$C,2,FALSE),0)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3" t="str">
        <f>IFERROR(INDEX(Product_Structure[SuperCategory],MATCH(Товары[[#This Row],[SubGroup]],Product_Structure[Subgroup],0)),"")</f>
        <v>O</v>
      </c>
      <c r="D1379" s="113" t="str">
        <f>IFERROR(INDEX(Product_Structure[SuperCategory Name ENG],MATCH(Товары[[#This Row],[SubGroup]],Product_Structure[Subgroup],0)),"")</f>
        <v>Pumps (electric, battery) + spare parts</v>
      </c>
      <c r="E137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79" s="113" t="str">
        <f>IFERROR(INDEX(Product_Structure[Product group],MATCH(Товары[[#This Row],[SubGroup]],Product_Structure[Subgroup],0)),"")</f>
        <v>WPU_C</v>
      </c>
      <c r="G1379" s="113" t="str">
        <f>IFERROR(INDEX(Product_Structure[Product group name ENG],MATCH(Товары[[#This Row],[SubGroup]],Product_Structure[Subgroup],0)),"")</f>
        <v>Watering, Pumps</v>
      </c>
      <c r="H1379" s="113" t="str">
        <f>IFERROR(INDEX(Product_Structure[Generic Name (long)3],MATCH(Товары[[#This Row],[SubGroup]],Product_Structure[Subgroup],0)),"")</f>
        <v>Шланги технические</v>
      </c>
      <c r="I1379" s="36">
        <v>9117</v>
      </c>
      <c r="J1379" s="36" t="str">
        <f>IFERROR(INDEX(Product_Structure[Generic Name (long)],MATCH(Товары[[#This Row],[SubGroup]],Product_Structure[Subgroup],0)),"")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Row],[SubGroup]],DIY!$B:$C,2,FALSE),0)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3" t="str">
        <f>IFERROR(INDEX(Product_Structure[SuperCategory],MATCH(Товары[[#This Row],[SubGroup]],Product_Structure[Subgroup],0)),"")</f>
        <v>O</v>
      </c>
      <c r="D1380" s="113" t="str">
        <f>IFERROR(INDEX(Product_Structure[SuperCategory Name ENG],MATCH(Товары[[#This Row],[SubGroup]],Product_Structure[Subgroup],0)),"")</f>
        <v>Pumps (electric, battery) + spare parts</v>
      </c>
      <c r="E138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0" s="113" t="str">
        <f>IFERROR(INDEX(Product_Structure[Product group],MATCH(Товары[[#This Row],[SubGroup]],Product_Structure[Subgroup],0)),"")</f>
        <v>WPU_C</v>
      </c>
      <c r="G1380" s="113" t="str">
        <f>IFERROR(INDEX(Product_Structure[Product group name ENG],MATCH(Товары[[#This Row],[SubGroup]],Product_Structure[Subgroup],0)),"")</f>
        <v>Watering, Pumps</v>
      </c>
      <c r="H1380" s="113" t="str">
        <f>IFERROR(INDEX(Product_Structure[Generic Name (long)3],MATCH(Товары[[#This Row],[SubGroup]],Product_Structure[Subgroup],0)),"")</f>
        <v>Шланги технические</v>
      </c>
      <c r="I1380" s="36">
        <v>9117</v>
      </c>
      <c r="J1380" s="36" t="str">
        <f>IFERROR(INDEX(Product_Structure[Generic Name (long)],MATCH(Товары[[#This Row],[SubGroup]],Product_Structure[Subgroup],0)),"")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Row],[SubGroup]],DIY!$B:$C,2,FALSE),0)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3" t="str">
        <f>IFERROR(INDEX(Product_Structure[SuperCategory],MATCH(Товары[[#This Row],[SubGroup]],Product_Structure[Subgroup],0)),"")</f>
        <v>O</v>
      </c>
      <c r="D1381" s="113" t="str">
        <f>IFERROR(INDEX(Product_Structure[SuperCategory Name ENG],MATCH(Товары[[#This Row],[SubGroup]],Product_Structure[Subgroup],0)),"")</f>
        <v>Pumps (electric, battery) + spare parts</v>
      </c>
      <c r="E138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1" s="113" t="str">
        <f>IFERROR(INDEX(Product_Structure[Product group],MATCH(Товары[[#This Row],[SubGroup]],Product_Structure[Subgroup],0)),"")</f>
        <v>WPU_C</v>
      </c>
      <c r="G1381" s="113" t="str">
        <f>IFERROR(INDEX(Product_Structure[Product group name ENG],MATCH(Товары[[#This Row],[SubGroup]],Product_Structure[Subgroup],0)),"")</f>
        <v>Watering, Pumps</v>
      </c>
      <c r="H1381" s="113" t="str">
        <f>IFERROR(INDEX(Product_Structure[Generic Name (long)3],MATCH(Товары[[#This Row],[SubGroup]],Product_Structure[Subgroup],0)),"")</f>
        <v>Шланги технические</v>
      </c>
      <c r="I1381" s="36">
        <v>9117</v>
      </c>
      <c r="J1381" s="36" t="str">
        <f>IFERROR(INDEX(Product_Structure[Generic Name (long)],MATCH(Товары[[#This Row],[SubGroup]],Product_Structure[Subgroup],0)),"")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Row],[SubGroup]],DIY!$B:$C,2,FALSE),0)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3" t="str">
        <f>IFERROR(INDEX(Product_Structure[SuperCategory],MATCH(Товары[[#This Row],[SubGroup]],Product_Structure[Subgroup],0)),"")</f>
        <v>O</v>
      </c>
      <c r="D1382" s="113" t="str">
        <f>IFERROR(INDEX(Product_Structure[SuperCategory Name ENG],MATCH(Товары[[#This Row],[SubGroup]],Product_Structure[Subgroup],0)),"")</f>
        <v>Pumps (electric, battery) + spare parts</v>
      </c>
      <c r="E138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2" s="113" t="str">
        <f>IFERROR(INDEX(Product_Structure[Product group],MATCH(Товары[[#This Row],[SubGroup]],Product_Structure[Subgroup],0)),"")</f>
        <v>WPU_C</v>
      </c>
      <c r="G1382" s="113" t="str">
        <f>IFERROR(INDEX(Product_Structure[Product group name ENG],MATCH(Товары[[#This Row],[SubGroup]],Product_Structure[Subgroup],0)),"")</f>
        <v>Watering, Pumps</v>
      </c>
      <c r="H1382" s="113" t="str">
        <f>IFERROR(INDEX(Product_Structure[Generic Name (long)3],MATCH(Товары[[#This Row],[SubGroup]],Product_Structure[Subgroup],0)),"")</f>
        <v>Шланги технические</v>
      </c>
      <c r="I1382" s="36">
        <v>9117</v>
      </c>
      <c r="J1382" s="36" t="str">
        <f>IFERROR(INDEX(Product_Structure[Generic Name (long)],MATCH(Товары[[#This Row],[SubGroup]],Product_Structure[Subgroup],0)),"")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Row],[SubGroup]],DIY!$B:$C,2,FALSE),0)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3" t="str">
        <f>IFERROR(INDEX(Product_Structure[SuperCategory],MATCH(Товары[[#This Row],[SubGroup]],Product_Structure[Subgroup],0)),"")</f>
        <v>O</v>
      </c>
      <c r="D1383" s="113" t="str">
        <f>IFERROR(INDEX(Product_Structure[SuperCategory Name ENG],MATCH(Товары[[#This Row],[SubGroup]],Product_Structure[Subgroup],0)),"")</f>
        <v>Pumps (electric, battery) + spare parts</v>
      </c>
      <c r="E138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3" s="113" t="str">
        <f>IFERROR(INDEX(Product_Structure[Product group],MATCH(Товары[[#This Row],[SubGroup]],Product_Structure[Subgroup],0)),"")</f>
        <v>WPU_C</v>
      </c>
      <c r="G1383" s="113" t="str">
        <f>IFERROR(INDEX(Product_Structure[Product group name ENG],MATCH(Товары[[#This Row],[SubGroup]],Product_Structure[Subgroup],0)),"")</f>
        <v>Watering, Pumps</v>
      </c>
      <c r="H1383" s="113" t="str">
        <f>IFERROR(INDEX(Product_Structure[Generic Name (long)3],MATCH(Товары[[#This Row],[SubGroup]],Product_Structure[Subgroup],0)),"")</f>
        <v>Шланги технические</v>
      </c>
      <c r="I1383" s="36">
        <v>9117</v>
      </c>
      <c r="J1383" s="36" t="str">
        <f>IFERROR(INDEX(Product_Structure[Generic Name (long)],MATCH(Товары[[#This Row],[SubGroup]],Product_Structure[Subgroup],0)),"")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Row],[SubGroup]],DIY!$B:$C,2,FALSE),0)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3" t="str">
        <f>IFERROR(INDEX(Product_Structure[SuperCategory],MATCH(Товары[[#This Row],[SubGroup]],Product_Structure[Subgroup],0)),"")</f>
        <v>O</v>
      </c>
      <c r="D1384" s="113" t="str">
        <f>IFERROR(INDEX(Product_Structure[SuperCategory Name ENG],MATCH(Товары[[#This Row],[SubGroup]],Product_Structure[Subgroup],0)),"")</f>
        <v>Pumps (electric, battery) + spare parts</v>
      </c>
      <c r="E138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4" s="113" t="str">
        <f>IFERROR(INDEX(Product_Structure[Product group],MATCH(Товары[[#This Row],[SubGroup]],Product_Structure[Subgroup],0)),"")</f>
        <v>WPU_C</v>
      </c>
      <c r="G1384" s="113" t="str">
        <f>IFERROR(INDEX(Product_Structure[Product group name ENG],MATCH(Товары[[#This Row],[SubGroup]],Product_Structure[Subgroup],0)),"")</f>
        <v>Watering, Pumps</v>
      </c>
      <c r="H1384" s="113" t="str">
        <f>IFERROR(INDEX(Product_Structure[Generic Name (long)3],MATCH(Товары[[#This Row],[SubGroup]],Product_Structure[Subgroup],0)),"")</f>
        <v>Шланги технические</v>
      </c>
      <c r="I1384" s="36">
        <v>9117</v>
      </c>
      <c r="J1384" s="36" t="str">
        <f>IFERROR(INDEX(Product_Structure[Generic Name (long)],MATCH(Товары[[#This Row],[SubGroup]],Product_Structure[Subgroup],0)),"")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Row],[SubGroup]],DIY!$B:$C,2,FALSE),0)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3" t="str">
        <f>IFERROR(INDEX(Product_Structure[SuperCategory],MATCH(Товары[[#This Row],[SubGroup]],Product_Structure[Subgroup],0)),"")</f>
        <v>O</v>
      </c>
      <c r="D1385" s="113" t="str">
        <f>IFERROR(INDEX(Product_Structure[SuperCategory Name ENG],MATCH(Товары[[#This Row],[SubGroup]],Product_Structure[Subgroup],0)),"")</f>
        <v>Pumps (electric, battery) + spare parts</v>
      </c>
      <c r="E138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5" s="113" t="str">
        <f>IFERROR(INDEX(Product_Structure[Product group],MATCH(Товары[[#This Row],[SubGroup]],Product_Structure[Subgroup],0)),"")</f>
        <v>WPU_C</v>
      </c>
      <c r="G1385" s="113" t="str">
        <f>IFERROR(INDEX(Product_Structure[Product group name ENG],MATCH(Товары[[#This Row],[SubGroup]],Product_Structure[Subgroup],0)),"")</f>
        <v>Watering, Pumps</v>
      </c>
      <c r="H1385" s="113" t="str">
        <f>IFERROR(INDEX(Product_Structure[Generic Name (long)3],MATCH(Товары[[#This Row],[SubGroup]],Product_Structure[Subgroup],0)),"")</f>
        <v>Шланги технические</v>
      </c>
      <c r="I1385" s="36">
        <v>9117</v>
      </c>
      <c r="J1385" s="36" t="str">
        <f>IFERROR(INDEX(Product_Structure[Generic Name (long)],MATCH(Товары[[#This Row],[SubGroup]],Product_Structure[Subgroup],0)),"")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Row],[SubGroup]],DIY!$B:$C,2,FALSE),0)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3" t="str">
        <f>IFERROR(INDEX(Product_Structure[SuperCategory],MATCH(Товары[[#This Row],[SubGroup]],Product_Structure[Subgroup],0)),"")</f>
        <v>O</v>
      </c>
      <c r="D1386" s="113" t="str">
        <f>IFERROR(INDEX(Product_Structure[SuperCategory Name ENG],MATCH(Товары[[#This Row],[SubGroup]],Product_Structure[Subgroup],0)),"")</f>
        <v>Pumps (electric, battery) + spare parts</v>
      </c>
      <c r="E138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6" s="113" t="str">
        <f>IFERROR(INDEX(Product_Structure[Product group],MATCH(Товары[[#This Row],[SubGroup]],Product_Structure[Subgroup],0)),"")</f>
        <v>WPU_C</v>
      </c>
      <c r="G1386" s="113" t="str">
        <f>IFERROR(INDEX(Product_Structure[Product group name ENG],MATCH(Товары[[#This Row],[SubGroup]],Product_Structure[Subgroup],0)),"")</f>
        <v>Watering, Pumps</v>
      </c>
      <c r="H1386" s="113" t="str">
        <f>IFERROR(INDEX(Product_Structure[Generic Name (long)3],MATCH(Товары[[#This Row],[SubGroup]],Product_Structure[Subgroup],0)),"")</f>
        <v>Шланги технические</v>
      </c>
      <c r="I1386" s="36">
        <v>9117</v>
      </c>
      <c r="J1386" s="36" t="str">
        <f>IFERROR(INDEX(Product_Structure[Generic Name (long)],MATCH(Товары[[#This Row],[SubGroup]],Product_Structure[Subgroup],0)),"")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Row],[SubGroup]],DIY!$B:$C,2,FALSE),0)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3" t="str">
        <f>IFERROR(INDEX(Product_Structure[SuperCategory],MATCH(Товары[[#This Row],[SubGroup]],Product_Structure[Subgroup],0)),"")</f>
        <v>O</v>
      </c>
      <c r="D1387" s="113" t="str">
        <f>IFERROR(INDEX(Product_Structure[SuperCategory Name ENG],MATCH(Товары[[#This Row],[SubGroup]],Product_Structure[Subgroup],0)),"")</f>
        <v>Pumps (electric, battery) + spare parts</v>
      </c>
      <c r="E138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7" s="113" t="str">
        <f>IFERROR(INDEX(Product_Structure[Product group],MATCH(Товары[[#This Row],[SubGroup]],Product_Structure[Subgroup],0)),"")</f>
        <v>WPU_C</v>
      </c>
      <c r="G1387" s="113" t="str">
        <f>IFERROR(INDEX(Product_Structure[Product group name ENG],MATCH(Товары[[#This Row],[SubGroup]],Product_Structure[Subgroup],0)),"")</f>
        <v>Watering, Pumps</v>
      </c>
      <c r="H1387" s="113" t="str">
        <f>IFERROR(INDEX(Product_Structure[Generic Name (long)3],MATCH(Товары[[#This Row],[SubGroup]],Product_Structure[Subgroup],0)),"")</f>
        <v>Шланги технические</v>
      </c>
      <c r="I1387" s="36">
        <v>9117</v>
      </c>
      <c r="J1387" s="36" t="str">
        <f>IFERROR(INDEX(Product_Structure[Generic Name (long)],MATCH(Товары[[#This Row],[SubGroup]],Product_Structure[Subgroup],0)),"")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Row],[SubGroup]],DIY!$B:$C,2,FALSE),0)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3" t="str">
        <f>IFERROR(INDEX(Product_Structure[SuperCategory],MATCH(Товары[[#This Row],[SubGroup]],Product_Structure[Subgroup],0)),"")</f>
        <v>O</v>
      </c>
      <c r="D1388" s="113" t="str">
        <f>IFERROR(INDEX(Product_Structure[SuperCategory Name ENG],MATCH(Товары[[#This Row],[SubGroup]],Product_Structure[Subgroup],0)),"")</f>
        <v>Pumps (electric, battery) + spare parts</v>
      </c>
      <c r="E138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8" s="113" t="str">
        <f>IFERROR(INDEX(Product_Structure[Product group],MATCH(Товары[[#This Row],[SubGroup]],Product_Structure[Subgroup],0)),"")</f>
        <v>WPU_C</v>
      </c>
      <c r="G1388" s="113" t="str">
        <f>IFERROR(INDEX(Product_Structure[Product group name ENG],MATCH(Товары[[#This Row],[SubGroup]],Product_Structure[Subgroup],0)),"")</f>
        <v>Watering, Pumps</v>
      </c>
      <c r="H1388" s="113" t="str">
        <f>IFERROR(INDEX(Product_Structure[Generic Name (long)3],MATCH(Товары[[#This Row],[SubGroup]],Product_Structure[Subgroup],0)),"")</f>
        <v>Шланги технические</v>
      </c>
      <c r="I1388" s="36">
        <v>9117</v>
      </c>
      <c r="J1388" s="36" t="str">
        <f>IFERROR(INDEX(Product_Structure[Generic Name (long)],MATCH(Товары[[#This Row],[SubGroup]],Product_Structure[Subgroup],0)),"")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Row],[SubGroup]],DIY!$B:$C,2,FALSE),0)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3" t="str">
        <f>IFERROR(INDEX(Product_Structure[SuperCategory],MATCH(Товары[[#This Row],[SubGroup]],Product_Structure[Subgroup],0)),"")</f>
        <v>O</v>
      </c>
      <c r="D1389" s="113" t="str">
        <f>IFERROR(INDEX(Product_Structure[SuperCategory Name ENG],MATCH(Товары[[#This Row],[SubGroup]],Product_Structure[Subgroup],0)),"")</f>
        <v>Pumps (electric, battery) + spare parts</v>
      </c>
      <c r="E138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89" s="113" t="str">
        <f>IFERROR(INDEX(Product_Structure[Product group],MATCH(Товары[[#This Row],[SubGroup]],Product_Structure[Subgroup],0)),"")</f>
        <v>WPU_C</v>
      </c>
      <c r="G1389" s="113" t="str">
        <f>IFERROR(INDEX(Product_Structure[Product group name ENG],MATCH(Товары[[#This Row],[SubGroup]],Product_Structure[Subgroup],0)),"")</f>
        <v>Watering, Pumps</v>
      </c>
      <c r="H1389" s="113" t="str">
        <f>IFERROR(INDEX(Product_Structure[Generic Name (long)3],MATCH(Товары[[#This Row],[SubGroup]],Product_Structure[Subgroup],0)),"")</f>
        <v>Шланги технические</v>
      </c>
      <c r="I1389" s="36">
        <v>9117</v>
      </c>
      <c r="J1389" s="36" t="str">
        <f>IFERROR(INDEX(Product_Structure[Generic Name (long)],MATCH(Товары[[#This Row],[SubGroup]],Product_Structure[Subgroup],0)),"")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Row],[SubGroup]],DIY!$B:$C,2,FALSE),0)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3" t="str">
        <f>IFERROR(INDEX(Product_Structure[SuperCategory],MATCH(Товары[[#This Row],[SubGroup]],Product_Structure[Subgroup],0)),"")</f>
        <v>O</v>
      </c>
      <c r="D1390" s="113" t="str">
        <f>IFERROR(INDEX(Product_Structure[SuperCategory Name ENG],MATCH(Товары[[#This Row],[SubGroup]],Product_Structure[Subgroup],0)),"")</f>
        <v>Pumps (electric, battery) + spare parts</v>
      </c>
      <c r="E139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0" s="113" t="str">
        <f>IFERROR(INDEX(Product_Structure[Product group],MATCH(Товары[[#This Row],[SubGroup]],Product_Structure[Subgroup],0)),"")</f>
        <v>WPU_C</v>
      </c>
      <c r="G1390" s="113" t="str">
        <f>IFERROR(INDEX(Product_Structure[Product group name ENG],MATCH(Товары[[#This Row],[SubGroup]],Product_Structure[Subgroup],0)),"")</f>
        <v>Watering, Pumps</v>
      </c>
      <c r="H1390" s="113" t="str">
        <f>IFERROR(INDEX(Product_Structure[Generic Name (long)3],MATCH(Товары[[#This Row],[SubGroup]],Product_Structure[Subgroup],0)),"")</f>
        <v>Шланги технические</v>
      </c>
      <c r="I1390" s="36">
        <v>9117</v>
      </c>
      <c r="J1390" s="36" t="str">
        <f>IFERROR(INDEX(Product_Structure[Generic Name (long)],MATCH(Товары[[#This Row],[SubGroup]],Product_Structure[Subgroup],0)),"")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Row],[SubGroup]],DIY!$B:$C,2,FALSE),0)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3" t="str">
        <f>IFERROR(INDEX(Product_Structure[SuperCategory],MATCH(Товары[[#This Row],[SubGroup]],Product_Structure[Subgroup],0)),"")</f>
        <v>O</v>
      </c>
      <c r="D1391" s="113" t="str">
        <f>IFERROR(INDEX(Product_Structure[SuperCategory Name ENG],MATCH(Товары[[#This Row],[SubGroup]],Product_Structure[Subgroup],0)),"")</f>
        <v>Pumps (electric, battery) + spare parts</v>
      </c>
      <c r="E139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1" s="113" t="str">
        <f>IFERROR(INDEX(Product_Structure[Product group],MATCH(Товары[[#This Row],[SubGroup]],Product_Structure[Subgroup],0)),"")</f>
        <v>WPU_C</v>
      </c>
      <c r="G1391" s="113" t="str">
        <f>IFERROR(INDEX(Product_Structure[Product group name ENG],MATCH(Товары[[#This Row],[SubGroup]],Product_Structure[Subgroup],0)),"")</f>
        <v>Watering, Pumps</v>
      </c>
      <c r="H1391" s="113" t="str">
        <f>IFERROR(INDEX(Product_Structure[Generic Name (long)3],MATCH(Товары[[#This Row],[SubGroup]],Product_Structure[Subgroup],0)),"")</f>
        <v>Шланги технические</v>
      </c>
      <c r="I1391" s="36">
        <v>9117</v>
      </c>
      <c r="J1391" s="36" t="str">
        <f>IFERROR(INDEX(Product_Structure[Generic Name (long)],MATCH(Товары[[#This Row],[SubGroup]],Product_Structure[Subgroup],0)),"")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Row],[SubGroup]],DIY!$B:$C,2,FALSE),0)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3" t="str">
        <f>IFERROR(INDEX(Product_Structure[SuperCategory],MATCH(Товары[[#This Row],[SubGroup]],Product_Structure[Subgroup],0)),"")</f>
        <v>O</v>
      </c>
      <c r="D1392" s="113" t="str">
        <f>IFERROR(INDEX(Product_Structure[SuperCategory Name ENG],MATCH(Товары[[#This Row],[SubGroup]],Product_Structure[Subgroup],0)),"")</f>
        <v>Pumps (electric, battery) + spare parts</v>
      </c>
      <c r="E139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2" s="113" t="str">
        <f>IFERROR(INDEX(Product_Structure[Product group],MATCH(Товары[[#This Row],[SubGroup]],Product_Structure[Subgroup],0)),"")</f>
        <v>WPU_C</v>
      </c>
      <c r="G1392" s="113" t="str">
        <f>IFERROR(INDEX(Product_Structure[Product group name ENG],MATCH(Товары[[#This Row],[SubGroup]],Product_Structure[Subgroup],0)),"")</f>
        <v>Watering, Pumps</v>
      </c>
      <c r="H1392" s="113" t="str">
        <f>IFERROR(INDEX(Product_Structure[Generic Name (long)3],MATCH(Товары[[#This Row],[SubGroup]],Product_Structure[Subgroup],0)),"")</f>
        <v>Шланги технические</v>
      </c>
      <c r="I1392" s="36">
        <v>9117</v>
      </c>
      <c r="J1392" s="36" t="str">
        <f>IFERROR(INDEX(Product_Structure[Generic Name (long)],MATCH(Товары[[#This Row],[SubGroup]],Product_Structure[Subgroup],0)),"")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Row],[SubGroup]],DIY!$B:$C,2,FALSE),0)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3" t="str">
        <f>IFERROR(INDEX(Product_Structure[SuperCategory],MATCH(Товары[[#This Row],[SubGroup]],Product_Structure[Subgroup],0)),"")</f>
        <v>O</v>
      </c>
      <c r="D1393" s="113" t="str">
        <f>IFERROR(INDEX(Product_Structure[SuperCategory Name ENG],MATCH(Товары[[#This Row],[SubGroup]],Product_Structure[Subgroup],0)),"")</f>
        <v>Pumps (electric, battery) + spare parts</v>
      </c>
      <c r="E139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3" s="113" t="str">
        <f>IFERROR(INDEX(Product_Structure[Product group],MATCH(Товары[[#This Row],[SubGroup]],Product_Structure[Subgroup],0)),"")</f>
        <v>WPU_C</v>
      </c>
      <c r="G1393" s="113" t="str">
        <f>IFERROR(INDEX(Product_Structure[Product group name ENG],MATCH(Товары[[#This Row],[SubGroup]],Product_Structure[Subgroup],0)),"")</f>
        <v>Watering, Pumps</v>
      </c>
      <c r="H1393" s="113" t="str">
        <f>IFERROR(INDEX(Product_Structure[Generic Name (long)3],MATCH(Товары[[#This Row],[SubGroup]],Product_Structure[Subgroup],0)),"")</f>
        <v>Шланги технические</v>
      </c>
      <c r="I1393" s="36">
        <v>9117</v>
      </c>
      <c r="J1393" s="36" t="str">
        <f>IFERROR(INDEX(Product_Structure[Generic Name (long)],MATCH(Товары[[#This Row],[SubGroup]],Product_Structure[Subgroup],0)),"")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Row],[SubGroup]],DIY!$B:$C,2,FALSE),0)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3" t="str">
        <f>IFERROR(INDEX(Product_Structure[SuperCategory],MATCH(Товары[[#This Row],[SubGroup]],Product_Structure[Subgroup],0)),"")</f>
        <v>O</v>
      </c>
      <c r="D1394" s="113" t="str">
        <f>IFERROR(INDEX(Product_Structure[SuperCategory Name ENG],MATCH(Товары[[#This Row],[SubGroup]],Product_Structure[Subgroup],0)),"")</f>
        <v>Pumps (electric, battery) + spare parts</v>
      </c>
      <c r="E139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4" s="113" t="str">
        <f>IFERROR(INDEX(Product_Structure[Product group],MATCH(Товары[[#This Row],[SubGroup]],Product_Structure[Subgroup],0)),"")</f>
        <v>WPU_C</v>
      </c>
      <c r="G1394" s="113" t="str">
        <f>IFERROR(INDEX(Product_Structure[Product group name ENG],MATCH(Товары[[#This Row],[SubGroup]],Product_Structure[Subgroup],0)),"")</f>
        <v>Watering, Pumps</v>
      </c>
      <c r="H1394" s="113" t="str">
        <f>IFERROR(INDEX(Product_Structure[Generic Name (long)3],MATCH(Товары[[#This Row],[SubGroup]],Product_Structure[Subgroup],0)),"")</f>
        <v>Шланги технические</v>
      </c>
      <c r="I1394" s="36">
        <v>9117</v>
      </c>
      <c r="J1394" s="36" t="str">
        <f>IFERROR(INDEX(Product_Structure[Generic Name (long)],MATCH(Товары[[#This Row],[SubGroup]],Product_Structure[Subgroup],0)),"")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Row],[SubGroup]],DIY!$B:$C,2,FALSE),0)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3" t="str">
        <f>IFERROR(INDEX(Product_Structure[SuperCategory],MATCH(Товары[[#This Row],[SubGroup]],Product_Structure[Subgroup],0)),"")</f>
        <v>O</v>
      </c>
      <c r="D1395" s="113" t="str">
        <f>IFERROR(INDEX(Product_Structure[SuperCategory Name ENG],MATCH(Товары[[#This Row],[SubGroup]],Product_Structure[Subgroup],0)),"")</f>
        <v>Pumps (electric, battery) + spare parts</v>
      </c>
      <c r="E139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5" s="113" t="str">
        <f>IFERROR(INDEX(Product_Structure[Product group],MATCH(Товары[[#This Row],[SubGroup]],Product_Structure[Subgroup],0)),"")</f>
        <v>WPU_C</v>
      </c>
      <c r="G1395" s="113" t="str">
        <f>IFERROR(INDEX(Product_Structure[Product group name ENG],MATCH(Товары[[#This Row],[SubGroup]],Product_Structure[Subgroup],0)),"")</f>
        <v>Watering, Pumps</v>
      </c>
      <c r="H1395" s="113" t="str">
        <f>IFERROR(INDEX(Product_Structure[Generic Name (long)3],MATCH(Товары[[#This Row],[SubGroup]],Product_Structure[Subgroup],0)),"")</f>
        <v>Шланги технические</v>
      </c>
      <c r="I1395" s="36">
        <v>9117</v>
      </c>
      <c r="J1395" s="36" t="str">
        <f>IFERROR(INDEX(Product_Structure[Generic Name (long)],MATCH(Товары[[#This Row],[SubGroup]],Product_Structure[Subgroup],0)),"")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Row],[SubGroup]],DIY!$B:$C,2,FALSE),0)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3" t="str">
        <f>IFERROR(INDEX(Product_Structure[SuperCategory],MATCH(Товары[[#This Row],[SubGroup]],Product_Structure[Subgroup],0)),"")</f>
        <v>O</v>
      </c>
      <c r="D1396" s="113" t="str">
        <f>IFERROR(INDEX(Product_Structure[SuperCategory Name ENG],MATCH(Товары[[#This Row],[SubGroup]],Product_Structure[Subgroup],0)),"")</f>
        <v>Pumps (electric, battery) + spare parts</v>
      </c>
      <c r="E139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6" s="113" t="str">
        <f>IFERROR(INDEX(Product_Structure[Product group],MATCH(Товары[[#This Row],[SubGroup]],Product_Structure[Subgroup],0)),"")</f>
        <v>WPU_C</v>
      </c>
      <c r="G1396" s="113" t="str">
        <f>IFERROR(INDEX(Product_Structure[Product group name ENG],MATCH(Товары[[#This Row],[SubGroup]],Product_Structure[Subgroup],0)),"")</f>
        <v>Watering, Pumps</v>
      </c>
      <c r="H1396" s="113" t="str">
        <f>IFERROR(INDEX(Product_Structure[Generic Name (long)3],MATCH(Товары[[#This Row],[SubGroup]],Product_Structure[Subgroup],0)),"")</f>
        <v>Шланги технические</v>
      </c>
      <c r="I1396" s="36">
        <v>9117</v>
      </c>
      <c r="J1396" s="36" t="str">
        <f>IFERROR(INDEX(Product_Structure[Generic Name (long)],MATCH(Товары[[#This Row],[SubGroup]],Product_Structure[Subgroup],0)),"")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Row],[SubGroup]],DIY!$B:$C,2,FALSE),0)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3" t="str">
        <f>IFERROR(INDEX(Product_Structure[SuperCategory],MATCH(Товары[[#This Row],[SubGroup]],Product_Structure[Subgroup],0)),"")</f>
        <v>O</v>
      </c>
      <c r="D1397" s="113" t="str">
        <f>IFERROR(INDEX(Product_Structure[SuperCategory Name ENG],MATCH(Товары[[#This Row],[SubGroup]],Product_Structure[Subgroup],0)),"")</f>
        <v>Pumps (electric, battery) + spare parts</v>
      </c>
      <c r="E139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7" s="113" t="str">
        <f>IFERROR(INDEX(Product_Structure[Product group],MATCH(Товары[[#This Row],[SubGroup]],Product_Structure[Subgroup],0)),"")</f>
        <v>WPU_C</v>
      </c>
      <c r="G1397" s="113" t="str">
        <f>IFERROR(INDEX(Product_Structure[Product group name ENG],MATCH(Товары[[#This Row],[SubGroup]],Product_Structure[Subgroup],0)),"")</f>
        <v>Watering, Pumps</v>
      </c>
      <c r="H1397" s="113" t="str">
        <f>IFERROR(INDEX(Product_Structure[Generic Name (long)3],MATCH(Товары[[#This Row],[SubGroup]],Product_Structure[Subgroup],0)),"")</f>
        <v>Шланги технические</v>
      </c>
      <c r="I1397" s="36">
        <v>9117</v>
      </c>
      <c r="J1397" s="36" t="str">
        <f>IFERROR(INDEX(Product_Structure[Generic Name (long)],MATCH(Товары[[#This Row],[SubGroup]],Product_Structure[Subgroup],0)),"")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Row],[SubGroup]],DIY!$B:$C,2,FALSE),0)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3" t="str">
        <f>IFERROR(INDEX(Product_Structure[SuperCategory],MATCH(Товары[[#This Row],[SubGroup]],Product_Structure[Subgroup],0)),"")</f>
        <v>O</v>
      </c>
      <c r="D1398" s="113" t="str">
        <f>IFERROR(INDEX(Product_Structure[SuperCategory Name ENG],MATCH(Товары[[#This Row],[SubGroup]],Product_Structure[Subgroup],0)),"")</f>
        <v>Pumps (electric, battery) + spare parts</v>
      </c>
      <c r="E139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8" s="113" t="str">
        <f>IFERROR(INDEX(Product_Structure[Product group],MATCH(Товары[[#This Row],[SubGroup]],Product_Structure[Subgroup],0)),"")</f>
        <v>WPU_C</v>
      </c>
      <c r="G1398" s="113" t="str">
        <f>IFERROR(INDEX(Product_Structure[Product group name ENG],MATCH(Товары[[#This Row],[SubGroup]],Product_Structure[Subgroup],0)),"")</f>
        <v>Watering, Pumps</v>
      </c>
      <c r="H1398" s="113" t="str">
        <f>IFERROR(INDEX(Product_Structure[Generic Name (long)3],MATCH(Товары[[#This Row],[SubGroup]],Product_Structure[Subgroup],0)),"")</f>
        <v>Шланги технические</v>
      </c>
      <c r="I1398" s="36">
        <v>9117</v>
      </c>
      <c r="J1398" s="36" t="str">
        <f>IFERROR(INDEX(Product_Structure[Generic Name (long)],MATCH(Товары[[#This Row],[SubGroup]],Product_Structure[Subgroup],0)),"")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Row],[SubGroup]],DIY!$B:$C,2,FALSE),0)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3" t="str">
        <f>IFERROR(INDEX(Product_Structure[SuperCategory],MATCH(Товары[[#This Row],[SubGroup]],Product_Structure[Subgroup],0)),"")</f>
        <v>O</v>
      </c>
      <c r="D1399" s="113" t="str">
        <f>IFERROR(INDEX(Product_Structure[SuperCategory Name ENG],MATCH(Товары[[#This Row],[SubGroup]],Product_Structure[Subgroup],0)),"")</f>
        <v>Pumps (electric, battery) + spare parts</v>
      </c>
      <c r="E139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399" s="113" t="str">
        <f>IFERROR(INDEX(Product_Structure[Product group],MATCH(Товары[[#This Row],[SubGroup]],Product_Structure[Subgroup],0)),"")</f>
        <v>WPU_C</v>
      </c>
      <c r="G1399" s="113" t="str">
        <f>IFERROR(INDEX(Product_Structure[Product group name ENG],MATCH(Товары[[#This Row],[SubGroup]],Product_Structure[Subgroup],0)),"")</f>
        <v>Watering, Pumps</v>
      </c>
      <c r="H1399" s="113" t="str">
        <f>IFERROR(INDEX(Product_Structure[Generic Name (long)3],MATCH(Товары[[#This Row],[SubGroup]],Product_Structure[Subgroup],0)),"")</f>
        <v>Шланги технические</v>
      </c>
      <c r="I1399" s="36">
        <v>9117</v>
      </c>
      <c r="J1399" s="36" t="str">
        <f>IFERROR(INDEX(Product_Structure[Generic Name (long)],MATCH(Товары[[#This Row],[SubGroup]],Product_Structure[Subgroup],0)),"")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Row],[SubGroup]],DIY!$B:$C,2,FALSE),0)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3" t="str">
        <f>IFERROR(INDEX(Product_Structure[SuperCategory],MATCH(Товары[[#This Row],[SubGroup]],Product_Structure[Subgroup],0)),"")</f>
        <v>O</v>
      </c>
      <c r="D1400" s="113" t="str">
        <f>IFERROR(INDEX(Product_Structure[SuperCategory Name ENG],MATCH(Товары[[#This Row],[SubGroup]],Product_Structure[Subgroup],0)),"")</f>
        <v>Pumps (electric, battery) + spare parts</v>
      </c>
      <c r="E140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0" s="113" t="str">
        <f>IFERROR(INDEX(Product_Structure[Product group],MATCH(Товары[[#This Row],[SubGroup]],Product_Structure[Subgroup],0)),"")</f>
        <v>WPU_C</v>
      </c>
      <c r="G1400" s="113" t="str">
        <f>IFERROR(INDEX(Product_Structure[Product group name ENG],MATCH(Товары[[#This Row],[SubGroup]],Product_Structure[Subgroup],0)),"")</f>
        <v>Watering, Pumps</v>
      </c>
      <c r="H1400" s="113" t="str">
        <f>IFERROR(INDEX(Product_Structure[Generic Name (long)3],MATCH(Товары[[#This Row],[SubGroup]],Product_Structure[Subgroup],0)),"")</f>
        <v>Шланги технические</v>
      </c>
      <c r="I1400" s="36">
        <v>9117</v>
      </c>
      <c r="J1400" s="36" t="str">
        <f>IFERROR(INDEX(Product_Structure[Generic Name (long)],MATCH(Товары[[#This Row],[SubGroup]],Product_Structure[Subgroup],0)),"")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Row],[SubGroup]],DIY!$B:$C,2,FALSE),0)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3" t="str">
        <f>IFERROR(INDEX(Product_Structure[SuperCategory],MATCH(Товары[[#This Row],[SubGroup]],Product_Structure[Subgroup],0)),"")</f>
        <v>O</v>
      </c>
      <c r="D1401" s="113" t="str">
        <f>IFERROR(INDEX(Product_Structure[SuperCategory Name ENG],MATCH(Товары[[#This Row],[SubGroup]],Product_Structure[Subgroup],0)),"")</f>
        <v>Pumps (electric, battery) + spare parts</v>
      </c>
      <c r="E140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1" s="113" t="str">
        <f>IFERROR(INDEX(Product_Structure[Product group],MATCH(Товары[[#This Row],[SubGroup]],Product_Structure[Subgroup],0)),"")</f>
        <v>WPU_C</v>
      </c>
      <c r="G1401" s="113" t="str">
        <f>IFERROR(INDEX(Product_Structure[Product group name ENG],MATCH(Товары[[#This Row],[SubGroup]],Product_Structure[Subgroup],0)),"")</f>
        <v>Watering, Pumps</v>
      </c>
      <c r="H1401" s="113" t="str">
        <f>IFERROR(INDEX(Product_Structure[Generic Name (long)3],MATCH(Товары[[#This Row],[SubGroup]],Product_Structure[Subgroup],0)),"")</f>
        <v>Шланги технические</v>
      </c>
      <c r="I1401" s="36">
        <v>9117</v>
      </c>
      <c r="J1401" s="36" t="str">
        <f>IFERROR(INDEX(Product_Structure[Generic Name (long)],MATCH(Товары[[#This Row],[SubGroup]],Product_Structure[Subgroup],0)),"")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Row],[SubGroup]],DIY!$B:$C,2,FALSE),0)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3" t="str">
        <f>IFERROR(INDEX(Product_Structure[SuperCategory],MATCH(Товары[[#This Row],[SubGroup]],Product_Structure[Subgroup],0)),"")</f>
        <v>O</v>
      </c>
      <c r="D1402" s="113" t="str">
        <f>IFERROR(INDEX(Product_Structure[SuperCategory Name ENG],MATCH(Товары[[#This Row],[SubGroup]],Product_Structure[Subgroup],0)),"")</f>
        <v>Pumps (electric, battery) + spare parts</v>
      </c>
      <c r="E140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2" s="113" t="str">
        <f>IFERROR(INDEX(Product_Structure[Product group],MATCH(Товары[[#This Row],[SubGroup]],Product_Structure[Subgroup],0)),"")</f>
        <v>WPU_C</v>
      </c>
      <c r="G1402" s="113" t="str">
        <f>IFERROR(INDEX(Product_Structure[Product group name ENG],MATCH(Товары[[#This Row],[SubGroup]],Product_Structure[Subgroup],0)),"")</f>
        <v>Watering, Pumps</v>
      </c>
      <c r="H1402" s="113" t="str">
        <f>IFERROR(INDEX(Product_Structure[Generic Name (long)3],MATCH(Товары[[#This Row],[SubGroup]],Product_Structure[Subgroup],0)),"")</f>
        <v>Шланги технические</v>
      </c>
      <c r="I1402" s="36">
        <v>9117</v>
      </c>
      <c r="J1402" s="36" t="str">
        <f>IFERROR(INDEX(Product_Structure[Generic Name (long)],MATCH(Товары[[#This Row],[SubGroup]],Product_Structure[Subgroup],0)),"")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Row],[SubGroup]],DIY!$B:$C,2,FALSE),0)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3" t="str">
        <f>IFERROR(INDEX(Product_Structure[SuperCategory],MATCH(Товары[[#This Row],[SubGroup]],Product_Structure[Subgroup],0)),"")</f>
        <v>O</v>
      </c>
      <c r="D1403" s="113" t="str">
        <f>IFERROR(INDEX(Product_Structure[SuperCategory Name ENG],MATCH(Товары[[#This Row],[SubGroup]],Product_Structure[Subgroup],0)),"")</f>
        <v>Pumps (electric, battery) + spare parts</v>
      </c>
      <c r="E140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3" s="113" t="str">
        <f>IFERROR(INDEX(Product_Structure[Product group],MATCH(Товары[[#This Row],[SubGroup]],Product_Structure[Subgroup],0)),"")</f>
        <v>WPU_C</v>
      </c>
      <c r="G1403" s="113" t="str">
        <f>IFERROR(INDEX(Product_Structure[Product group name ENG],MATCH(Товары[[#This Row],[SubGroup]],Product_Structure[Subgroup],0)),"")</f>
        <v>Watering, Pumps</v>
      </c>
      <c r="H1403" s="113" t="str">
        <f>IFERROR(INDEX(Product_Structure[Generic Name (long)3],MATCH(Товары[[#This Row],[SubGroup]],Product_Structure[Subgroup],0)),"")</f>
        <v>Шланги технические</v>
      </c>
      <c r="I1403" s="36">
        <v>9117</v>
      </c>
      <c r="J1403" s="36" t="str">
        <f>IFERROR(INDEX(Product_Structure[Generic Name (long)],MATCH(Товары[[#This Row],[SubGroup]],Product_Structure[Subgroup],0)),"")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Row],[SubGroup]],DIY!$B:$C,2,FALSE),0)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3" t="str">
        <f>IFERROR(INDEX(Product_Structure[SuperCategory],MATCH(Товары[[#This Row],[SubGroup]],Product_Structure[Subgroup],0)),"")</f>
        <v>O</v>
      </c>
      <c r="D1404" s="113" t="str">
        <f>IFERROR(INDEX(Product_Structure[SuperCategory Name ENG],MATCH(Товары[[#This Row],[SubGroup]],Product_Structure[Subgroup],0)),"")</f>
        <v>Pumps (electric, battery) + spare parts</v>
      </c>
      <c r="E140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4" s="113" t="str">
        <f>IFERROR(INDEX(Product_Structure[Product group],MATCH(Товары[[#This Row],[SubGroup]],Product_Structure[Subgroup],0)),"")</f>
        <v>WPU_C</v>
      </c>
      <c r="G1404" s="113" t="str">
        <f>IFERROR(INDEX(Product_Structure[Product group name ENG],MATCH(Товары[[#This Row],[SubGroup]],Product_Structure[Subgroup],0)),"")</f>
        <v>Watering, Pumps</v>
      </c>
      <c r="H1404" s="113" t="str">
        <f>IFERROR(INDEX(Product_Structure[Generic Name (long)3],MATCH(Товары[[#This Row],[SubGroup]],Product_Structure[Subgroup],0)),"")</f>
        <v>Шланги технические</v>
      </c>
      <c r="I1404" s="36">
        <v>9117</v>
      </c>
      <c r="J1404" s="36" t="str">
        <f>IFERROR(INDEX(Product_Structure[Generic Name (long)],MATCH(Товары[[#This Row],[SubGroup]],Product_Structure[Subgroup],0)),"")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Row],[SubGroup]],DIY!$B:$C,2,FALSE),0)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3" t="str">
        <f>IFERROR(INDEX(Product_Structure[SuperCategory],MATCH(Товары[[#This Row],[SubGroup]],Product_Structure[Subgroup],0)),"")</f>
        <v>O</v>
      </c>
      <c r="D1405" s="113" t="str">
        <f>IFERROR(INDEX(Product_Structure[SuperCategory Name ENG],MATCH(Товары[[#This Row],[SubGroup]],Product_Structure[Subgroup],0)),"")</f>
        <v>Pumps (electric, battery) + spare parts</v>
      </c>
      <c r="E140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5" s="113" t="str">
        <f>IFERROR(INDEX(Product_Structure[Product group],MATCH(Товары[[#This Row],[SubGroup]],Product_Structure[Subgroup],0)),"")</f>
        <v>WPU_C</v>
      </c>
      <c r="G1405" s="113" t="str">
        <f>IFERROR(INDEX(Product_Structure[Product group name ENG],MATCH(Товары[[#This Row],[SubGroup]],Product_Structure[Subgroup],0)),"")</f>
        <v>Watering, Pumps</v>
      </c>
      <c r="H1405" s="113" t="str">
        <f>IFERROR(INDEX(Product_Structure[Generic Name (long)3],MATCH(Товары[[#This Row],[SubGroup]],Product_Structure[Subgroup],0)),"")</f>
        <v>Шланги технические</v>
      </c>
      <c r="I1405" s="36">
        <v>9117</v>
      </c>
      <c r="J1405" s="36" t="str">
        <f>IFERROR(INDEX(Product_Structure[Generic Name (long)],MATCH(Товары[[#This Row],[SubGroup]],Product_Structure[Subgroup],0)),"")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Row],[SubGroup]],DIY!$B:$C,2,FALSE),0)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3" t="str">
        <f>IFERROR(INDEX(Product_Structure[SuperCategory],MATCH(Товары[[#This Row],[SubGroup]],Product_Structure[Subgroup],0)),"")</f>
        <v>O</v>
      </c>
      <c r="D1406" s="113" t="str">
        <f>IFERROR(INDEX(Product_Structure[SuperCategory Name ENG],MATCH(Товары[[#This Row],[SubGroup]],Product_Structure[Subgroup],0)),"")</f>
        <v>Pumps (electric, battery) + spare parts</v>
      </c>
      <c r="E140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6" s="113" t="str">
        <f>IFERROR(INDEX(Product_Structure[Product group],MATCH(Товары[[#This Row],[SubGroup]],Product_Structure[Subgroup],0)),"")</f>
        <v>WPU_C</v>
      </c>
      <c r="G1406" s="113" t="str">
        <f>IFERROR(INDEX(Product_Structure[Product group name ENG],MATCH(Товары[[#This Row],[SubGroup]],Product_Structure[Subgroup],0)),"")</f>
        <v>Watering, Pumps</v>
      </c>
      <c r="H1406" s="113" t="str">
        <f>IFERROR(INDEX(Product_Structure[Generic Name (long)3],MATCH(Товары[[#This Row],[SubGroup]],Product_Structure[Subgroup],0)),"")</f>
        <v>Шланги технические</v>
      </c>
      <c r="I1406" s="36">
        <v>9117</v>
      </c>
      <c r="J1406" s="36" t="str">
        <f>IFERROR(INDEX(Product_Structure[Generic Name (long)],MATCH(Товары[[#This Row],[SubGroup]],Product_Structure[Subgroup],0)),"")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Row],[SubGroup]],DIY!$B:$C,2,FALSE),0)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3" t="str">
        <f>IFERROR(INDEX(Product_Structure[SuperCategory],MATCH(Товары[[#This Row],[SubGroup]],Product_Structure[Subgroup],0)),"")</f>
        <v>O</v>
      </c>
      <c r="D1407" s="113" t="str">
        <f>IFERROR(INDEX(Product_Structure[SuperCategory Name ENG],MATCH(Товары[[#This Row],[SubGroup]],Product_Structure[Subgroup],0)),"")</f>
        <v>Pumps (electric, battery) + spare parts</v>
      </c>
      <c r="E140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7" s="113" t="str">
        <f>IFERROR(INDEX(Product_Structure[Product group],MATCH(Товары[[#This Row],[SubGroup]],Product_Structure[Subgroup],0)),"")</f>
        <v>WPU_C</v>
      </c>
      <c r="G1407" s="113" t="str">
        <f>IFERROR(INDEX(Product_Structure[Product group name ENG],MATCH(Товары[[#This Row],[SubGroup]],Product_Structure[Subgroup],0)),"")</f>
        <v>Watering, Pumps</v>
      </c>
      <c r="H1407" s="113" t="str">
        <f>IFERROR(INDEX(Product_Structure[Generic Name (long)3],MATCH(Товары[[#This Row],[SubGroup]],Product_Structure[Subgroup],0)),"")</f>
        <v>Шланги технические</v>
      </c>
      <c r="I1407" s="36">
        <v>9117</v>
      </c>
      <c r="J1407" s="36" t="str">
        <f>IFERROR(INDEX(Product_Structure[Generic Name (long)],MATCH(Товары[[#This Row],[SubGroup]],Product_Structure[Subgroup],0)),"")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Row],[SubGroup]],DIY!$B:$C,2,FALSE),0)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3" t="str">
        <f>IFERROR(INDEX(Product_Structure[SuperCategory],MATCH(Товары[[#This Row],[SubGroup]],Product_Structure[Subgroup],0)),"")</f>
        <v>O</v>
      </c>
      <c r="D1408" s="113" t="str">
        <f>IFERROR(INDEX(Product_Structure[SuperCategory Name ENG],MATCH(Товары[[#This Row],[SubGroup]],Product_Structure[Subgroup],0)),"")</f>
        <v>Pumps (electric, battery) + spare parts</v>
      </c>
      <c r="E140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8" s="113" t="str">
        <f>IFERROR(INDEX(Product_Structure[Product group],MATCH(Товары[[#This Row],[SubGroup]],Product_Structure[Subgroup],0)),"")</f>
        <v>WPU_C</v>
      </c>
      <c r="G1408" s="113" t="str">
        <f>IFERROR(INDEX(Product_Structure[Product group name ENG],MATCH(Товары[[#This Row],[SubGroup]],Product_Structure[Subgroup],0)),"")</f>
        <v>Watering, Pumps</v>
      </c>
      <c r="H1408" s="113" t="str">
        <f>IFERROR(INDEX(Product_Structure[Generic Name (long)3],MATCH(Товары[[#This Row],[SubGroup]],Product_Structure[Subgroup],0)),"")</f>
        <v>Шланги технические</v>
      </c>
      <c r="I1408" s="36">
        <v>9117</v>
      </c>
      <c r="J1408" s="36" t="str">
        <f>IFERROR(INDEX(Product_Structure[Generic Name (long)],MATCH(Товары[[#This Row],[SubGroup]],Product_Structure[Subgroup],0)),"")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Row],[SubGroup]],DIY!$B:$C,2,FALSE),0)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3" t="str">
        <f>IFERROR(INDEX(Product_Structure[SuperCategory],MATCH(Товары[[#This Row],[SubGroup]],Product_Structure[Subgroup],0)),"")</f>
        <v>O</v>
      </c>
      <c r="D1409" s="113" t="str">
        <f>IFERROR(INDEX(Product_Structure[SuperCategory Name ENG],MATCH(Товары[[#This Row],[SubGroup]],Product_Structure[Subgroup],0)),"")</f>
        <v>Pumps (electric, battery) + spare parts</v>
      </c>
      <c r="E140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09" s="113" t="str">
        <f>IFERROR(INDEX(Product_Structure[Product group],MATCH(Товары[[#This Row],[SubGroup]],Product_Structure[Subgroup],0)),"")</f>
        <v>WPU_C</v>
      </c>
      <c r="G1409" s="113" t="str">
        <f>IFERROR(INDEX(Product_Structure[Product group name ENG],MATCH(Товары[[#This Row],[SubGroup]],Product_Structure[Subgroup],0)),"")</f>
        <v>Watering, Pumps</v>
      </c>
      <c r="H1409" s="113" t="str">
        <f>IFERROR(INDEX(Product_Structure[Generic Name (long)3],MATCH(Товары[[#This Row],[SubGroup]],Product_Structure[Subgroup],0)),"")</f>
        <v>Шланги технические</v>
      </c>
      <c r="I1409" s="36">
        <v>9117</v>
      </c>
      <c r="J1409" s="36" t="str">
        <f>IFERROR(INDEX(Product_Structure[Generic Name (long)],MATCH(Товары[[#This Row],[SubGroup]],Product_Structure[Subgroup],0)),"")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Row],[SubGroup]],DIY!$B:$C,2,FALSE),0)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3" t="str">
        <f>IFERROR(INDEX(Product_Structure[SuperCategory],MATCH(Товары[[#This Row],[SubGroup]],Product_Structure[Subgroup],0)),"")</f>
        <v>O</v>
      </c>
      <c r="D1410" s="113" t="str">
        <f>IFERROR(INDEX(Product_Structure[SuperCategory Name ENG],MATCH(Товары[[#This Row],[SubGroup]],Product_Structure[Subgroup],0)),"")</f>
        <v>Pumps (electric, battery) + spare parts</v>
      </c>
      <c r="E141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0" s="113" t="str">
        <f>IFERROR(INDEX(Product_Structure[Product group],MATCH(Товары[[#This Row],[SubGroup]],Product_Structure[Subgroup],0)),"")</f>
        <v>WPU_C</v>
      </c>
      <c r="G1410" s="113" t="str">
        <f>IFERROR(INDEX(Product_Structure[Product group name ENG],MATCH(Товары[[#This Row],[SubGroup]],Product_Structure[Subgroup],0)),"")</f>
        <v>Watering, Pumps</v>
      </c>
      <c r="H1410" s="113" t="str">
        <f>IFERROR(INDEX(Product_Structure[Generic Name (long)3],MATCH(Товары[[#This Row],[SubGroup]],Product_Structure[Subgroup],0)),"")</f>
        <v>Шланги технические</v>
      </c>
      <c r="I1410" s="36">
        <v>9117</v>
      </c>
      <c r="J1410" s="36" t="str">
        <f>IFERROR(INDEX(Product_Structure[Generic Name (long)],MATCH(Товары[[#This Row],[SubGroup]],Product_Structure[Subgroup],0)),"")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Row],[SubGroup]],DIY!$B:$C,2,FALSE),0)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3" t="str">
        <f>IFERROR(INDEX(Product_Structure[SuperCategory],MATCH(Товары[[#This Row],[SubGroup]],Product_Structure[Subgroup],0)),"")</f>
        <v>O</v>
      </c>
      <c r="D1411" s="113" t="str">
        <f>IFERROR(INDEX(Product_Structure[SuperCategory Name ENG],MATCH(Товары[[#This Row],[SubGroup]],Product_Structure[Subgroup],0)),"")</f>
        <v>Pumps (electric, battery) + spare parts</v>
      </c>
      <c r="E141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1" s="113" t="str">
        <f>IFERROR(INDEX(Product_Structure[Product group],MATCH(Товары[[#This Row],[SubGroup]],Product_Structure[Subgroup],0)),"")</f>
        <v>WPU_C</v>
      </c>
      <c r="G1411" s="113" t="str">
        <f>IFERROR(INDEX(Product_Structure[Product group name ENG],MATCH(Товары[[#This Row],[SubGroup]],Product_Structure[Subgroup],0)),"")</f>
        <v>Watering, Pumps</v>
      </c>
      <c r="H1411" s="113" t="str">
        <f>IFERROR(INDEX(Product_Structure[Generic Name (long)3],MATCH(Товары[[#This Row],[SubGroup]],Product_Structure[Subgroup],0)),"")</f>
        <v>Шланги технические</v>
      </c>
      <c r="I1411" s="36">
        <v>9117</v>
      </c>
      <c r="J1411" s="36" t="str">
        <f>IFERROR(INDEX(Product_Structure[Generic Name (long)],MATCH(Товары[[#This Row],[SubGroup]],Product_Structure[Subgroup],0)),"")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Row],[SubGroup]],DIY!$B:$C,2,FALSE),0)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3" t="str">
        <f>IFERROR(INDEX(Product_Structure[SuperCategory],MATCH(Товары[[#This Row],[SubGroup]],Product_Structure[Subgroup],0)),"")</f>
        <v>O</v>
      </c>
      <c r="D1412" s="113" t="str">
        <f>IFERROR(INDEX(Product_Structure[SuperCategory Name ENG],MATCH(Товары[[#This Row],[SubGroup]],Product_Structure[Subgroup],0)),"")</f>
        <v>Pumps (electric, battery) + spare parts</v>
      </c>
      <c r="E141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2" s="113" t="str">
        <f>IFERROR(INDEX(Product_Structure[Product group],MATCH(Товары[[#This Row],[SubGroup]],Product_Structure[Subgroup],0)),"")</f>
        <v>WPU_C</v>
      </c>
      <c r="G1412" s="113" t="str">
        <f>IFERROR(INDEX(Product_Structure[Product group name ENG],MATCH(Товары[[#This Row],[SubGroup]],Product_Structure[Subgroup],0)),"")</f>
        <v>Watering, Pumps</v>
      </c>
      <c r="H1412" s="113" t="str">
        <f>IFERROR(INDEX(Product_Structure[Generic Name (long)3],MATCH(Товары[[#This Row],[SubGroup]],Product_Structure[Subgroup],0)),"")</f>
        <v>Шланги технические</v>
      </c>
      <c r="I1412" s="36">
        <v>9117</v>
      </c>
      <c r="J1412" s="36" t="str">
        <f>IFERROR(INDEX(Product_Structure[Generic Name (long)],MATCH(Товары[[#This Row],[SubGroup]],Product_Structure[Subgroup],0)),"")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Row],[SubGroup]],DIY!$B:$C,2,FALSE),0)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3" t="str">
        <f>IFERROR(INDEX(Product_Structure[SuperCategory],MATCH(Товары[[#This Row],[SubGroup]],Product_Structure[Subgroup],0)),"")</f>
        <v>O</v>
      </c>
      <c r="D1413" s="113" t="str">
        <f>IFERROR(INDEX(Product_Structure[SuperCategory Name ENG],MATCH(Товары[[#This Row],[SubGroup]],Product_Structure[Subgroup],0)),"")</f>
        <v>Pumps (electric, battery) + spare parts</v>
      </c>
      <c r="E141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3" s="113" t="str">
        <f>IFERROR(INDEX(Product_Structure[Product group],MATCH(Товары[[#This Row],[SubGroup]],Product_Structure[Subgroup],0)),"")</f>
        <v>WPU_C</v>
      </c>
      <c r="G1413" s="113" t="str">
        <f>IFERROR(INDEX(Product_Structure[Product group name ENG],MATCH(Товары[[#This Row],[SubGroup]],Product_Structure[Subgroup],0)),"")</f>
        <v>Watering, Pumps</v>
      </c>
      <c r="H1413" s="113" t="str">
        <f>IFERROR(INDEX(Product_Structure[Generic Name (long)3],MATCH(Товары[[#This Row],[SubGroup]],Product_Structure[Subgroup],0)),"")</f>
        <v>Шланги технические</v>
      </c>
      <c r="I1413" s="36">
        <v>9117</v>
      </c>
      <c r="J1413" s="36" t="str">
        <f>IFERROR(INDEX(Product_Structure[Generic Name (long)],MATCH(Товары[[#This Row],[SubGroup]],Product_Structure[Subgroup],0)),"")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Row],[SubGroup]],DIY!$B:$C,2,FALSE),0)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3" t="str">
        <f>IFERROR(INDEX(Product_Structure[SuperCategory],MATCH(Товары[[#This Row],[SubGroup]],Product_Structure[Subgroup],0)),"")</f>
        <v>O</v>
      </c>
      <c r="D1414" s="113" t="str">
        <f>IFERROR(INDEX(Product_Structure[SuperCategory Name ENG],MATCH(Товары[[#This Row],[SubGroup]],Product_Structure[Subgroup],0)),"")</f>
        <v>Pumps (electric, battery) + spare parts</v>
      </c>
      <c r="E141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4" s="113" t="str">
        <f>IFERROR(INDEX(Product_Structure[Product group],MATCH(Товары[[#This Row],[SubGroup]],Product_Structure[Subgroup],0)),"")</f>
        <v>WPU_C</v>
      </c>
      <c r="G1414" s="113" t="str">
        <f>IFERROR(INDEX(Product_Structure[Product group name ENG],MATCH(Товары[[#This Row],[SubGroup]],Product_Structure[Subgroup],0)),"")</f>
        <v>Watering, Pumps</v>
      </c>
      <c r="H1414" s="113" t="str">
        <f>IFERROR(INDEX(Product_Structure[Generic Name (long)3],MATCH(Товары[[#This Row],[SubGroup]],Product_Structure[Subgroup],0)),"")</f>
        <v>Шланги технические</v>
      </c>
      <c r="I1414" s="36">
        <v>9117</v>
      </c>
      <c r="J1414" s="36" t="str">
        <f>IFERROR(INDEX(Product_Structure[Generic Name (long)],MATCH(Товары[[#This Row],[SubGroup]],Product_Structure[Subgroup],0)),"")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Row],[SubGroup]],DIY!$B:$C,2,FALSE),0)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3" t="str">
        <f>IFERROR(INDEX(Product_Structure[SuperCategory],MATCH(Товары[[#This Row],[SubGroup]],Product_Structure[Subgroup],0)),"")</f>
        <v>O</v>
      </c>
      <c r="D1415" s="113" t="str">
        <f>IFERROR(INDEX(Product_Structure[SuperCategory Name ENG],MATCH(Товары[[#This Row],[SubGroup]],Product_Structure[Subgroup],0)),"")</f>
        <v>Pumps (electric, battery) + spare parts</v>
      </c>
      <c r="E141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5" s="113" t="str">
        <f>IFERROR(INDEX(Product_Structure[Product group],MATCH(Товары[[#This Row],[SubGroup]],Product_Structure[Subgroup],0)),"")</f>
        <v>WPU_C</v>
      </c>
      <c r="G1415" s="113" t="str">
        <f>IFERROR(INDEX(Product_Structure[Product group name ENG],MATCH(Товары[[#This Row],[SubGroup]],Product_Structure[Subgroup],0)),"")</f>
        <v>Watering, Pumps</v>
      </c>
      <c r="H1415" s="113" t="str">
        <f>IFERROR(INDEX(Product_Structure[Generic Name (long)3],MATCH(Товары[[#This Row],[SubGroup]],Product_Structure[Subgroup],0)),"")</f>
        <v>Шланги технические</v>
      </c>
      <c r="I1415" s="36">
        <v>9117</v>
      </c>
      <c r="J1415" s="36" t="str">
        <f>IFERROR(INDEX(Product_Structure[Generic Name (long)],MATCH(Товары[[#This Row],[SubGroup]],Product_Structure[Subgroup],0)),"")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Row],[SubGroup]],DIY!$B:$C,2,FALSE),0)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3" t="str">
        <f>IFERROR(INDEX(Product_Structure[SuperCategory],MATCH(Товары[[#This Row],[SubGroup]],Product_Structure[Subgroup],0)),"")</f>
        <v>O</v>
      </c>
      <c r="D1416" s="113" t="str">
        <f>IFERROR(INDEX(Product_Structure[SuperCategory Name ENG],MATCH(Товары[[#This Row],[SubGroup]],Product_Structure[Subgroup],0)),"")</f>
        <v>Pumps (electric, battery) + spare parts</v>
      </c>
      <c r="E141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6" s="113" t="str">
        <f>IFERROR(INDEX(Product_Structure[Product group],MATCH(Товары[[#This Row],[SubGroup]],Product_Structure[Subgroup],0)),"")</f>
        <v>WPU_C</v>
      </c>
      <c r="G1416" s="113" t="str">
        <f>IFERROR(INDEX(Product_Structure[Product group name ENG],MATCH(Товары[[#This Row],[SubGroup]],Product_Structure[Subgroup],0)),"")</f>
        <v>Watering, Pumps</v>
      </c>
      <c r="H1416" s="113" t="str">
        <f>IFERROR(INDEX(Product_Structure[Generic Name (long)3],MATCH(Товары[[#This Row],[SubGroup]],Product_Structure[Subgroup],0)),"")</f>
        <v>Шланги технические</v>
      </c>
      <c r="I1416" s="36">
        <v>9117</v>
      </c>
      <c r="J1416" s="36" t="str">
        <f>IFERROR(INDEX(Product_Structure[Generic Name (long)],MATCH(Товары[[#This Row],[SubGroup]],Product_Structure[Subgroup],0)),"")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Row],[SubGroup]],DIY!$B:$C,2,FALSE),0)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3" t="str">
        <f>IFERROR(INDEX(Product_Structure[SuperCategory],MATCH(Товары[[#This Row],[SubGroup]],Product_Structure[Subgroup],0)),"")</f>
        <v>O</v>
      </c>
      <c r="D1417" s="113" t="str">
        <f>IFERROR(INDEX(Product_Structure[SuperCategory Name ENG],MATCH(Товары[[#This Row],[SubGroup]],Product_Structure[Subgroup],0)),"")</f>
        <v>Pumps (electric, battery) + spare parts</v>
      </c>
      <c r="E141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7" s="113" t="str">
        <f>IFERROR(INDEX(Product_Structure[Product group],MATCH(Товары[[#This Row],[SubGroup]],Product_Structure[Subgroup],0)),"")</f>
        <v>WPU_C</v>
      </c>
      <c r="G1417" s="113" t="str">
        <f>IFERROR(INDEX(Product_Structure[Product group name ENG],MATCH(Товары[[#This Row],[SubGroup]],Product_Structure[Subgroup],0)),"")</f>
        <v>Watering, Pumps</v>
      </c>
      <c r="H1417" s="113" t="str">
        <f>IFERROR(INDEX(Product_Structure[Generic Name (long)3],MATCH(Товары[[#This Row],[SubGroup]],Product_Structure[Subgroup],0)),"")</f>
        <v>Шланги технические</v>
      </c>
      <c r="I1417" s="36">
        <v>9117</v>
      </c>
      <c r="J1417" s="36" t="str">
        <f>IFERROR(INDEX(Product_Structure[Generic Name (long)],MATCH(Товары[[#This Row],[SubGroup]],Product_Structure[Subgroup],0)),"")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Row],[SubGroup]],DIY!$B:$C,2,FALSE),0)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3" t="str">
        <f>IFERROR(INDEX(Product_Structure[SuperCategory],MATCH(Товары[[#This Row],[SubGroup]],Product_Structure[Subgroup],0)),"")</f>
        <v>O</v>
      </c>
      <c r="D1418" s="113" t="str">
        <f>IFERROR(INDEX(Product_Structure[SuperCategory Name ENG],MATCH(Товары[[#This Row],[SubGroup]],Product_Structure[Subgroup],0)),"")</f>
        <v>Pumps (electric, battery) + spare parts</v>
      </c>
      <c r="E141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8" s="113" t="str">
        <f>IFERROR(INDEX(Product_Structure[Product group],MATCH(Товары[[#This Row],[SubGroup]],Product_Structure[Subgroup],0)),"")</f>
        <v>WPU_C</v>
      </c>
      <c r="G1418" s="113" t="str">
        <f>IFERROR(INDEX(Product_Structure[Product group name ENG],MATCH(Товары[[#This Row],[SubGroup]],Product_Structure[Subgroup],0)),"")</f>
        <v>Watering, Pumps</v>
      </c>
      <c r="H1418" s="113" t="str">
        <f>IFERROR(INDEX(Product_Structure[Generic Name (long)3],MATCH(Товары[[#This Row],[SubGroup]],Product_Structure[Subgroup],0)),"")</f>
        <v>Шланги технические</v>
      </c>
      <c r="I1418" s="36">
        <v>9117</v>
      </c>
      <c r="J1418" s="36" t="str">
        <f>IFERROR(INDEX(Product_Structure[Generic Name (long)],MATCH(Товары[[#This Row],[SubGroup]],Product_Structure[Subgroup],0)),"")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Row],[SubGroup]],DIY!$B:$C,2,FALSE),0)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3" t="str">
        <f>IFERROR(INDEX(Product_Structure[SuperCategory],MATCH(Товары[[#This Row],[SubGroup]],Product_Structure[Subgroup],0)),"")</f>
        <v>O</v>
      </c>
      <c r="D1419" s="113" t="str">
        <f>IFERROR(INDEX(Product_Structure[SuperCategory Name ENG],MATCH(Товары[[#This Row],[SubGroup]],Product_Structure[Subgroup],0)),"")</f>
        <v>Pumps (electric, battery) + spare parts</v>
      </c>
      <c r="E141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19" s="113" t="str">
        <f>IFERROR(INDEX(Product_Structure[Product group],MATCH(Товары[[#This Row],[SubGroup]],Product_Structure[Subgroup],0)),"")</f>
        <v>WPU_C</v>
      </c>
      <c r="G1419" s="113" t="str">
        <f>IFERROR(INDEX(Product_Structure[Product group name ENG],MATCH(Товары[[#This Row],[SubGroup]],Product_Structure[Subgroup],0)),"")</f>
        <v>Watering, Pumps</v>
      </c>
      <c r="H1419" s="113" t="str">
        <f>IFERROR(INDEX(Product_Structure[Generic Name (long)3],MATCH(Товары[[#This Row],[SubGroup]],Product_Structure[Subgroup],0)),"")</f>
        <v>Шланги технические</v>
      </c>
      <c r="I1419" s="36">
        <v>9117</v>
      </c>
      <c r="J1419" s="36" t="str">
        <f>IFERROR(INDEX(Product_Structure[Generic Name (long)],MATCH(Товары[[#This Row],[SubGroup]],Product_Structure[Subgroup],0)),"")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Row],[SubGroup]],DIY!$B:$C,2,FALSE),0)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3" t="str">
        <f>IFERROR(INDEX(Product_Structure[SuperCategory],MATCH(Товары[[#This Row],[SubGroup]],Product_Structure[Subgroup],0)),"")</f>
        <v>O</v>
      </c>
      <c r="D1420" s="113" t="str">
        <f>IFERROR(INDEX(Product_Structure[SuperCategory Name ENG],MATCH(Товары[[#This Row],[SubGroup]],Product_Structure[Subgroup],0)),"")</f>
        <v>Pumps (electric, battery) + spare parts</v>
      </c>
      <c r="E142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0" s="113" t="str">
        <f>IFERROR(INDEX(Product_Structure[Product group],MATCH(Товары[[#This Row],[SubGroup]],Product_Structure[Subgroup],0)),"")</f>
        <v>WPU_C</v>
      </c>
      <c r="G1420" s="113" t="str">
        <f>IFERROR(INDEX(Product_Structure[Product group name ENG],MATCH(Товары[[#This Row],[SubGroup]],Product_Structure[Subgroup],0)),"")</f>
        <v>Watering, Pumps</v>
      </c>
      <c r="H1420" s="113" t="str">
        <f>IFERROR(INDEX(Product_Structure[Generic Name (long)3],MATCH(Товары[[#This Row],[SubGroup]],Product_Structure[Subgroup],0)),"")</f>
        <v>Шланги технические</v>
      </c>
      <c r="I1420" s="36">
        <v>9117</v>
      </c>
      <c r="J1420" s="36" t="str">
        <f>IFERROR(INDEX(Product_Structure[Generic Name (long)],MATCH(Товары[[#This Row],[SubGroup]],Product_Structure[Subgroup],0)),"")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Row],[SubGroup]],DIY!$B:$C,2,FALSE),0)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3" t="str">
        <f>IFERROR(INDEX(Product_Structure[SuperCategory],MATCH(Товары[[#This Row],[SubGroup]],Product_Structure[Subgroup],0)),"")</f>
        <v>O</v>
      </c>
      <c r="D1421" s="113" t="str">
        <f>IFERROR(INDEX(Product_Structure[SuperCategory Name ENG],MATCH(Товары[[#This Row],[SubGroup]],Product_Structure[Subgroup],0)),"")</f>
        <v>Pumps (electric, battery) + spare parts</v>
      </c>
      <c r="E142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1" s="113" t="str">
        <f>IFERROR(INDEX(Product_Structure[Product group],MATCH(Товары[[#This Row],[SubGroup]],Product_Structure[Subgroup],0)),"")</f>
        <v>WPU_C</v>
      </c>
      <c r="G1421" s="113" t="str">
        <f>IFERROR(INDEX(Product_Structure[Product group name ENG],MATCH(Товары[[#This Row],[SubGroup]],Product_Structure[Subgroup],0)),"")</f>
        <v>Watering, Pumps</v>
      </c>
      <c r="H1421" s="113" t="str">
        <f>IFERROR(INDEX(Product_Structure[Generic Name (long)3],MATCH(Товары[[#This Row],[SubGroup]],Product_Structure[Subgroup],0)),"")</f>
        <v>Шланги технические</v>
      </c>
      <c r="I1421" s="36">
        <v>9117</v>
      </c>
      <c r="J1421" s="36" t="str">
        <f>IFERROR(INDEX(Product_Structure[Generic Name (long)],MATCH(Товары[[#This Row],[SubGroup]],Product_Structure[Subgroup],0)),"")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Row],[SubGroup]],DIY!$B:$C,2,FALSE),0)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3" t="str">
        <f>IFERROR(INDEX(Product_Structure[SuperCategory],MATCH(Товары[[#This Row],[SubGroup]],Product_Structure[Subgroup],0)),"")</f>
        <v>O</v>
      </c>
      <c r="D1422" s="113" t="str">
        <f>IFERROR(INDEX(Product_Structure[SuperCategory Name ENG],MATCH(Товары[[#This Row],[SubGroup]],Product_Structure[Subgroup],0)),"")</f>
        <v>Pumps (electric, battery) + spare parts</v>
      </c>
      <c r="E142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2" s="113" t="str">
        <f>IFERROR(INDEX(Product_Structure[Product group],MATCH(Товары[[#This Row],[SubGroup]],Product_Structure[Subgroup],0)),"")</f>
        <v>WPU_C</v>
      </c>
      <c r="G1422" s="113" t="str">
        <f>IFERROR(INDEX(Product_Structure[Product group name ENG],MATCH(Товары[[#This Row],[SubGroup]],Product_Structure[Subgroup],0)),"")</f>
        <v>Watering, Pumps</v>
      </c>
      <c r="H1422" s="113" t="str">
        <f>IFERROR(INDEX(Product_Structure[Generic Name (long)3],MATCH(Товары[[#This Row],[SubGroup]],Product_Structure[Subgroup],0)),"")</f>
        <v>Шланги технические</v>
      </c>
      <c r="I1422" s="36">
        <v>9117</v>
      </c>
      <c r="J1422" s="36" t="str">
        <f>IFERROR(INDEX(Product_Structure[Generic Name (long)],MATCH(Товары[[#This Row],[SubGroup]],Product_Structure[Subgroup],0)),"")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Row],[SubGroup]],DIY!$B:$C,2,FALSE),0)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3" t="str">
        <f>IFERROR(INDEX(Product_Structure[SuperCategory],MATCH(Товары[[#This Row],[SubGroup]],Product_Structure[Subgroup],0)),"")</f>
        <v>O</v>
      </c>
      <c r="D1423" s="113" t="str">
        <f>IFERROR(INDEX(Product_Structure[SuperCategory Name ENG],MATCH(Товары[[#This Row],[SubGroup]],Product_Structure[Subgroup],0)),"")</f>
        <v>Pumps (electric, battery) + spare parts</v>
      </c>
      <c r="E142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3" s="113" t="str">
        <f>IFERROR(INDEX(Product_Structure[Product group],MATCH(Товары[[#This Row],[SubGroup]],Product_Structure[Subgroup],0)),"")</f>
        <v>WPU_C</v>
      </c>
      <c r="G1423" s="113" t="str">
        <f>IFERROR(INDEX(Product_Structure[Product group name ENG],MATCH(Товары[[#This Row],[SubGroup]],Product_Structure[Subgroup],0)),"")</f>
        <v>Watering, Pumps</v>
      </c>
      <c r="H1423" s="113" t="str">
        <f>IFERROR(INDEX(Product_Structure[Generic Name (long)3],MATCH(Товары[[#This Row],[SubGroup]],Product_Structure[Subgroup],0)),"")</f>
        <v>Шланги технические</v>
      </c>
      <c r="I1423" s="36">
        <v>9117</v>
      </c>
      <c r="J1423" s="36" t="str">
        <f>IFERROR(INDEX(Product_Structure[Generic Name (long)],MATCH(Товары[[#This Row],[SubGroup]],Product_Structure[Subgroup],0)),"")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Row],[SubGroup]],DIY!$B:$C,2,FALSE),0)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3" t="str">
        <f>IFERROR(INDEX(Product_Structure[SuperCategory],MATCH(Товары[[#This Row],[SubGroup]],Product_Structure[Subgroup],0)),"")</f>
        <v>O</v>
      </c>
      <c r="D1424" s="113" t="str">
        <f>IFERROR(INDEX(Product_Structure[SuperCategory Name ENG],MATCH(Товары[[#This Row],[SubGroup]],Product_Structure[Subgroup],0)),"")</f>
        <v>Pumps (electric, battery) + spare parts</v>
      </c>
      <c r="E142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4" s="113" t="str">
        <f>IFERROR(INDEX(Product_Structure[Product group],MATCH(Товары[[#This Row],[SubGroup]],Product_Structure[Subgroup],0)),"")</f>
        <v>WPU_C</v>
      </c>
      <c r="G1424" s="113" t="str">
        <f>IFERROR(INDEX(Product_Structure[Product group name ENG],MATCH(Товары[[#This Row],[SubGroup]],Product_Structure[Subgroup],0)),"")</f>
        <v>Watering, Pumps</v>
      </c>
      <c r="H1424" s="113" t="str">
        <f>IFERROR(INDEX(Product_Structure[Generic Name (long)3],MATCH(Товары[[#This Row],[SubGroup]],Product_Structure[Subgroup],0)),"")</f>
        <v>Шланги технические</v>
      </c>
      <c r="I1424" s="36">
        <v>9117</v>
      </c>
      <c r="J1424" s="36" t="str">
        <f>IFERROR(INDEX(Product_Structure[Generic Name (long)],MATCH(Товары[[#This Row],[SubGroup]],Product_Structure[Subgroup],0)),"")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Row],[SubGroup]],DIY!$B:$C,2,FALSE),0)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3" t="str">
        <f>IFERROR(INDEX(Product_Structure[SuperCategory],MATCH(Товары[[#This Row],[SubGroup]],Product_Structure[Subgroup],0)),"")</f>
        <v>O</v>
      </c>
      <c r="D1425" s="113" t="str">
        <f>IFERROR(INDEX(Product_Structure[SuperCategory Name ENG],MATCH(Товары[[#This Row],[SubGroup]],Product_Structure[Subgroup],0)),"")</f>
        <v>Pumps (electric, battery) + spare parts</v>
      </c>
      <c r="E142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5" s="113" t="str">
        <f>IFERROR(INDEX(Product_Structure[Product group],MATCH(Товары[[#This Row],[SubGroup]],Product_Structure[Subgroup],0)),"")</f>
        <v>WPU_C</v>
      </c>
      <c r="G1425" s="113" t="str">
        <f>IFERROR(INDEX(Product_Structure[Product group name ENG],MATCH(Товары[[#This Row],[SubGroup]],Product_Structure[Subgroup],0)),"")</f>
        <v>Watering, Pumps</v>
      </c>
      <c r="H1425" s="113" t="str">
        <f>IFERROR(INDEX(Product_Structure[Generic Name (long)3],MATCH(Товары[[#This Row],[SubGroup]],Product_Structure[Subgroup],0)),"")</f>
        <v>Шланги технические</v>
      </c>
      <c r="I1425" s="36">
        <v>9117</v>
      </c>
      <c r="J1425" s="36" t="str">
        <f>IFERROR(INDEX(Product_Structure[Generic Name (long)],MATCH(Товары[[#This Row],[SubGroup]],Product_Structure[Subgroup],0)),"")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Row],[SubGroup]],DIY!$B:$C,2,FALSE),0)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3" t="str">
        <f>IFERROR(INDEX(Product_Structure[SuperCategory],MATCH(Товары[[#This Row],[SubGroup]],Product_Structure[Subgroup],0)),"")</f>
        <v>O</v>
      </c>
      <c r="D1426" s="113" t="str">
        <f>IFERROR(INDEX(Product_Structure[SuperCategory Name ENG],MATCH(Товары[[#This Row],[SubGroup]],Product_Structure[Subgroup],0)),"")</f>
        <v>Pumps (electric, battery) + spare parts</v>
      </c>
      <c r="E142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6" s="113" t="str">
        <f>IFERROR(INDEX(Product_Structure[Product group],MATCH(Товары[[#This Row],[SubGroup]],Product_Structure[Subgroup],0)),"")</f>
        <v>WPU_C</v>
      </c>
      <c r="G1426" s="113" t="str">
        <f>IFERROR(INDEX(Product_Structure[Product group name ENG],MATCH(Товары[[#This Row],[SubGroup]],Product_Structure[Subgroup],0)),"")</f>
        <v>Watering, Pumps</v>
      </c>
      <c r="H1426" s="113" t="str">
        <f>IFERROR(INDEX(Product_Structure[Generic Name (long)3],MATCH(Товары[[#This Row],[SubGroup]],Product_Structure[Subgroup],0)),"")</f>
        <v>Шланги технические</v>
      </c>
      <c r="I1426" s="36">
        <v>9117</v>
      </c>
      <c r="J1426" s="36" t="str">
        <f>IFERROR(INDEX(Product_Structure[Generic Name (long)],MATCH(Товары[[#This Row],[SubGroup]],Product_Structure[Subgroup],0)),"")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Row],[SubGroup]],DIY!$B:$C,2,FALSE),0)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3" t="str">
        <f>IFERROR(INDEX(Product_Structure[SuperCategory],MATCH(Товары[[#This Row],[SubGroup]],Product_Structure[Subgroup],0)),"")</f>
        <v>O</v>
      </c>
      <c r="D1427" s="113" t="str">
        <f>IFERROR(INDEX(Product_Structure[SuperCategory Name ENG],MATCH(Товары[[#This Row],[SubGroup]],Product_Structure[Subgroup],0)),"")</f>
        <v>Pumps (electric, battery) + spare parts</v>
      </c>
      <c r="E142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7" s="113" t="str">
        <f>IFERROR(INDEX(Product_Structure[Product group],MATCH(Товары[[#This Row],[SubGroup]],Product_Structure[Subgroup],0)),"")</f>
        <v>WPU_C</v>
      </c>
      <c r="G1427" s="113" t="str">
        <f>IFERROR(INDEX(Product_Structure[Product group name ENG],MATCH(Товары[[#This Row],[SubGroup]],Product_Structure[Subgroup],0)),"")</f>
        <v>Watering, Pumps</v>
      </c>
      <c r="H1427" s="113" t="str">
        <f>IFERROR(INDEX(Product_Structure[Generic Name (long)3],MATCH(Товары[[#This Row],[SubGroup]],Product_Structure[Subgroup],0)),"")</f>
        <v>Шланги технические</v>
      </c>
      <c r="I1427" s="36">
        <v>9117</v>
      </c>
      <c r="J1427" s="36" t="str">
        <f>IFERROR(INDEX(Product_Structure[Generic Name (long)],MATCH(Товары[[#This Row],[SubGroup]],Product_Structure[Subgroup],0)),"")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Row],[SubGroup]],DIY!$B:$C,2,FALSE),0)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3" t="str">
        <f>IFERROR(INDEX(Product_Structure[SuperCategory],MATCH(Товары[[#This Row],[SubGroup]],Product_Structure[Subgroup],0)),"")</f>
        <v>O</v>
      </c>
      <c r="D1428" s="113" t="str">
        <f>IFERROR(INDEX(Product_Structure[SuperCategory Name ENG],MATCH(Товары[[#This Row],[SubGroup]],Product_Structure[Subgroup],0)),"")</f>
        <v>Pumps (electric, battery) + spare parts</v>
      </c>
      <c r="E142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8" s="113" t="str">
        <f>IFERROR(INDEX(Product_Structure[Product group],MATCH(Товары[[#This Row],[SubGroup]],Product_Structure[Subgroup],0)),"")</f>
        <v>WPU_C</v>
      </c>
      <c r="G1428" s="113" t="str">
        <f>IFERROR(INDEX(Product_Structure[Product group name ENG],MATCH(Товары[[#This Row],[SubGroup]],Product_Structure[Subgroup],0)),"")</f>
        <v>Watering, Pumps</v>
      </c>
      <c r="H1428" s="113" t="str">
        <f>IFERROR(INDEX(Product_Structure[Generic Name (long)3],MATCH(Товары[[#This Row],[SubGroup]],Product_Structure[Subgroup],0)),"")</f>
        <v>Шланги технические</v>
      </c>
      <c r="I1428" s="36">
        <v>9117</v>
      </c>
      <c r="J1428" s="36" t="str">
        <f>IFERROR(INDEX(Product_Structure[Generic Name (long)],MATCH(Товары[[#This Row],[SubGroup]],Product_Structure[Subgroup],0)),"")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Row],[SubGroup]],DIY!$B:$C,2,FALSE),0)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3" t="str">
        <f>IFERROR(INDEX(Product_Structure[SuperCategory],MATCH(Товары[[#This Row],[SubGroup]],Product_Structure[Subgroup],0)),"")</f>
        <v>O</v>
      </c>
      <c r="D1429" s="113" t="str">
        <f>IFERROR(INDEX(Product_Structure[SuperCategory Name ENG],MATCH(Товары[[#This Row],[SubGroup]],Product_Structure[Subgroup],0)),"")</f>
        <v>Pumps (electric, battery) + spare parts</v>
      </c>
      <c r="E142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29" s="113" t="str">
        <f>IFERROR(INDEX(Product_Structure[Product group],MATCH(Товары[[#This Row],[SubGroup]],Product_Structure[Subgroup],0)),"")</f>
        <v>WPU_C</v>
      </c>
      <c r="G1429" s="113" t="str">
        <f>IFERROR(INDEX(Product_Structure[Product group name ENG],MATCH(Товары[[#This Row],[SubGroup]],Product_Structure[Subgroup],0)),"")</f>
        <v>Watering, Pumps</v>
      </c>
      <c r="H1429" s="113" t="str">
        <f>IFERROR(INDEX(Product_Structure[Generic Name (long)3],MATCH(Товары[[#This Row],[SubGroup]],Product_Structure[Subgroup],0)),"")</f>
        <v>Шланги технические</v>
      </c>
      <c r="I1429" s="36">
        <v>9117</v>
      </c>
      <c r="J1429" s="36" t="str">
        <f>IFERROR(INDEX(Product_Structure[Generic Name (long)],MATCH(Товары[[#This Row],[SubGroup]],Product_Structure[Subgroup],0)),"")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Row],[SubGroup]],DIY!$B:$C,2,FALSE),0)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3" t="str">
        <f>IFERROR(INDEX(Product_Structure[SuperCategory],MATCH(Товары[[#This Row],[SubGroup]],Product_Structure[Subgroup],0)),"")</f>
        <v>O</v>
      </c>
      <c r="D1430" s="113" t="str">
        <f>IFERROR(INDEX(Product_Structure[SuperCategory Name ENG],MATCH(Товары[[#This Row],[SubGroup]],Product_Structure[Subgroup],0)),"")</f>
        <v>Pumps (electric, battery) + spare parts</v>
      </c>
      <c r="E143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0" s="113" t="str">
        <f>IFERROR(INDEX(Product_Structure[Product group],MATCH(Товары[[#This Row],[SubGroup]],Product_Structure[Subgroup],0)),"")</f>
        <v>WPU_C</v>
      </c>
      <c r="G1430" s="113" t="str">
        <f>IFERROR(INDEX(Product_Structure[Product group name ENG],MATCH(Товары[[#This Row],[SubGroup]],Product_Structure[Subgroup],0)),"")</f>
        <v>Watering, Pumps</v>
      </c>
      <c r="H1430" s="113" t="str">
        <f>IFERROR(INDEX(Product_Structure[Generic Name (long)3],MATCH(Товары[[#This Row],[SubGroup]],Product_Structure[Subgroup],0)),"")</f>
        <v>Шланги технические</v>
      </c>
      <c r="I1430" s="36">
        <v>9117</v>
      </c>
      <c r="J1430" s="36" t="str">
        <f>IFERROR(INDEX(Product_Structure[Generic Name (long)],MATCH(Товары[[#This Row],[SubGroup]],Product_Structure[Subgroup],0)),"")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Row],[SubGroup]],DIY!$B:$C,2,FALSE),0)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3" t="str">
        <f>IFERROR(INDEX(Product_Structure[SuperCategory],MATCH(Товары[[#This Row],[SubGroup]],Product_Structure[Subgroup],0)),"")</f>
        <v>O</v>
      </c>
      <c r="D1431" s="113" t="str">
        <f>IFERROR(INDEX(Product_Structure[SuperCategory Name ENG],MATCH(Товары[[#This Row],[SubGroup]],Product_Structure[Subgroup],0)),"")</f>
        <v>Pumps (electric, battery) + spare parts</v>
      </c>
      <c r="E143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1" s="113" t="str">
        <f>IFERROR(INDEX(Product_Structure[Product group],MATCH(Товары[[#This Row],[SubGroup]],Product_Structure[Subgroup],0)),"")</f>
        <v>WPU_C</v>
      </c>
      <c r="G1431" s="113" t="str">
        <f>IFERROR(INDEX(Product_Structure[Product group name ENG],MATCH(Товары[[#This Row],[SubGroup]],Product_Structure[Subgroup],0)),"")</f>
        <v>Watering, Pumps</v>
      </c>
      <c r="H1431" s="113" t="str">
        <f>IFERROR(INDEX(Product_Structure[Generic Name (long)3],MATCH(Товары[[#This Row],[SubGroup]],Product_Structure[Subgroup],0)),"")</f>
        <v>Шланги технические</v>
      </c>
      <c r="I1431" s="36">
        <v>9117</v>
      </c>
      <c r="J1431" s="36" t="str">
        <f>IFERROR(INDEX(Product_Structure[Generic Name (long)],MATCH(Товары[[#This Row],[SubGroup]],Product_Structure[Subgroup],0)),"")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Row],[SubGroup]],DIY!$B:$C,2,FALSE),0)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3" t="str">
        <f>IFERROR(INDEX(Product_Structure[SuperCategory],MATCH(Товары[[#This Row],[SubGroup]],Product_Structure[Subgroup],0)),"")</f>
        <v>O</v>
      </c>
      <c r="D1432" s="113" t="str">
        <f>IFERROR(INDEX(Product_Structure[SuperCategory Name ENG],MATCH(Товары[[#This Row],[SubGroup]],Product_Structure[Subgroup],0)),"")</f>
        <v>Pumps (electric, battery) + spare parts</v>
      </c>
      <c r="E143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2" s="113" t="str">
        <f>IFERROR(INDEX(Product_Structure[Product group],MATCH(Товары[[#This Row],[SubGroup]],Product_Structure[Subgroup],0)),"")</f>
        <v>WPU_C</v>
      </c>
      <c r="G1432" s="113" t="str">
        <f>IFERROR(INDEX(Product_Structure[Product group name ENG],MATCH(Товары[[#This Row],[SubGroup]],Product_Structure[Subgroup],0)),"")</f>
        <v>Watering, Pumps</v>
      </c>
      <c r="H1432" s="113" t="str">
        <f>IFERROR(INDEX(Product_Structure[Generic Name (long)3],MATCH(Товары[[#This Row],[SubGroup]],Product_Structure[Subgroup],0)),"")</f>
        <v>Шланги технические</v>
      </c>
      <c r="I1432" s="36">
        <v>9117</v>
      </c>
      <c r="J1432" s="36" t="str">
        <f>IFERROR(INDEX(Product_Structure[Generic Name (long)],MATCH(Товары[[#This Row],[SubGroup]],Product_Structure[Subgroup],0)),"")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Row],[SubGroup]],DIY!$B:$C,2,FALSE),0)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3" t="str">
        <f>IFERROR(INDEX(Product_Structure[SuperCategory],MATCH(Товары[[#This Row],[SubGroup]],Product_Structure[Subgroup],0)),"")</f>
        <v>O</v>
      </c>
      <c r="D1433" s="113" t="str">
        <f>IFERROR(INDEX(Product_Structure[SuperCategory Name ENG],MATCH(Товары[[#This Row],[SubGroup]],Product_Structure[Subgroup],0)),"")</f>
        <v>Pumps (electric, battery) + spare parts</v>
      </c>
      <c r="E143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3" s="113" t="str">
        <f>IFERROR(INDEX(Product_Structure[Product group],MATCH(Товары[[#This Row],[SubGroup]],Product_Structure[Subgroup],0)),"")</f>
        <v>WPU_C</v>
      </c>
      <c r="G1433" s="113" t="str">
        <f>IFERROR(INDEX(Product_Structure[Product group name ENG],MATCH(Товары[[#This Row],[SubGroup]],Product_Structure[Subgroup],0)),"")</f>
        <v>Watering, Pumps</v>
      </c>
      <c r="H1433" s="113" t="str">
        <f>IFERROR(INDEX(Product_Structure[Generic Name (long)3],MATCH(Товары[[#This Row],[SubGroup]],Product_Structure[Subgroup],0)),"")</f>
        <v>Шланги технические</v>
      </c>
      <c r="I1433" s="36">
        <v>9117</v>
      </c>
      <c r="J1433" s="36" t="str">
        <f>IFERROR(INDEX(Product_Structure[Generic Name (long)],MATCH(Товары[[#This Row],[SubGroup]],Product_Structure[Subgroup],0)),"")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Row],[SubGroup]],DIY!$B:$C,2,FALSE),0)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3" t="str">
        <f>IFERROR(INDEX(Product_Structure[SuperCategory],MATCH(Товары[[#This Row],[SubGroup]],Product_Structure[Subgroup],0)),"")</f>
        <v>O</v>
      </c>
      <c r="D1434" s="113" t="str">
        <f>IFERROR(INDEX(Product_Structure[SuperCategory Name ENG],MATCH(Товары[[#This Row],[SubGroup]],Product_Structure[Subgroup],0)),"")</f>
        <v>Pumps (electric, battery) + spare parts</v>
      </c>
      <c r="E143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4" s="113" t="str">
        <f>IFERROR(INDEX(Product_Structure[Product group],MATCH(Товары[[#This Row],[SubGroup]],Product_Structure[Subgroup],0)),"")</f>
        <v>WPU_C</v>
      </c>
      <c r="G1434" s="113" t="str">
        <f>IFERROR(INDEX(Product_Structure[Product group name ENG],MATCH(Товары[[#This Row],[SubGroup]],Product_Structure[Subgroup],0)),"")</f>
        <v>Watering, Pumps</v>
      </c>
      <c r="H1434" s="113" t="str">
        <f>IFERROR(INDEX(Product_Structure[Generic Name (long)3],MATCH(Товары[[#This Row],[SubGroup]],Product_Structure[Subgroup],0)),"")</f>
        <v>Шланги технические</v>
      </c>
      <c r="I1434" s="36">
        <v>9117</v>
      </c>
      <c r="J1434" s="36" t="str">
        <f>IFERROR(INDEX(Product_Structure[Generic Name (long)],MATCH(Товары[[#This Row],[SubGroup]],Product_Structure[Subgroup],0)),"")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Row],[SubGroup]],DIY!$B:$C,2,FALSE),0)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3" t="str">
        <f>IFERROR(INDEX(Product_Structure[SuperCategory],MATCH(Товары[[#This Row],[SubGroup]],Product_Structure[Subgroup],0)),"")</f>
        <v>O</v>
      </c>
      <c r="D1435" s="113" t="str">
        <f>IFERROR(INDEX(Product_Structure[SuperCategory Name ENG],MATCH(Товары[[#This Row],[SubGroup]],Product_Structure[Subgroup],0)),"")</f>
        <v>Pumps (electric, battery) + spare parts</v>
      </c>
      <c r="E143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5" s="113" t="str">
        <f>IFERROR(INDEX(Product_Structure[Product group],MATCH(Товары[[#This Row],[SubGroup]],Product_Structure[Subgroup],0)),"")</f>
        <v>WPU_C</v>
      </c>
      <c r="G1435" s="113" t="str">
        <f>IFERROR(INDEX(Product_Structure[Product group name ENG],MATCH(Товары[[#This Row],[SubGroup]],Product_Structure[Subgroup],0)),"")</f>
        <v>Watering, Pumps</v>
      </c>
      <c r="H1435" s="113" t="str">
        <f>IFERROR(INDEX(Product_Structure[Generic Name (long)3],MATCH(Товары[[#This Row],[SubGroup]],Product_Structure[Subgroup],0)),"")</f>
        <v>Шланги технические</v>
      </c>
      <c r="I1435" s="36">
        <v>9117</v>
      </c>
      <c r="J1435" s="36" t="str">
        <f>IFERROR(INDEX(Product_Structure[Generic Name (long)],MATCH(Товары[[#This Row],[SubGroup]],Product_Structure[Subgroup],0)),"")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Row],[SubGroup]],DIY!$B:$C,2,FALSE),0)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3" t="str">
        <f>IFERROR(INDEX(Product_Structure[SuperCategory],MATCH(Товары[[#This Row],[SubGroup]],Product_Structure[Subgroup],0)),"")</f>
        <v>O</v>
      </c>
      <c r="D1436" s="113" t="str">
        <f>IFERROR(INDEX(Product_Structure[SuperCategory Name ENG],MATCH(Товары[[#This Row],[SubGroup]],Product_Structure[Subgroup],0)),"")</f>
        <v>Pumps (electric, battery) + spare parts</v>
      </c>
      <c r="E143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6" s="113" t="str">
        <f>IFERROR(INDEX(Product_Structure[Product group],MATCH(Товары[[#This Row],[SubGroup]],Product_Structure[Subgroup],0)),"")</f>
        <v>WPU_C</v>
      </c>
      <c r="G1436" s="113" t="str">
        <f>IFERROR(INDEX(Product_Structure[Product group name ENG],MATCH(Товары[[#This Row],[SubGroup]],Product_Structure[Subgroup],0)),"")</f>
        <v>Watering, Pumps</v>
      </c>
      <c r="H1436" s="113" t="str">
        <f>IFERROR(INDEX(Product_Structure[Generic Name (long)3],MATCH(Товары[[#This Row],[SubGroup]],Product_Structure[Subgroup],0)),"")</f>
        <v>Шланги технические</v>
      </c>
      <c r="I1436" s="36">
        <v>9117</v>
      </c>
      <c r="J1436" s="36" t="str">
        <f>IFERROR(INDEX(Product_Structure[Generic Name (long)],MATCH(Товары[[#This Row],[SubGroup]],Product_Structure[Subgroup],0)),"")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Row],[SubGroup]],DIY!$B:$C,2,FALSE),0)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3" t="str">
        <f>IFERROR(INDEX(Product_Structure[SuperCategory],MATCH(Товары[[#This Row],[SubGroup]],Product_Structure[Subgroup],0)),"")</f>
        <v>O</v>
      </c>
      <c r="D1437" s="113" t="str">
        <f>IFERROR(INDEX(Product_Structure[SuperCategory Name ENG],MATCH(Товары[[#This Row],[SubGroup]],Product_Structure[Subgroup],0)),"")</f>
        <v>Pumps (electric, battery) + spare parts</v>
      </c>
      <c r="E143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7" s="113" t="str">
        <f>IFERROR(INDEX(Product_Structure[Product group],MATCH(Товары[[#This Row],[SubGroup]],Product_Structure[Subgroup],0)),"")</f>
        <v>WPU_C</v>
      </c>
      <c r="G1437" s="113" t="str">
        <f>IFERROR(INDEX(Product_Structure[Product group name ENG],MATCH(Товары[[#This Row],[SubGroup]],Product_Structure[Subgroup],0)),"")</f>
        <v>Watering, Pumps</v>
      </c>
      <c r="H1437" s="113" t="str">
        <f>IFERROR(INDEX(Product_Structure[Generic Name (long)3],MATCH(Товары[[#This Row],[SubGroup]],Product_Structure[Subgroup],0)),"")</f>
        <v>Шланги технические</v>
      </c>
      <c r="I1437" s="36">
        <v>9117</v>
      </c>
      <c r="J1437" s="36" t="str">
        <f>IFERROR(INDEX(Product_Structure[Generic Name (long)],MATCH(Товары[[#This Row],[SubGroup]],Product_Structure[Subgroup],0)),"")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Row],[SubGroup]],DIY!$B:$C,2,FALSE),0)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3" t="str">
        <f>IFERROR(INDEX(Product_Structure[SuperCategory],MATCH(Товары[[#This Row],[SubGroup]],Product_Structure[Subgroup],0)),"")</f>
        <v>O</v>
      </c>
      <c r="D1438" s="113" t="str">
        <f>IFERROR(INDEX(Product_Structure[SuperCategory Name ENG],MATCH(Товары[[#This Row],[SubGroup]],Product_Structure[Subgroup],0)),"")</f>
        <v>Pumps (electric, battery) + spare parts</v>
      </c>
      <c r="E143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8" s="113" t="str">
        <f>IFERROR(INDEX(Product_Structure[Product group],MATCH(Товары[[#This Row],[SubGroup]],Product_Structure[Subgroup],0)),"")</f>
        <v>WPU_C</v>
      </c>
      <c r="G1438" s="113" t="str">
        <f>IFERROR(INDEX(Product_Structure[Product group name ENG],MATCH(Товары[[#This Row],[SubGroup]],Product_Structure[Subgroup],0)),"")</f>
        <v>Watering, Pumps</v>
      </c>
      <c r="H1438" s="113" t="str">
        <f>IFERROR(INDEX(Product_Structure[Generic Name (long)3],MATCH(Товары[[#This Row],[SubGroup]],Product_Structure[Subgroup],0)),"")</f>
        <v>Шланги технические</v>
      </c>
      <c r="I1438" s="36">
        <v>9117</v>
      </c>
      <c r="J1438" s="36" t="str">
        <f>IFERROR(INDEX(Product_Structure[Generic Name (long)],MATCH(Товары[[#This Row],[SubGroup]],Product_Structure[Subgroup],0)),"")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Row],[SubGroup]],DIY!$B:$C,2,FALSE),0)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3" t="str">
        <f>IFERROR(INDEX(Product_Structure[SuperCategory],MATCH(Товары[[#This Row],[SubGroup]],Product_Structure[Subgroup],0)),"")</f>
        <v>O</v>
      </c>
      <c r="D1439" s="113" t="str">
        <f>IFERROR(INDEX(Product_Structure[SuperCategory Name ENG],MATCH(Товары[[#This Row],[SubGroup]],Product_Structure[Subgroup],0)),"")</f>
        <v>Pumps (electric, battery) + spare parts</v>
      </c>
      <c r="E143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39" s="113" t="str">
        <f>IFERROR(INDEX(Product_Structure[Product group],MATCH(Товары[[#This Row],[SubGroup]],Product_Structure[Subgroup],0)),"")</f>
        <v>WPU_C</v>
      </c>
      <c r="G1439" s="113" t="str">
        <f>IFERROR(INDEX(Product_Structure[Product group name ENG],MATCH(Товары[[#This Row],[SubGroup]],Product_Structure[Subgroup],0)),"")</f>
        <v>Watering, Pumps</v>
      </c>
      <c r="H1439" s="113" t="str">
        <f>IFERROR(INDEX(Product_Structure[Generic Name (long)3],MATCH(Товары[[#This Row],[SubGroup]],Product_Structure[Subgroup],0)),"")</f>
        <v>Шланги технические</v>
      </c>
      <c r="I1439" s="36">
        <v>9117</v>
      </c>
      <c r="J1439" s="36" t="str">
        <f>IFERROR(INDEX(Product_Structure[Generic Name (long)],MATCH(Товары[[#This Row],[SubGroup]],Product_Structure[Subgroup],0)),"")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Row],[SubGroup]],DIY!$B:$C,2,FALSE),0)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3" t="str">
        <f>IFERROR(INDEX(Product_Structure[SuperCategory],MATCH(Товары[[#This Row],[SubGroup]],Product_Structure[Subgroup],0)),"")</f>
        <v>O</v>
      </c>
      <c r="D1440" s="113" t="str">
        <f>IFERROR(INDEX(Product_Structure[SuperCategory Name ENG],MATCH(Товары[[#This Row],[SubGroup]],Product_Structure[Subgroup],0)),"")</f>
        <v>Pumps (electric, battery) + spare parts</v>
      </c>
      <c r="E144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0" s="113" t="str">
        <f>IFERROR(INDEX(Product_Structure[Product group],MATCH(Товары[[#This Row],[SubGroup]],Product_Structure[Subgroup],0)),"")</f>
        <v>WPU_C</v>
      </c>
      <c r="G1440" s="113" t="str">
        <f>IFERROR(INDEX(Product_Structure[Product group name ENG],MATCH(Товары[[#This Row],[SubGroup]],Product_Structure[Subgroup],0)),"")</f>
        <v>Watering, Pumps</v>
      </c>
      <c r="H1440" s="113" t="str">
        <f>IFERROR(INDEX(Product_Structure[Generic Name (long)3],MATCH(Товары[[#This Row],[SubGroup]],Product_Structure[Subgroup],0)),"")</f>
        <v>Шланги технические</v>
      </c>
      <c r="I1440" s="36">
        <v>9117</v>
      </c>
      <c r="J1440" s="36" t="str">
        <f>IFERROR(INDEX(Product_Structure[Generic Name (long)],MATCH(Товары[[#This Row],[SubGroup]],Product_Structure[Subgroup],0)),"")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Row],[SubGroup]],DIY!$B:$C,2,FALSE),0)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3" t="str">
        <f>IFERROR(INDEX(Product_Structure[SuperCategory],MATCH(Товары[[#This Row],[SubGroup]],Product_Structure[Subgroup],0)),"")</f>
        <v>O</v>
      </c>
      <c r="D1441" s="113" t="str">
        <f>IFERROR(INDEX(Product_Structure[SuperCategory Name ENG],MATCH(Товары[[#This Row],[SubGroup]],Product_Structure[Subgroup],0)),"")</f>
        <v>Pumps (electric, battery) + spare parts</v>
      </c>
      <c r="E144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1" s="113" t="str">
        <f>IFERROR(INDEX(Product_Structure[Product group],MATCH(Товары[[#This Row],[SubGroup]],Product_Structure[Subgroup],0)),"")</f>
        <v>WPU_C</v>
      </c>
      <c r="G1441" s="113" t="str">
        <f>IFERROR(INDEX(Product_Structure[Product group name ENG],MATCH(Товары[[#This Row],[SubGroup]],Product_Structure[Subgroup],0)),"")</f>
        <v>Watering, Pumps</v>
      </c>
      <c r="H1441" s="113" t="str">
        <f>IFERROR(INDEX(Product_Structure[Generic Name (long)3],MATCH(Товары[[#This Row],[SubGroup]],Product_Structure[Subgroup],0)),"")</f>
        <v>Шланги технические</v>
      </c>
      <c r="I1441" s="36">
        <v>9117</v>
      </c>
      <c r="J1441" s="36" t="str">
        <f>IFERROR(INDEX(Product_Structure[Generic Name (long)],MATCH(Товары[[#This Row],[SubGroup]],Product_Structure[Subgroup],0)),"")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Row],[SubGroup]],DIY!$B:$C,2,FALSE),0)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3" t="str">
        <f>IFERROR(INDEX(Product_Structure[SuperCategory],MATCH(Товары[[#This Row],[SubGroup]],Product_Structure[Subgroup],0)),"")</f>
        <v>O</v>
      </c>
      <c r="D1442" s="113" t="str">
        <f>IFERROR(INDEX(Product_Structure[SuperCategory Name ENG],MATCH(Товары[[#This Row],[SubGroup]],Product_Structure[Subgroup],0)),"")</f>
        <v>Pumps (electric, battery) + spare parts</v>
      </c>
      <c r="E144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2" s="113" t="str">
        <f>IFERROR(INDEX(Product_Structure[Product group],MATCH(Товары[[#This Row],[SubGroup]],Product_Structure[Subgroup],0)),"")</f>
        <v>WPU_C</v>
      </c>
      <c r="G1442" s="113" t="str">
        <f>IFERROR(INDEX(Product_Structure[Product group name ENG],MATCH(Товары[[#This Row],[SubGroup]],Product_Structure[Subgroup],0)),"")</f>
        <v>Watering, Pumps</v>
      </c>
      <c r="H1442" s="113" t="str">
        <f>IFERROR(INDEX(Product_Structure[Generic Name (long)3],MATCH(Товары[[#This Row],[SubGroup]],Product_Structure[Subgroup],0)),"")</f>
        <v>Шланги технические</v>
      </c>
      <c r="I1442" s="36">
        <v>9117</v>
      </c>
      <c r="J1442" s="36" t="str">
        <f>IFERROR(INDEX(Product_Structure[Generic Name (long)],MATCH(Товары[[#This Row],[SubGroup]],Product_Structure[Subgroup],0)),"")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Row],[SubGroup]],DIY!$B:$C,2,FALSE),0)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3" t="str">
        <f>IFERROR(INDEX(Product_Structure[SuperCategory],MATCH(Товары[[#This Row],[SubGroup]],Product_Structure[Subgroup],0)),"")</f>
        <v>O</v>
      </c>
      <c r="D1443" s="113" t="str">
        <f>IFERROR(INDEX(Product_Structure[SuperCategory Name ENG],MATCH(Товары[[#This Row],[SubGroup]],Product_Structure[Subgroup],0)),"")</f>
        <v>Pumps (electric, battery) + spare parts</v>
      </c>
      <c r="E144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3" s="113" t="str">
        <f>IFERROR(INDEX(Product_Structure[Product group],MATCH(Товары[[#This Row],[SubGroup]],Product_Structure[Subgroup],0)),"")</f>
        <v>WPU_C</v>
      </c>
      <c r="G1443" s="113" t="str">
        <f>IFERROR(INDEX(Product_Structure[Product group name ENG],MATCH(Товары[[#This Row],[SubGroup]],Product_Structure[Subgroup],0)),"")</f>
        <v>Watering, Pumps</v>
      </c>
      <c r="H1443" s="113" t="str">
        <f>IFERROR(INDEX(Product_Structure[Generic Name (long)3],MATCH(Товары[[#This Row],[SubGroup]],Product_Structure[Subgroup],0)),"")</f>
        <v>Шланги технические</v>
      </c>
      <c r="I1443" s="36">
        <v>9117</v>
      </c>
      <c r="J1443" s="36" t="str">
        <f>IFERROR(INDEX(Product_Structure[Generic Name (long)],MATCH(Товары[[#This Row],[SubGroup]],Product_Structure[Subgroup],0)),"")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Row],[SubGroup]],DIY!$B:$C,2,FALSE),0)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3" t="str">
        <f>IFERROR(INDEX(Product_Structure[SuperCategory],MATCH(Товары[[#This Row],[SubGroup]],Product_Structure[Subgroup],0)),"")</f>
        <v>O</v>
      </c>
      <c r="D1444" s="113" t="str">
        <f>IFERROR(INDEX(Product_Structure[SuperCategory Name ENG],MATCH(Товары[[#This Row],[SubGroup]],Product_Structure[Subgroup],0)),"")</f>
        <v>Pumps (electric, battery) + spare parts</v>
      </c>
      <c r="E144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4" s="113" t="str">
        <f>IFERROR(INDEX(Product_Structure[Product group],MATCH(Товары[[#This Row],[SubGroup]],Product_Structure[Subgroup],0)),"")</f>
        <v>WPU_C</v>
      </c>
      <c r="G1444" s="113" t="str">
        <f>IFERROR(INDEX(Product_Structure[Product group name ENG],MATCH(Товары[[#This Row],[SubGroup]],Product_Structure[Subgroup],0)),"")</f>
        <v>Watering, Pumps</v>
      </c>
      <c r="H1444" s="113" t="str">
        <f>IFERROR(INDEX(Product_Structure[Generic Name (long)3],MATCH(Товары[[#This Row],[SubGroup]],Product_Structure[Subgroup],0)),"")</f>
        <v>Шланги технические</v>
      </c>
      <c r="I1444" s="36">
        <v>9117</v>
      </c>
      <c r="J1444" s="36" t="str">
        <f>IFERROR(INDEX(Product_Structure[Generic Name (long)],MATCH(Товары[[#This Row],[SubGroup]],Product_Structure[Subgroup],0)),"")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Row],[SubGroup]],DIY!$B:$C,2,FALSE),0)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3" t="str">
        <f>IFERROR(INDEX(Product_Structure[SuperCategory],MATCH(Товары[[#This Row],[SubGroup]],Product_Structure[Subgroup],0)),"")</f>
        <v>O</v>
      </c>
      <c r="D1445" s="113" t="str">
        <f>IFERROR(INDEX(Product_Structure[SuperCategory Name ENG],MATCH(Товары[[#This Row],[SubGroup]],Product_Structure[Subgroup],0)),"")</f>
        <v>Pumps (electric, battery) + spare parts</v>
      </c>
      <c r="E144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5" s="113" t="str">
        <f>IFERROR(INDEX(Product_Structure[Product group],MATCH(Товары[[#This Row],[SubGroup]],Product_Structure[Subgroup],0)),"")</f>
        <v>WPU_C</v>
      </c>
      <c r="G1445" s="113" t="str">
        <f>IFERROR(INDEX(Product_Structure[Product group name ENG],MATCH(Товары[[#This Row],[SubGroup]],Product_Structure[Subgroup],0)),"")</f>
        <v>Watering, Pumps</v>
      </c>
      <c r="H1445" s="113" t="str">
        <f>IFERROR(INDEX(Product_Structure[Generic Name (long)3],MATCH(Товары[[#This Row],[SubGroup]],Product_Structure[Subgroup],0)),"")</f>
        <v>Шланги технические</v>
      </c>
      <c r="I1445" s="36">
        <v>9117</v>
      </c>
      <c r="J1445" s="36" t="str">
        <f>IFERROR(INDEX(Product_Structure[Generic Name (long)],MATCH(Товары[[#This Row],[SubGroup]],Product_Structure[Subgroup],0)),"")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Row],[SubGroup]],DIY!$B:$C,2,FALSE),0)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3" t="str">
        <f>IFERROR(INDEX(Product_Structure[SuperCategory],MATCH(Товары[[#This Row],[SubGroup]],Product_Structure[Subgroup],0)),"")</f>
        <v>O</v>
      </c>
      <c r="D1446" s="113" t="str">
        <f>IFERROR(INDEX(Product_Structure[SuperCategory Name ENG],MATCH(Товары[[#This Row],[SubGroup]],Product_Structure[Subgroup],0)),"")</f>
        <v>Pumps (electric, battery) + spare parts</v>
      </c>
      <c r="E144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6" s="113" t="str">
        <f>IFERROR(INDEX(Product_Structure[Product group],MATCH(Товары[[#This Row],[SubGroup]],Product_Structure[Subgroup],0)),"")</f>
        <v>WPU_C</v>
      </c>
      <c r="G1446" s="113" t="str">
        <f>IFERROR(INDEX(Product_Structure[Product group name ENG],MATCH(Товары[[#This Row],[SubGroup]],Product_Structure[Subgroup],0)),"")</f>
        <v>Watering, Pumps</v>
      </c>
      <c r="H1446" s="113" t="str">
        <f>IFERROR(INDEX(Product_Structure[Generic Name (long)3],MATCH(Товары[[#This Row],[SubGroup]],Product_Structure[Subgroup],0)),"")</f>
        <v>Шланги технические</v>
      </c>
      <c r="I1446" s="36">
        <v>9117</v>
      </c>
      <c r="J1446" s="36" t="str">
        <f>IFERROR(INDEX(Product_Structure[Generic Name (long)],MATCH(Товары[[#This Row],[SubGroup]],Product_Structure[Subgroup],0)),"")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Row],[SubGroup]],DIY!$B:$C,2,FALSE),0)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3" t="str">
        <f>IFERROR(INDEX(Product_Structure[SuperCategory],MATCH(Товары[[#This Row],[SubGroup]],Product_Structure[Subgroup],0)),"")</f>
        <v>O</v>
      </c>
      <c r="D1447" s="113" t="str">
        <f>IFERROR(INDEX(Product_Structure[SuperCategory Name ENG],MATCH(Товары[[#This Row],[SubGroup]],Product_Structure[Subgroup],0)),"")</f>
        <v>Pumps (electric, battery) + spare parts</v>
      </c>
      <c r="E144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7" s="113" t="str">
        <f>IFERROR(INDEX(Product_Structure[Product group],MATCH(Товары[[#This Row],[SubGroup]],Product_Structure[Subgroup],0)),"")</f>
        <v>WPU_C</v>
      </c>
      <c r="G1447" s="113" t="str">
        <f>IFERROR(INDEX(Product_Structure[Product group name ENG],MATCH(Товары[[#This Row],[SubGroup]],Product_Structure[Subgroup],0)),"")</f>
        <v>Watering, Pumps</v>
      </c>
      <c r="H1447" s="113" t="str">
        <f>IFERROR(INDEX(Product_Structure[Generic Name (long)3],MATCH(Товары[[#This Row],[SubGroup]],Product_Structure[Subgroup],0)),"")</f>
        <v>Шланги технические</v>
      </c>
      <c r="I1447" s="36">
        <v>9117</v>
      </c>
      <c r="J1447" s="36" t="str">
        <f>IFERROR(INDEX(Product_Structure[Generic Name (long)],MATCH(Товары[[#This Row],[SubGroup]],Product_Structure[Subgroup],0)),"")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Row],[SubGroup]],DIY!$B:$C,2,FALSE),0)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3" t="str">
        <f>IFERROR(INDEX(Product_Structure[SuperCategory],MATCH(Товары[[#This Row],[SubGroup]],Product_Structure[Subgroup],0)),"")</f>
        <v>O</v>
      </c>
      <c r="D1448" s="113" t="str">
        <f>IFERROR(INDEX(Product_Structure[SuperCategory Name ENG],MATCH(Товары[[#This Row],[SubGroup]],Product_Structure[Subgroup],0)),"")</f>
        <v>Pumps (electric, battery) + spare parts</v>
      </c>
      <c r="E144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8" s="113" t="str">
        <f>IFERROR(INDEX(Product_Structure[Product group],MATCH(Товары[[#This Row],[SubGroup]],Product_Structure[Subgroup],0)),"")</f>
        <v>WPU_C</v>
      </c>
      <c r="G1448" s="113" t="str">
        <f>IFERROR(INDEX(Product_Structure[Product group name ENG],MATCH(Товары[[#This Row],[SubGroup]],Product_Structure[Subgroup],0)),"")</f>
        <v>Watering, Pumps</v>
      </c>
      <c r="H1448" s="113" t="str">
        <f>IFERROR(INDEX(Product_Structure[Generic Name (long)3],MATCH(Товары[[#This Row],[SubGroup]],Product_Structure[Subgroup],0)),"")</f>
        <v>Шланги технические</v>
      </c>
      <c r="I1448" s="36">
        <v>9117</v>
      </c>
      <c r="J1448" s="36" t="str">
        <f>IFERROR(INDEX(Product_Structure[Generic Name (long)],MATCH(Товары[[#This Row],[SubGroup]],Product_Structure[Subgroup],0)),"")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Row],[SubGroup]],DIY!$B:$C,2,FALSE),0)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3" t="str">
        <f>IFERROR(INDEX(Product_Structure[SuperCategory],MATCH(Товары[[#This Row],[SubGroup]],Product_Structure[Subgroup],0)),"")</f>
        <v>O</v>
      </c>
      <c r="D1449" s="113" t="str">
        <f>IFERROR(INDEX(Product_Structure[SuperCategory Name ENG],MATCH(Товары[[#This Row],[SubGroup]],Product_Structure[Subgroup],0)),"")</f>
        <v>Pumps (electric, battery) + spare parts</v>
      </c>
      <c r="E144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49" s="113" t="str">
        <f>IFERROR(INDEX(Product_Structure[Product group],MATCH(Товары[[#This Row],[SubGroup]],Product_Structure[Subgroup],0)),"")</f>
        <v>WPU_C</v>
      </c>
      <c r="G1449" s="113" t="str">
        <f>IFERROR(INDEX(Product_Structure[Product group name ENG],MATCH(Товары[[#This Row],[SubGroup]],Product_Structure[Subgroup],0)),"")</f>
        <v>Watering, Pumps</v>
      </c>
      <c r="H1449" s="113" t="str">
        <f>IFERROR(INDEX(Product_Structure[Generic Name (long)3],MATCH(Товары[[#This Row],[SubGroup]],Product_Structure[Subgroup],0)),"")</f>
        <v>Шланги технические</v>
      </c>
      <c r="I1449" s="36">
        <v>9117</v>
      </c>
      <c r="J1449" s="36" t="str">
        <f>IFERROR(INDEX(Product_Structure[Generic Name (long)],MATCH(Товары[[#This Row],[SubGroup]],Product_Structure[Subgroup],0)),"")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Row],[SubGroup]],DIY!$B:$C,2,FALSE),0)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3" t="str">
        <f>IFERROR(INDEX(Product_Structure[SuperCategory],MATCH(Товары[[#This Row],[SubGroup]],Product_Structure[Subgroup],0)),"")</f>
        <v>O</v>
      </c>
      <c r="D1450" s="113" t="str">
        <f>IFERROR(INDEX(Product_Structure[SuperCategory Name ENG],MATCH(Товары[[#This Row],[SubGroup]],Product_Structure[Subgroup],0)),"")</f>
        <v>Pumps (electric, battery) + spare parts</v>
      </c>
      <c r="E145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0" s="113" t="str">
        <f>IFERROR(INDEX(Product_Structure[Product group],MATCH(Товары[[#This Row],[SubGroup]],Product_Structure[Subgroup],0)),"")</f>
        <v>WPU_C</v>
      </c>
      <c r="G1450" s="113" t="str">
        <f>IFERROR(INDEX(Product_Structure[Product group name ENG],MATCH(Товары[[#This Row],[SubGroup]],Product_Structure[Subgroup],0)),"")</f>
        <v>Watering, Pumps</v>
      </c>
      <c r="H1450" s="113" t="str">
        <f>IFERROR(INDEX(Product_Structure[Generic Name (long)3],MATCH(Товары[[#This Row],[SubGroup]],Product_Structure[Subgroup],0)),"")</f>
        <v>Шланги технические</v>
      </c>
      <c r="I1450" s="36">
        <v>9117</v>
      </c>
      <c r="J1450" s="36" t="str">
        <f>IFERROR(INDEX(Product_Structure[Generic Name (long)],MATCH(Товары[[#This Row],[SubGroup]],Product_Structure[Subgroup],0)),"")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Row],[SubGroup]],DIY!$B:$C,2,FALSE),0)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3" t="str">
        <f>IFERROR(INDEX(Product_Structure[SuperCategory],MATCH(Товары[[#This Row],[SubGroup]],Product_Structure[Subgroup],0)),"")</f>
        <v>O</v>
      </c>
      <c r="D1451" s="113" t="str">
        <f>IFERROR(INDEX(Product_Structure[SuperCategory Name ENG],MATCH(Товары[[#This Row],[SubGroup]],Product_Structure[Subgroup],0)),"")</f>
        <v>Pumps (electric, battery) + spare parts</v>
      </c>
      <c r="E145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1" s="113" t="str">
        <f>IFERROR(INDEX(Product_Structure[Product group],MATCH(Товары[[#This Row],[SubGroup]],Product_Structure[Subgroup],0)),"")</f>
        <v>WPU_C</v>
      </c>
      <c r="G1451" s="113" t="str">
        <f>IFERROR(INDEX(Product_Structure[Product group name ENG],MATCH(Товары[[#This Row],[SubGroup]],Product_Structure[Subgroup],0)),"")</f>
        <v>Watering, Pumps</v>
      </c>
      <c r="H1451" s="113" t="str">
        <f>IFERROR(INDEX(Product_Structure[Generic Name (long)3],MATCH(Товары[[#This Row],[SubGroup]],Product_Structure[Subgroup],0)),"")</f>
        <v>Шланги технические</v>
      </c>
      <c r="I1451" s="36">
        <v>9117</v>
      </c>
      <c r="J1451" s="36" t="str">
        <f>IFERROR(INDEX(Product_Structure[Generic Name (long)],MATCH(Товары[[#This Row],[SubGroup]],Product_Structure[Subgroup],0)),"")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Row],[SubGroup]],DIY!$B:$C,2,FALSE),0)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3" t="str">
        <f>IFERROR(INDEX(Product_Structure[SuperCategory],MATCH(Товары[[#This Row],[SubGroup]],Product_Structure[Subgroup],0)),"")</f>
        <v>O</v>
      </c>
      <c r="D1452" s="113" t="str">
        <f>IFERROR(INDEX(Product_Structure[SuperCategory Name ENG],MATCH(Товары[[#This Row],[SubGroup]],Product_Structure[Subgroup],0)),"")</f>
        <v>Pumps (electric, battery) + spare parts</v>
      </c>
      <c r="E145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2" s="113" t="str">
        <f>IFERROR(INDEX(Product_Structure[Product group],MATCH(Товары[[#This Row],[SubGroup]],Product_Structure[Subgroup],0)),"")</f>
        <v>WPU_C</v>
      </c>
      <c r="G1452" s="113" t="str">
        <f>IFERROR(INDEX(Product_Structure[Product group name ENG],MATCH(Товары[[#This Row],[SubGroup]],Product_Structure[Subgroup],0)),"")</f>
        <v>Watering, Pumps</v>
      </c>
      <c r="H1452" s="113" t="str">
        <f>IFERROR(INDEX(Product_Structure[Generic Name (long)3],MATCH(Товары[[#This Row],[SubGroup]],Product_Structure[Subgroup],0)),"")</f>
        <v>Шланги технические</v>
      </c>
      <c r="I1452" s="36">
        <v>9117</v>
      </c>
      <c r="J1452" s="36" t="str">
        <f>IFERROR(INDEX(Product_Structure[Generic Name (long)],MATCH(Товары[[#This Row],[SubGroup]],Product_Structure[Subgroup],0)),"")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Row],[SubGroup]],DIY!$B:$C,2,FALSE),0)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3" t="str">
        <f>IFERROR(INDEX(Product_Structure[SuperCategory],MATCH(Товары[[#This Row],[SubGroup]],Product_Structure[Subgroup],0)),"")</f>
        <v>O</v>
      </c>
      <c r="D1453" s="113" t="str">
        <f>IFERROR(INDEX(Product_Structure[SuperCategory Name ENG],MATCH(Товары[[#This Row],[SubGroup]],Product_Structure[Subgroup],0)),"")</f>
        <v>Pumps (electric, battery) + spare parts</v>
      </c>
      <c r="E145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3" s="113" t="str">
        <f>IFERROR(INDEX(Product_Structure[Product group],MATCH(Товары[[#This Row],[SubGroup]],Product_Structure[Subgroup],0)),"")</f>
        <v>WPU_C</v>
      </c>
      <c r="G1453" s="113" t="str">
        <f>IFERROR(INDEX(Product_Structure[Product group name ENG],MATCH(Товары[[#This Row],[SubGroup]],Product_Structure[Subgroup],0)),"")</f>
        <v>Watering, Pumps</v>
      </c>
      <c r="H1453" s="113" t="str">
        <f>IFERROR(INDEX(Product_Structure[Generic Name (long)3],MATCH(Товары[[#This Row],[SubGroup]],Product_Structure[Subgroup],0)),"")</f>
        <v>Шланги технические</v>
      </c>
      <c r="I1453" s="36">
        <v>9117</v>
      </c>
      <c r="J1453" s="36" t="str">
        <f>IFERROR(INDEX(Product_Structure[Generic Name (long)],MATCH(Товары[[#This Row],[SubGroup]],Product_Structure[Subgroup],0)),"")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Row],[SubGroup]],DIY!$B:$C,2,FALSE),0)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3" t="str">
        <f>IFERROR(INDEX(Product_Structure[SuperCategory],MATCH(Товары[[#This Row],[SubGroup]],Product_Structure[Subgroup],0)),"")</f>
        <v>O</v>
      </c>
      <c r="D1454" s="113" t="str">
        <f>IFERROR(INDEX(Product_Structure[SuperCategory Name ENG],MATCH(Товары[[#This Row],[SubGroup]],Product_Structure[Subgroup],0)),"")</f>
        <v>Pumps (electric, battery) + spare parts</v>
      </c>
      <c r="E145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4" s="113" t="str">
        <f>IFERROR(INDEX(Product_Structure[Product group],MATCH(Товары[[#This Row],[SubGroup]],Product_Structure[Subgroup],0)),"")</f>
        <v>WPU_C</v>
      </c>
      <c r="G1454" s="113" t="str">
        <f>IFERROR(INDEX(Product_Structure[Product group name ENG],MATCH(Товары[[#This Row],[SubGroup]],Product_Structure[Subgroup],0)),"")</f>
        <v>Watering, Pumps</v>
      </c>
      <c r="H1454" s="113" t="str">
        <f>IFERROR(INDEX(Product_Structure[Generic Name (long)3],MATCH(Товары[[#This Row],[SubGroup]],Product_Structure[Subgroup],0)),"")</f>
        <v>Шланги технические</v>
      </c>
      <c r="I1454" s="36">
        <v>9117</v>
      </c>
      <c r="J1454" s="36" t="str">
        <f>IFERROR(INDEX(Product_Structure[Generic Name (long)],MATCH(Товары[[#This Row],[SubGroup]],Product_Structure[Subgroup],0)),"")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Row],[SubGroup]],DIY!$B:$C,2,FALSE),0)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3" t="str">
        <f>IFERROR(INDEX(Product_Structure[SuperCategory],MATCH(Товары[[#This Row],[SubGroup]],Product_Structure[Subgroup],0)),"")</f>
        <v>O</v>
      </c>
      <c r="D1455" s="113" t="str">
        <f>IFERROR(INDEX(Product_Structure[SuperCategory Name ENG],MATCH(Товары[[#This Row],[SubGroup]],Product_Structure[Subgroup],0)),"")</f>
        <v>Pumps (electric, battery) + spare parts</v>
      </c>
      <c r="E145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5" s="113" t="str">
        <f>IFERROR(INDEX(Product_Structure[Product group],MATCH(Товары[[#This Row],[SubGroup]],Product_Structure[Subgroup],0)),"")</f>
        <v>WPU_C</v>
      </c>
      <c r="G1455" s="113" t="str">
        <f>IFERROR(INDEX(Product_Structure[Product group name ENG],MATCH(Товары[[#This Row],[SubGroup]],Product_Structure[Subgroup],0)),"")</f>
        <v>Watering, Pumps</v>
      </c>
      <c r="H1455" s="113" t="str">
        <f>IFERROR(INDEX(Product_Structure[Generic Name (long)3],MATCH(Товары[[#This Row],[SubGroup]],Product_Structure[Subgroup],0)),"")</f>
        <v>Шланги технические</v>
      </c>
      <c r="I1455" s="36">
        <v>9117</v>
      </c>
      <c r="J1455" s="36" t="str">
        <f>IFERROR(INDEX(Product_Structure[Generic Name (long)],MATCH(Товары[[#This Row],[SubGroup]],Product_Structure[Subgroup],0)),"")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Row],[SubGroup]],DIY!$B:$C,2,FALSE),0)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3" t="str">
        <f>IFERROR(INDEX(Product_Structure[SuperCategory],MATCH(Товары[[#This Row],[SubGroup]],Product_Structure[Subgroup],0)),"")</f>
        <v>O</v>
      </c>
      <c r="D1456" s="113" t="str">
        <f>IFERROR(INDEX(Product_Structure[SuperCategory Name ENG],MATCH(Товары[[#This Row],[SubGroup]],Product_Structure[Subgroup],0)),"")</f>
        <v>Pumps (electric, battery) + spare parts</v>
      </c>
      <c r="E145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6" s="113" t="str">
        <f>IFERROR(INDEX(Product_Structure[Product group],MATCH(Товары[[#This Row],[SubGroup]],Product_Structure[Subgroup],0)),"")</f>
        <v>WPU_C</v>
      </c>
      <c r="G1456" s="113" t="str">
        <f>IFERROR(INDEX(Product_Structure[Product group name ENG],MATCH(Товары[[#This Row],[SubGroup]],Product_Structure[Subgroup],0)),"")</f>
        <v>Watering, Pumps</v>
      </c>
      <c r="H1456" s="113" t="str">
        <f>IFERROR(INDEX(Product_Structure[Generic Name (long)3],MATCH(Товары[[#This Row],[SubGroup]],Product_Structure[Subgroup],0)),"")</f>
        <v>Шланги технические</v>
      </c>
      <c r="I1456" s="36">
        <v>9117</v>
      </c>
      <c r="J1456" s="36" t="str">
        <f>IFERROR(INDEX(Product_Structure[Generic Name (long)],MATCH(Товары[[#This Row],[SubGroup]],Product_Structure[Subgroup],0)),"")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Row],[SubGroup]],DIY!$B:$C,2,FALSE),0)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3" t="str">
        <f>IFERROR(INDEX(Product_Structure[SuperCategory],MATCH(Товары[[#This Row],[SubGroup]],Product_Structure[Subgroup],0)),"")</f>
        <v>O</v>
      </c>
      <c r="D1457" s="113" t="str">
        <f>IFERROR(INDEX(Product_Structure[SuperCategory Name ENG],MATCH(Товары[[#This Row],[SubGroup]],Product_Structure[Subgroup],0)),"")</f>
        <v>Pumps (electric, battery) + spare parts</v>
      </c>
      <c r="E145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7" s="113" t="str">
        <f>IFERROR(INDEX(Product_Structure[Product group],MATCH(Товары[[#This Row],[SubGroup]],Product_Structure[Subgroup],0)),"")</f>
        <v>WPU_C</v>
      </c>
      <c r="G1457" s="113" t="str">
        <f>IFERROR(INDEX(Product_Structure[Product group name ENG],MATCH(Товары[[#This Row],[SubGroup]],Product_Structure[Subgroup],0)),"")</f>
        <v>Watering, Pumps</v>
      </c>
      <c r="H1457" s="113" t="str">
        <f>IFERROR(INDEX(Product_Structure[Generic Name (long)3],MATCH(Товары[[#This Row],[SubGroup]],Product_Structure[Subgroup],0)),"")</f>
        <v>Шланги технические</v>
      </c>
      <c r="I1457" s="36">
        <v>9117</v>
      </c>
      <c r="J1457" s="36" t="str">
        <f>IFERROR(INDEX(Product_Structure[Generic Name (long)],MATCH(Товары[[#This Row],[SubGroup]],Product_Structure[Subgroup],0)),"")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Row],[SubGroup]],DIY!$B:$C,2,FALSE),0)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3" t="str">
        <f>IFERROR(INDEX(Product_Structure[SuperCategory],MATCH(Товары[[#This Row],[SubGroup]],Product_Structure[Subgroup],0)),"")</f>
        <v>O</v>
      </c>
      <c r="D1458" s="113" t="str">
        <f>IFERROR(INDEX(Product_Structure[SuperCategory Name ENG],MATCH(Товары[[#This Row],[SubGroup]],Product_Structure[Subgroup],0)),"")</f>
        <v>Pumps (electric, battery) + spare parts</v>
      </c>
      <c r="E145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8" s="113" t="str">
        <f>IFERROR(INDEX(Product_Structure[Product group],MATCH(Товары[[#This Row],[SubGroup]],Product_Structure[Subgroup],0)),"")</f>
        <v>WPU_C</v>
      </c>
      <c r="G1458" s="113" t="str">
        <f>IFERROR(INDEX(Product_Structure[Product group name ENG],MATCH(Товары[[#This Row],[SubGroup]],Product_Structure[Subgroup],0)),"")</f>
        <v>Watering, Pumps</v>
      </c>
      <c r="H1458" s="113" t="str">
        <f>IFERROR(INDEX(Product_Structure[Generic Name (long)3],MATCH(Товары[[#This Row],[SubGroup]],Product_Structure[Subgroup],0)),"")</f>
        <v>Шланги технические</v>
      </c>
      <c r="I1458" s="36">
        <v>9117</v>
      </c>
      <c r="J1458" s="36" t="str">
        <f>IFERROR(INDEX(Product_Structure[Generic Name (long)],MATCH(Товары[[#This Row],[SubGroup]],Product_Structure[Subgroup],0)),"")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Row],[SubGroup]],DIY!$B:$C,2,FALSE),0)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3" t="str">
        <f>IFERROR(INDEX(Product_Structure[SuperCategory],MATCH(Товары[[#This Row],[SubGroup]],Product_Structure[Subgroup],0)),"")</f>
        <v>O</v>
      </c>
      <c r="D1459" s="113" t="str">
        <f>IFERROR(INDEX(Product_Structure[SuperCategory Name ENG],MATCH(Товары[[#This Row],[SubGroup]],Product_Structure[Subgroup],0)),"")</f>
        <v>Pumps (electric, battery) + spare parts</v>
      </c>
      <c r="E145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59" s="113" t="str">
        <f>IFERROR(INDEX(Product_Structure[Product group],MATCH(Товары[[#This Row],[SubGroup]],Product_Structure[Subgroup],0)),"")</f>
        <v>WPU_C</v>
      </c>
      <c r="G1459" s="113" t="str">
        <f>IFERROR(INDEX(Product_Structure[Product group name ENG],MATCH(Товары[[#This Row],[SubGroup]],Product_Structure[Subgroup],0)),"")</f>
        <v>Watering, Pumps</v>
      </c>
      <c r="H1459" s="113" t="str">
        <f>IFERROR(INDEX(Product_Structure[Generic Name (long)3],MATCH(Товары[[#This Row],[SubGroup]],Product_Structure[Subgroup],0)),"")</f>
        <v>Шланги технические</v>
      </c>
      <c r="I1459" s="36">
        <v>9117</v>
      </c>
      <c r="J1459" s="36" t="str">
        <f>IFERROR(INDEX(Product_Structure[Generic Name (long)],MATCH(Товары[[#This Row],[SubGroup]],Product_Structure[Subgroup],0)),"")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Row],[SubGroup]],DIY!$B:$C,2,FALSE),0)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3" t="str">
        <f>IFERROR(INDEX(Product_Structure[SuperCategory],MATCH(Товары[[#This Row],[SubGroup]],Product_Structure[Subgroup],0)),"")</f>
        <v>O</v>
      </c>
      <c r="D1460" s="113" t="str">
        <f>IFERROR(INDEX(Product_Structure[SuperCategory Name ENG],MATCH(Товары[[#This Row],[SubGroup]],Product_Structure[Subgroup],0)),"")</f>
        <v>Pumps (electric, battery) + spare parts</v>
      </c>
      <c r="E146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0" s="113" t="str">
        <f>IFERROR(INDEX(Product_Structure[Product group],MATCH(Товары[[#This Row],[SubGroup]],Product_Structure[Subgroup],0)),"")</f>
        <v>WPU_C</v>
      </c>
      <c r="G1460" s="113" t="str">
        <f>IFERROR(INDEX(Product_Structure[Product group name ENG],MATCH(Товары[[#This Row],[SubGroup]],Product_Structure[Subgroup],0)),"")</f>
        <v>Watering, Pumps</v>
      </c>
      <c r="H1460" s="113" t="str">
        <f>IFERROR(INDEX(Product_Structure[Generic Name (long)3],MATCH(Товары[[#This Row],[SubGroup]],Product_Structure[Subgroup],0)),"")</f>
        <v>Шланги технические</v>
      </c>
      <c r="I1460" s="36">
        <v>9117</v>
      </c>
      <c r="J1460" s="36" t="str">
        <f>IFERROR(INDEX(Product_Structure[Generic Name (long)],MATCH(Товары[[#This Row],[SubGroup]],Product_Structure[Subgroup],0)),"")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Row],[SubGroup]],DIY!$B:$C,2,FALSE),0)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3" t="str">
        <f>IFERROR(INDEX(Product_Structure[SuperCategory],MATCH(Товары[[#This Row],[SubGroup]],Product_Structure[Subgroup],0)),"")</f>
        <v>O</v>
      </c>
      <c r="D1461" s="113" t="str">
        <f>IFERROR(INDEX(Product_Structure[SuperCategory Name ENG],MATCH(Товары[[#This Row],[SubGroup]],Product_Structure[Subgroup],0)),"")</f>
        <v>Pumps (electric, battery) + spare parts</v>
      </c>
      <c r="E146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1" s="113" t="str">
        <f>IFERROR(INDEX(Product_Structure[Product group],MATCH(Товары[[#This Row],[SubGroup]],Product_Structure[Subgroup],0)),"")</f>
        <v>WPU_C</v>
      </c>
      <c r="G1461" s="113" t="str">
        <f>IFERROR(INDEX(Product_Structure[Product group name ENG],MATCH(Товары[[#This Row],[SubGroup]],Product_Structure[Subgroup],0)),"")</f>
        <v>Watering, Pumps</v>
      </c>
      <c r="H1461" s="113" t="str">
        <f>IFERROR(INDEX(Product_Structure[Generic Name (long)3],MATCH(Товары[[#This Row],[SubGroup]],Product_Structure[Subgroup],0)),"")</f>
        <v>Шланги технические</v>
      </c>
      <c r="I1461" s="36">
        <v>9117</v>
      </c>
      <c r="J1461" s="36" t="str">
        <f>IFERROR(INDEX(Product_Structure[Generic Name (long)],MATCH(Товары[[#This Row],[SubGroup]],Product_Structure[Subgroup],0)),"")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Row],[SubGroup]],DIY!$B:$C,2,FALSE),0)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3" t="str">
        <f>IFERROR(INDEX(Product_Structure[SuperCategory],MATCH(Товары[[#This Row],[SubGroup]],Product_Structure[Subgroup],0)),"")</f>
        <v>O</v>
      </c>
      <c r="D1462" s="113" t="str">
        <f>IFERROR(INDEX(Product_Structure[SuperCategory Name ENG],MATCH(Товары[[#This Row],[SubGroup]],Product_Structure[Subgroup],0)),"")</f>
        <v>Pumps (electric, battery) + spare parts</v>
      </c>
      <c r="E146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2" s="113" t="str">
        <f>IFERROR(INDEX(Product_Structure[Product group],MATCH(Товары[[#This Row],[SubGroup]],Product_Structure[Subgroup],0)),"")</f>
        <v>WPU_C</v>
      </c>
      <c r="G1462" s="113" t="str">
        <f>IFERROR(INDEX(Product_Structure[Product group name ENG],MATCH(Товары[[#This Row],[SubGroup]],Product_Structure[Subgroup],0)),"")</f>
        <v>Watering, Pumps</v>
      </c>
      <c r="H1462" s="113" t="str">
        <f>IFERROR(INDEX(Product_Structure[Generic Name (long)3],MATCH(Товары[[#This Row],[SubGroup]],Product_Structure[Subgroup],0)),"")</f>
        <v>Шланги технические</v>
      </c>
      <c r="I1462" s="36">
        <v>9117</v>
      </c>
      <c r="J1462" s="36" t="str">
        <f>IFERROR(INDEX(Product_Structure[Generic Name (long)],MATCH(Товары[[#This Row],[SubGroup]],Product_Structure[Subgroup],0)),"")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Row],[SubGroup]],DIY!$B:$C,2,FALSE),0)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3" t="str">
        <f>IFERROR(INDEX(Product_Structure[SuperCategory],MATCH(Товары[[#This Row],[SubGroup]],Product_Structure[Subgroup],0)),"")</f>
        <v>O</v>
      </c>
      <c r="D1463" s="113" t="str">
        <f>IFERROR(INDEX(Product_Structure[SuperCategory Name ENG],MATCH(Товары[[#This Row],[SubGroup]],Product_Structure[Subgroup],0)),"")</f>
        <v>Pumps (electric, battery) + spare parts</v>
      </c>
      <c r="E146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3" s="113" t="str">
        <f>IFERROR(INDEX(Product_Structure[Product group],MATCH(Товары[[#This Row],[SubGroup]],Product_Structure[Subgroup],0)),"")</f>
        <v>WPU_C</v>
      </c>
      <c r="G1463" s="113" t="str">
        <f>IFERROR(INDEX(Product_Structure[Product group name ENG],MATCH(Товары[[#This Row],[SubGroup]],Product_Structure[Subgroup],0)),"")</f>
        <v>Watering, Pumps</v>
      </c>
      <c r="H1463" s="113" t="str">
        <f>IFERROR(INDEX(Product_Structure[Generic Name (long)3],MATCH(Товары[[#This Row],[SubGroup]],Product_Structure[Subgroup],0)),"")</f>
        <v>Шланги технические</v>
      </c>
      <c r="I1463" s="36">
        <v>9117</v>
      </c>
      <c r="J1463" s="36" t="str">
        <f>IFERROR(INDEX(Product_Structure[Generic Name (long)],MATCH(Товары[[#This Row],[SubGroup]],Product_Structure[Subgroup],0)),"")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Row],[SubGroup]],DIY!$B:$C,2,FALSE),0)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3" t="str">
        <f>IFERROR(INDEX(Product_Structure[SuperCategory],MATCH(Товары[[#This Row],[SubGroup]],Product_Structure[Subgroup],0)),"")</f>
        <v>O</v>
      </c>
      <c r="D1464" s="113" t="str">
        <f>IFERROR(INDEX(Product_Structure[SuperCategory Name ENG],MATCH(Товары[[#This Row],[SubGroup]],Product_Structure[Subgroup],0)),"")</f>
        <v>Pumps (electric, battery) + spare parts</v>
      </c>
      <c r="E146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4" s="113" t="str">
        <f>IFERROR(INDEX(Product_Structure[Product group],MATCH(Товары[[#This Row],[SubGroup]],Product_Structure[Subgroup],0)),"")</f>
        <v>WPU_C</v>
      </c>
      <c r="G1464" s="113" t="str">
        <f>IFERROR(INDEX(Product_Structure[Product group name ENG],MATCH(Товары[[#This Row],[SubGroup]],Product_Structure[Subgroup],0)),"")</f>
        <v>Watering, Pumps</v>
      </c>
      <c r="H1464" s="113" t="str">
        <f>IFERROR(INDEX(Product_Structure[Generic Name (long)3],MATCH(Товары[[#This Row],[SubGroup]],Product_Structure[Subgroup],0)),"")</f>
        <v>Шланги технические</v>
      </c>
      <c r="I1464" s="36">
        <v>9117</v>
      </c>
      <c r="J1464" s="36" t="str">
        <f>IFERROR(INDEX(Product_Structure[Generic Name (long)],MATCH(Товары[[#This Row],[SubGroup]],Product_Structure[Subgroup],0)),"")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Row],[SubGroup]],DIY!$B:$C,2,FALSE),0)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3" t="str">
        <f>IFERROR(INDEX(Product_Structure[SuperCategory],MATCH(Товары[[#This Row],[SubGroup]],Product_Structure[Subgroup],0)),"")</f>
        <v>O</v>
      </c>
      <c r="D1465" s="113" t="str">
        <f>IFERROR(INDEX(Product_Structure[SuperCategory Name ENG],MATCH(Товары[[#This Row],[SubGroup]],Product_Structure[Subgroup],0)),"")</f>
        <v>Pumps (electric, battery) + spare parts</v>
      </c>
      <c r="E146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5" s="113" t="str">
        <f>IFERROR(INDEX(Product_Structure[Product group],MATCH(Товары[[#This Row],[SubGroup]],Product_Structure[Subgroup],0)),"")</f>
        <v>WPU_C</v>
      </c>
      <c r="G1465" s="113" t="str">
        <f>IFERROR(INDEX(Product_Structure[Product group name ENG],MATCH(Товары[[#This Row],[SubGroup]],Product_Structure[Subgroup],0)),"")</f>
        <v>Watering, Pumps</v>
      </c>
      <c r="H1465" s="113" t="str">
        <f>IFERROR(INDEX(Product_Structure[Generic Name (long)3],MATCH(Товары[[#This Row],[SubGroup]],Product_Structure[Subgroup],0)),"")</f>
        <v>Шланги технические</v>
      </c>
      <c r="I1465" s="36">
        <v>9117</v>
      </c>
      <c r="J1465" s="36" t="str">
        <f>IFERROR(INDEX(Product_Structure[Generic Name (long)],MATCH(Товары[[#This Row],[SubGroup]],Product_Structure[Subgroup],0)),"")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Row],[SubGroup]],DIY!$B:$C,2,FALSE),0)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3" t="str">
        <f>IFERROR(INDEX(Product_Structure[SuperCategory],MATCH(Товары[[#This Row],[SubGroup]],Product_Structure[Subgroup],0)),"")</f>
        <v>O</v>
      </c>
      <c r="D1466" s="113" t="str">
        <f>IFERROR(INDEX(Product_Structure[SuperCategory Name ENG],MATCH(Товары[[#This Row],[SubGroup]],Product_Structure[Subgroup],0)),"")</f>
        <v>Pumps (electric, battery) + spare parts</v>
      </c>
      <c r="E146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6" s="113" t="str">
        <f>IFERROR(INDEX(Product_Structure[Product group],MATCH(Товары[[#This Row],[SubGroup]],Product_Structure[Subgroup],0)),"")</f>
        <v>WPU_C</v>
      </c>
      <c r="G1466" s="113" t="str">
        <f>IFERROR(INDEX(Product_Structure[Product group name ENG],MATCH(Товары[[#This Row],[SubGroup]],Product_Structure[Subgroup],0)),"")</f>
        <v>Watering, Pumps</v>
      </c>
      <c r="H1466" s="113" t="str">
        <f>IFERROR(INDEX(Product_Structure[Generic Name (long)3],MATCH(Товары[[#This Row],[SubGroup]],Product_Structure[Subgroup],0)),"")</f>
        <v>Шланги технические</v>
      </c>
      <c r="I1466" s="36">
        <v>9117</v>
      </c>
      <c r="J1466" s="36" t="str">
        <f>IFERROR(INDEX(Product_Structure[Generic Name (long)],MATCH(Товары[[#This Row],[SubGroup]],Product_Structure[Subgroup],0)),"")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Row],[SubGroup]],DIY!$B:$C,2,FALSE),0)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3" t="str">
        <f>IFERROR(INDEX(Product_Structure[SuperCategory],MATCH(Товары[[#This Row],[SubGroup]],Product_Structure[Subgroup],0)),"")</f>
        <v>O</v>
      </c>
      <c r="D1467" s="113" t="str">
        <f>IFERROR(INDEX(Product_Structure[SuperCategory Name ENG],MATCH(Товары[[#This Row],[SubGroup]],Product_Structure[Subgroup],0)),"")</f>
        <v>Pumps (electric, battery) + spare parts</v>
      </c>
      <c r="E146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7" s="113" t="str">
        <f>IFERROR(INDEX(Product_Structure[Product group],MATCH(Товары[[#This Row],[SubGroup]],Product_Structure[Subgroup],0)),"")</f>
        <v>WPU_C</v>
      </c>
      <c r="G1467" s="113" t="str">
        <f>IFERROR(INDEX(Product_Structure[Product group name ENG],MATCH(Товары[[#This Row],[SubGroup]],Product_Structure[Subgroup],0)),"")</f>
        <v>Watering, Pumps</v>
      </c>
      <c r="H1467" s="113" t="str">
        <f>IFERROR(INDEX(Product_Structure[Generic Name (long)3],MATCH(Товары[[#This Row],[SubGroup]],Product_Structure[Subgroup],0)),"")</f>
        <v>Шланги технические</v>
      </c>
      <c r="I1467" s="36">
        <v>9117</v>
      </c>
      <c r="J1467" s="36" t="str">
        <f>IFERROR(INDEX(Product_Structure[Generic Name (long)],MATCH(Товары[[#This Row],[SubGroup]],Product_Structure[Subgroup],0)),"")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Row],[SubGroup]],DIY!$B:$C,2,FALSE),0)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3" t="str">
        <f>IFERROR(INDEX(Product_Structure[SuperCategory],MATCH(Товары[[#This Row],[SubGroup]],Product_Structure[Subgroup],0)),"")</f>
        <v>O</v>
      </c>
      <c r="D1468" s="113" t="str">
        <f>IFERROR(INDEX(Product_Structure[SuperCategory Name ENG],MATCH(Товары[[#This Row],[SubGroup]],Product_Structure[Subgroup],0)),"")</f>
        <v>Pumps (electric, battery) + spare parts</v>
      </c>
      <c r="E146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8" s="113" t="str">
        <f>IFERROR(INDEX(Product_Structure[Product group],MATCH(Товары[[#This Row],[SubGroup]],Product_Structure[Subgroup],0)),"")</f>
        <v>WPU_C</v>
      </c>
      <c r="G1468" s="113" t="str">
        <f>IFERROR(INDEX(Product_Structure[Product group name ENG],MATCH(Товары[[#This Row],[SubGroup]],Product_Structure[Subgroup],0)),"")</f>
        <v>Watering, Pumps</v>
      </c>
      <c r="H1468" s="113" t="str">
        <f>IFERROR(INDEX(Product_Structure[Generic Name (long)3],MATCH(Товары[[#This Row],[SubGroup]],Product_Structure[Subgroup],0)),"")</f>
        <v>Шланги технические</v>
      </c>
      <c r="I1468" s="36">
        <v>9117</v>
      </c>
      <c r="J1468" s="36" t="str">
        <f>IFERROR(INDEX(Product_Structure[Generic Name (long)],MATCH(Товары[[#This Row],[SubGroup]],Product_Structure[Subgroup],0)),"")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Row],[SubGroup]],DIY!$B:$C,2,FALSE),0)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3" t="str">
        <f>IFERROR(INDEX(Product_Structure[SuperCategory],MATCH(Товары[[#This Row],[SubGroup]],Product_Structure[Subgroup],0)),"")</f>
        <v>O</v>
      </c>
      <c r="D1469" s="113" t="str">
        <f>IFERROR(INDEX(Product_Structure[SuperCategory Name ENG],MATCH(Товары[[#This Row],[SubGroup]],Product_Structure[Subgroup],0)),"")</f>
        <v>Pumps (electric, battery) + spare parts</v>
      </c>
      <c r="E146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69" s="113" t="str">
        <f>IFERROR(INDEX(Product_Structure[Product group],MATCH(Товары[[#This Row],[SubGroup]],Product_Structure[Subgroup],0)),"")</f>
        <v>WPU_C</v>
      </c>
      <c r="G1469" s="113" t="str">
        <f>IFERROR(INDEX(Product_Structure[Product group name ENG],MATCH(Товары[[#This Row],[SubGroup]],Product_Structure[Subgroup],0)),"")</f>
        <v>Watering, Pumps</v>
      </c>
      <c r="H1469" s="113" t="str">
        <f>IFERROR(INDEX(Product_Structure[Generic Name (long)3],MATCH(Товары[[#This Row],[SubGroup]],Product_Structure[Subgroup],0)),"")</f>
        <v>Шланги технические</v>
      </c>
      <c r="I1469" s="36">
        <v>9117</v>
      </c>
      <c r="J1469" s="36" t="str">
        <f>IFERROR(INDEX(Product_Structure[Generic Name (long)],MATCH(Товары[[#This Row],[SubGroup]],Product_Structure[Subgroup],0)),"")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Row],[SubGroup]],DIY!$B:$C,2,FALSE),0)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3" t="str">
        <f>IFERROR(INDEX(Product_Structure[SuperCategory],MATCH(Товары[[#This Row],[SubGroup]],Product_Structure[Subgroup],0)),"")</f>
        <v>O</v>
      </c>
      <c r="D1470" s="113" t="str">
        <f>IFERROR(INDEX(Product_Structure[SuperCategory Name ENG],MATCH(Товары[[#This Row],[SubGroup]],Product_Structure[Subgroup],0)),"")</f>
        <v>Pumps (electric, battery) + spare parts</v>
      </c>
      <c r="E147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0" s="113" t="str">
        <f>IFERROR(INDEX(Product_Structure[Product group],MATCH(Товары[[#This Row],[SubGroup]],Product_Structure[Subgroup],0)),"")</f>
        <v>WPU_C</v>
      </c>
      <c r="G1470" s="113" t="str">
        <f>IFERROR(INDEX(Product_Structure[Product group name ENG],MATCH(Товары[[#This Row],[SubGroup]],Product_Structure[Subgroup],0)),"")</f>
        <v>Watering, Pumps</v>
      </c>
      <c r="H1470" s="113" t="str">
        <f>IFERROR(INDEX(Product_Structure[Generic Name (long)3],MATCH(Товары[[#This Row],[SubGroup]],Product_Structure[Subgroup],0)),"")</f>
        <v>Шланги технические</v>
      </c>
      <c r="I1470" s="36">
        <v>9117</v>
      </c>
      <c r="J1470" s="36" t="str">
        <f>IFERROR(INDEX(Product_Structure[Generic Name (long)],MATCH(Товары[[#This Row],[SubGroup]],Product_Structure[Subgroup],0)),"")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Row],[SubGroup]],DIY!$B:$C,2,FALSE),0)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3" t="str">
        <f>IFERROR(INDEX(Product_Structure[SuperCategory],MATCH(Товары[[#This Row],[SubGroup]],Product_Structure[Subgroup],0)),"")</f>
        <v>O</v>
      </c>
      <c r="D1471" s="113" t="str">
        <f>IFERROR(INDEX(Product_Structure[SuperCategory Name ENG],MATCH(Товары[[#This Row],[SubGroup]],Product_Structure[Subgroup],0)),"")</f>
        <v>Pumps (electric, battery) + spare parts</v>
      </c>
      <c r="E147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1" s="113" t="str">
        <f>IFERROR(INDEX(Product_Structure[Product group],MATCH(Товары[[#This Row],[SubGroup]],Product_Structure[Subgroup],0)),"")</f>
        <v>WPU_C</v>
      </c>
      <c r="G1471" s="113" t="str">
        <f>IFERROR(INDEX(Product_Structure[Product group name ENG],MATCH(Товары[[#This Row],[SubGroup]],Product_Structure[Subgroup],0)),"")</f>
        <v>Watering, Pumps</v>
      </c>
      <c r="H1471" s="113" t="str">
        <f>IFERROR(INDEX(Product_Structure[Generic Name (long)3],MATCH(Товары[[#This Row],[SubGroup]],Product_Structure[Subgroup],0)),"")</f>
        <v>Шланги технические</v>
      </c>
      <c r="I1471" s="36">
        <v>9117</v>
      </c>
      <c r="J1471" s="36" t="str">
        <f>IFERROR(INDEX(Product_Structure[Generic Name (long)],MATCH(Товары[[#This Row],[SubGroup]],Product_Structure[Subgroup],0)),"")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Row],[SubGroup]],DIY!$B:$C,2,FALSE),0)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3" t="str">
        <f>IFERROR(INDEX(Product_Structure[SuperCategory],MATCH(Товары[[#This Row],[SubGroup]],Product_Structure[Subgroup],0)),"")</f>
        <v>O</v>
      </c>
      <c r="D1472" s="113" t="str">
        <f>IFERROR(INDEX(Product_Structure[SuperCategory Name ENG],MATCH(Товары[[#This Row],[SubGroup]],Product_Structure[Subgroup],0)),"")</f>
        <v>Pumps (electric, battery) + spare parts</v>
      </c>
      <c r="E147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2" s="113" t="str">
        <f>IFERROR(INDEX(Product_Structure[Product group],MATCH(Товары[[#This Row],[SubGroup]],Product_Structure[Subgroup],0)),"")</f>
        <v>WPU_C</v>
      </c>
      <c r="G1472" s="113" t="str">
        <f>IFERROR(INDEX(Product_Structure[Product group name ENG],MATCH(Товары[[#This Row],[SubGroup]],Product_Structure[Subgroup],0)),"")</f>
        <v>Watering, Pumps</v>
      </c>
      <c r="H1472" s="113" t="str">
        <f>IFERROR(INDEX(Product_Structure[Generic Name (long)3],MATCH(Товары[[#This Row],[SubGroup]],Product_Structure[Subgroup],0)),"")</f>
        <v>Шланги технические</v>
      </c>
      <c r="I1472" s="36">
        <v>9117</v>
      </c>
      <c r="J1472" s="36" t="str">
        <f>IFERROR(INDEX(Product_Structure[Generic Name (long)],MATCH(Товары[[#This Row],[SubGroup]],Product_Structure[Subgroup],0)),"")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Row],[SubGroup]],DIY!$B:$C,2,FALSE),0)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3" t="str">
        <f>IFERROR(INDEX(Product_Structure[SuperCategory],MATCH(Товары[[#This Row],[SubGroup]],Product_Structure[Subgroup],0)),"")</f>
        <v>O</v>
      </c>
      <c r="D1473" s="113" t="str">
        <f>IFERROR(INDEX(Product_Structure[SuperCategory Name ENG],MATCH(Товары[[#This Row],[SubGroup]],Product_Structure[Subgroup],0)),"")</f>
        <v>Pumps (electric, battery) + spare parts</v>
      </c>
      <c r="E147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3" s="113" t="str">
        <f>IFERROR(INDEX(Product_Structure[Product group],MATCH(Товары[[#This Row],[SubGroup]],Product_Structure[Subgroup],0)),"")</f>
        <v>WPU_C</v>
      </c>
      <c r="G1473" s="113" t="str">
        <f>IFERROR(INDEX(Product_Structure[Product group name ENG],MATCH(Товары[[#This Row],[SubGroup]],Product_Structure[Subgroup],0)),"")</f>
        <v>Watering, Pumps</v>
      </c>
      <c r="H1473" s="113" t="str">
        <f>IFERROR(INDEX(Product_Structure[Generic Name (long)3],MATCH(Товары[[#This Row],[SubGroup]],Product_Structure[Subgroup],0)),"")</f>
        <v>Шланги технические</v>
      </c>
      <c r="I1473" s="36">
        <v>9117</v>
      </c>
      <c r="J1473" s="36" t="str">
        <f>IFERROR(INDEX(Product_Structure[Generic Name (long)],MATCH(Товары[[#This Row],[SubGroup]],Product_Structure[Subgroup],0)),"")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Row],[SubGroup]],DIY!$B:$C,2,FALSE),0)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3" t="str">
        <f>IFERROR(INDEX(Product_Structure[SuperCategory],MATCH(Товары[[#This Row],[SubGroup]],Product_Structure[Subgroup],0)),"")</f>
        <v>O</v>
      </c>
      <c r="D1474" s="113" t="str">
        <f>IFERROR(INDEX(Product_Structure[SuperCategory Name ENG],MATCH(Товары[[#This Row],[SubGroup]],Product_Structure[Subgroup],0)),"")</f>
        <v>Pumps (electric, battery) + spare parts</v>
      </c>
      <c r="E147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4" s="113" t="str">
        <f>IFERROR(INDEX(Product_Structure[Product group],MATCH(Товары[[#This Row],[SubGroup]],Product_Structure[Subgroup],0)),"")</f>
        <v>WPU_C</v>
      </c>
      <c r="G1474" s="113" t="str">
        <f>IFERROR(INDEX(Product_Structure[Product group name ENG],MATCH(Товары[[#This Row],[SubGroup]],Product_Structure[Subgroup],0)),"")</f>
        <v>Watering, Pumps</v>
      </c>
      <c r="H1474" s="113" t="str">
        <f>IFERROR(INDEX(Product_Structure[Generic Name (long)3],MATCH(Товары[[#This Row],[SubGroup]],Product_Structure[Subgroup],0)),"")</f>
        <v>Шланги технические</v>
      </c>
      <c r="I1474" s="36">
        <v>9117</v>
      </c>
      <c r="J1474" s="36" t="str">
        <f>IFERROR(INDEX(Product_Structure[Generic Name (long)],MATCH(Товары[[#This Row],[SubGroup]],Product_Structure[Subgroup],0)),"")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Row],[SubGroup]],DIY!$B:$C,2,FALSE),0)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3" t="str">
        <f>IFERROR(INDEX(Product_Structure[SuperCategory],MATCH(Товары[[#This Row],[SubGroup]],Product_Structure[Subgroup],0)),"")</f>
        <v>O</v>
      </c>
      <c r="D1475" s="113" t="str">
        <f>IFERROR(INDEX(Product_Structure[SuperCategory Name ENG],MATCH(Товары[[#This Row],[SubGroup]],Product_Structure[Subgroup],0)),"")</f>
        <v>Pumps (electric, battery) + spare parts</v>
      </c>
      <c r="E147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5" s="113" t="str">
        <f>IFERROR(INDEX(Product_Structure[Product group],MATCH(Товары[[#This Row],[SubGroup]],Product_Structure[Subgroup],0)),"")</f>
        <v>WPU_C</v>
      </c>
      <c r="G1475" s="113" t="str">
        <f>IFERROR(INDEX(Product_Structure[Product group name ENG],MATCH(Товары[[#This Row],[SubGroup]],Product_Structure[Subgroup],0)),"")</f>
        <v>Watering, Pumps</v>
      </c>
      <c r="H1475" s="113" t="str">
        <f>IFERROR(INDEX(Product_Structure[Generic Name (long)3],MATCH(Товары[[#This Row],[SubGroup]],Product_Structure[Subgroup],0)),"")</f>
        <v>Шланги технические</v>
      </c>
      <c r="I1475" s="36">
        <v>9117</v>
      </c>
      <c r="J1475" s="36" t="str">
        <f>IFERROR(INDEX(Product_Structure[Generic Name (long)],MATCH(Товары[[#This Row],[SubGroup]],Product_Structure[Subgroup],0)),"")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Row],[SubGroup]],DIY!$B:$C,2,FALSE),0)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3" t="str">
        <f>IFERROR(INDEX(Product_Structure[SuperCategory],MATCH(Товары[[#This Row],[SubGroup]],Product_Structure[Subgroup],0)),"")</f>
        <v>O</v>
      </c>
      <c r="D1476" s="113" t="str">
        <f>IFERROR(INDEX(Product_Structure[SuperCategory Name ENG],MATCH(Товары[[#This Row],[SubGroup]],Product_Structure[Subgroup],0)),"")</f>
        <v>Pumps (electric, battery) + spare parts</v>
      </c>
      <c r="E147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6" s="113" t="str">
        <f>IFERROR(INDEX(Product_Structure[Product group],MATCH(Товары[[#This Row],[SubGroup]],Product_Structure[Subgroup],0)),"")</f>
        <v>WPU_C</v>
      </c>
      <c r="G1476" s="113" t="str">
        <f>IFERROR(INDEX(Product_Structure[Product group name ENG],MATCH(Товары[[#This Row],[SubGroup]],Product_Structure[Subgroup],0)),"")</f>
        <v>Watering, Pumps</v>
      </c>
      <c r="H1476" s="113" t="str">
        <f>IFERROR(INDEX(Product_Structure[Generic Name (long)3],MATCH(Товары[[#This Row],[SubGroup]],Product_Structure[Subgroup],0)),"")</f>
        <v>Шланги технические</v>
      </c>
      <c r="I1476" s="36">
        <v>9117</v>
      </c>
      <c r="J1476" s="36" t="str">
        <f>IFERROR(INDEX(Product_Structure[Generic Name (long)],MATCH(Товары[[#This Row],[SubGroup]],Product_Structure[Subgroup],0)),"")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Row],[SubGroup]],DIY!$B:$C,2,FALSE),0)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3" t="str">
        <f>IFERROR(INDEX(Product_Structure[SuperCategory],MATCH(Товары[[#This Row],[SubGroup]],Product_Structure[Subgroup],0)),"")</f>
        <v>O</v>
      </c>
      <c r="D1477" s="113" t="str">
        <f>IFERROR(INDEX(Product_Structure[SuperCategory Name ENG],MATCH(Товары[[#This Row],[SubGroup]],Product_Structure[Subgroup],0)),"")</f>
        <v>Pumps (electric, battery) + spare parts</v>
      </c>
      <c r="E147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7" s="113" t="str">
        <f>IFERROR(INDEX(Product_Structure[Product group],MATCH(Товары[[#This Row],[SubGroup]],Product_Structure[Subgroup],0)),"")</f>
        <v>WPU_C</v>
      </c>
      <c r="G1477" s="113" t="str">
        <f>IFERROR(INDEX(Product_Structure[Product group name ENG],MATCH(Товары[[#This Row],[SubGroup]],Product_Structure[Subgroup],0)),"")</f>
        <v>Watering, Pumps</v>
      </c>
      <c r="H1477" s="113" t="str">
        <f>IFERROR(INDEX(Product_Structure[Generic Name (long)3],MATCH(Товары[[#This Row],[SubGroup]],Product_Structure[Subgroup],0)),"")</f>
        <v>Шланги технические</v>
      </c>
      <c r="I1477" s="36">
        <v>9117</v>
      </c>
      <c r="J1477" s="36" t="str">
        <f>IFERROR(INDEX(Product_Structure[Generic Name (long)],MATCH(Товары[[#This Row],[SubGroup]],Product_Structure[Subgroup],0)),"")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Row],[SubGroup]],DIY!$B:$C,2,FALSE),0)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3" t="str">
        <f>IFERROR(INDEX(Product_Structure[SuperCategory],MATCH(Товары[[#This Row],[SubGroup]],Product_Structure[Subgroup],0)),"")</f>
        <v>O</v>
      </c>
      <c r="D1478" s="113" t="str">
        <f>IFERROR(INDEX(Product_Structure[SuperCategory Name ENG],MATCH(Товары[[#This Row],[SubGroup]],Product_Structure[Subgroup],0)),"")</f>
        <v>Pumps (electric, battery) + spare parts</v>
      </c>
      <c r="E147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8" s="113" t="str">
        <f>IFERROR(INDEX(Product_Structure[Product group],MATCH(Товары[[#This Row],[SubGroup]],Product_Structure[Subgroup],0)),"")</f>
        <v>WPU_C</v>
      </c>
      <c r="G1478" s="113" t="str">
        <f>IFERROR(INDEX(Product_Structure[Product group name ENG],MATCH(Товары[[#This Row],[SubGroup]],Product_Structure[Subgroup],0)),"")</f>
        <v>Watering, Pumps</v>
      </c>
      <c r="H1478" s="113" t="str">
        <f>IFERROR(INDEX(Product_Structure[Generic Name (long)3],MATCH(Товары[[#This Row],[SubGroup]],Product_Structure[Subgroup],0)),"")</f>
        <v>Шланги технические</v>
      </c>
      <c r="I1478" s="36">
        <v>9117</v>
      </c>
      <c r="J1478" s="36" t="str">
        <f>IFERROR(INDEX(Product_Structure[Generic Name (long)],MATCH(Товары[[#This Row],[SubGroup]],Product_Structure[Subgroup],0)),"")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Row],[SubGroup]],DIY!$B:$C,2,FALSE),0)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3" t="str">
        <f>IFERROR(INDEX(Product_Structure[SuperCategory],MATCH(Товары[[#This Row],[SubGroup]],Product_Structure[Subgroup],0)),"")</f>
        <v>O</v>
      </c>
      <c r="D1479" s="113" t="str">
        <f>IFERROR(INDEX(Product_Structure[SuperCategory Name ENG],MATCH(Товары[[#This Row],[SubGroup]],Product_Structure[Subgroup],0)),"")</f>
        <v>Pumps (electric, battery) + spare parts</v>
      </c>
      <c r="E147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79" s="113" t="str">
        <f>IFERROR(INDEX(Product_Structure[Product group],MATCH(Товары[[#This Row],[SubGroup]],Product_Structure[Subgroup],0)),"")</f>
        <v>WPU_C</v>
      </c>
      <c r="G1479" s="113" t="str">
        <f>IFERROR(INDEX(Product_Structure[Product group name ENG],MATCH(Товары[[#This Row],[SubGroup]],Product_Structure[Subgroup],0)),"")</f>
        <v>Watering, Pumps</v>
      </c>
      <c r="H1479" s="113" t="str">
        <f>IFERROR(INDEX(Product_Structure[Generic Name (long)3],MATCH(Товары[[#This Row],[SubGroup]],Product_Structure[Subgroup],0)),"")</f>
        <v>Шланги технические</v>
      </c>
      <c r="I1479" s="36">
        <v>9117</v>
      </c>
      <c r="J1479" s="36" t="str">
        <f>IFERROR(INDEX(Product_Structure[Generic Name (long)],MATCH(Товары[[#This Row],[SubGroup]],Product_Structure[Subgroup],0)),"")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Row],[SubGroup]],DIY!$B:$C,2,FALSE),0)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3" t="str">
        <f>IFERROR(INDEX(Product_Structure[SuperCategory],MATCH(Товары[[#This Row],[SubGroup]],Product_Structure[Subgroup],0)),"")</f>
        <v>O</v>
      </c>
      <c r="D1480" s="113" t="str">
        <f>IFERROR(INDEX(Product_Structure[SuperCategory Name ENG],MATCH(Товары[[#This Row],[SubGroup]],Product_Structure[Subgroup],0)),"")</f>
        <v>Pumps (electric, battery) + spare parts</v>
      </c>
      <c r="E148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0" s="113" t="str">
        <f>IFERROR(INDEX(Product_Structure[Product group],MATCH(Товары[[#This Row],[SubGroup]],Product_Structure[Subgroup],0)),"")</f>
        <v>WPU_C</v>
      </c>
      <c r="G1480" s="113" t="str">
        <f>IFERROR(INDEX(Product_Structure[Product group name ENG],MATCH(Товары[[#This Row],[SubGroup]],Product_Structure[Subgroup],0)),"")</f>
        <v>Watering, Pumps</v>
      </c>
      <c r="H1480" s="113" t="str">
        <f>IFERROR(INDEX(Product_Structure[Generic Name (long)3],MATCH(Товары[[#This Row],[SubGroup]],Product_Structure[Subgroup],0)),"")</f>
        <v>Шланги технические</v>
      </c>
      <c r="I1480" s="36">
        <v>9117</v>
      </c>
      <c r="J1480" s="36" t="str">
        <f>IFERROR(INDEX(Product_Structure[Generic Name (long)],MATCH(Товары[[#This Row],[SubGroup]],Product_Structure[Subgroup],0)),"")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Row],[SubGroup]],DIY!$B:$C,2,FALSE),0)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3" t="str">
        <f>IFERROR(INDEX(Product_Structure[SuperCategory],MATCH(Товары[[#This Row],[SubGroup]],Product_Structure[Subgroup],0)),"")</f>
        <v>O</v>
      </c>
      <c r="D1481" s="113" t="str">
        <f>IFERROR(INDEX(Product_Structure[SuperCategory Name ENG],MATCH(Товары[[#This Row],[SubGroup]],Product_Structure[Subgroup],0)),"")</f>
        <v>Pumps (electric, battery) + spare parts</v>
      </c>
      <c r="E148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1" s="113" t="str">
        <f>IFERROR(INDEX(Product_Structure[Product group],MATCH(Товары[[#This Row],[SubGroup]],Product_Structure[Subgroup],0)),"")</f>
        <v>WPU_C</v>
      </c>
      <c r="G1481" s="113" t="str">
        <f>IFERROR(INDEX(Product_Structure[Product group name ENG],MATCH(Товары[[#This Row],[SubGroup]],Product_Structure[Subgroup],0)),"")</f>
        <v>Watering, Pumps</v>
      </c>
      <c r="H1481" s="113" t="str">
        <f>IFERROR(INDEX(Product_Structure[Generic Name (long)3],MATCH(Товары[[#This Row],[SubGroup]],Product_Structure[Subgroup],0)),"")</f>
        <v>Шланги технические</v>
      </c>
      <c r="I1481" s="36">
        <v>9117</v>
      </c>
      <c r="J1481" s="36" t="str">
        <f>IFERROR(INDEX(Product_Structure[Generic Name (long)],MATCH(Товары[[#This Row],[SubGroup]],Product_Structure[Subgroup],0)),"")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Row],[SubGroup]],DIY!$B:$C,2,FALSE),0)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3" t="str">
        <f>IFERROR(INDEX(Product_Structure[SuperCategory],MATCH(Товары[[#This Row],[SubGroup]],Product_Structure[Subgroup],0)),"")</f>
        <v>O</v>
      </c>
      <c r="D1482" s="113" t="str">
        <f>IFERROR(INDEX(Product_Structure[SuperCategory Name ENG],MATCH(Товары[[#This Row],[SubGroup]],Product_Structure[Subgroup],0)),"")</f>
        <v>Pumps (electric, battery) + spare parts</v>
      </c>
      <c r="E148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2" s="113" t="str">
        <f>IFERROR(INDEX(Product_Structure[Product group],MATCH(Товары[[#This Row],[SubGroup]],Product_Structure[Subgroup],0)),"")</f>
        <v>WPU_C</v>
      </c>
      <c r="G1482" s="113" t="str">
        <f>IFERROR(INDEX(Product_Structure[Product group name ENG],MATCH(Товары[[#This Row],[SubGroup]],Product_Structure[Subgroup],0)),"")</f>
        <v>Watering, Pumps</v>
      </c>
      <c r="H1482" s="113" t="str">
        <f>IFERROR(INDEX(Product_Structure[Generic Name (long)3],MATCH(Товары[[#This Row],[SubGroup]],Product_Structure[Subgroup],0)),"")</f>
        <v>Шланги технические</v>
      </c>
      <c r="I1482" s="36">
        <v>9117</v>
      </c>
      <c r="J1482" s="36" t="str">
        <f>IFERROR(INDEX(Product_Structure[Generic Name (long)],MATCH(Товары[[#This Row],[SubGroup]],Product_Structure[Subgroup],0)),"")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Row],[SubGroup]],DIY!$B:$C,2,FALSE),0)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3" t="str">
        <f>IFERROR(INDEX(Product_Structure[SuperCategory],MATCH(Товары[[#This Row],[SubGroup]],Product_Structure[Subgroup],0)),"")</f>
        <v>O</v>
      </c>
      <c r="D1483" s="113" t="str">
        <f>IFERROR(INDEX(Product_Structure[SuperCategory Name ENG],MATCH(Товары[[#This Row],[SubGroup]],Product_Structure[Subgroup],0)),"")</f>
        <v>Pumps (electric, battery) + spare parts</v>
      </c>
      <c r="E148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3" s="113" t="str">
        <f>IFERROR(INDEX(Product_Structure[Product group],MATCH(Товары[[#This Row],[SubGroup]],Product_Structure[Subgroup],0)),"")</f>
        <v>WPU_C</v>
      </c>
      <c r="G1483" s="113" t="str">
        <f>IFERROR(INDEX(Product_Structure[Product group name ENG],MATCH(Товары[[#This Row],[SubGroup]],Product_Structure[Subgroup],0)),"")</f>
        <v>Watering, Pumps</v>
      </c>
      <c r="H1483" s="113" t="str">
        <f>IFERROR(INDEX(Product_Structure[Generic Name (long)3],MATCH(Товары[[#This Row],[SubGroup]],Product_Structure[Subgroup],0)),"")</f>
        <v>Шланги технические</v>
      </c>
      <c r="I1483" s="36">
        <v>9117</v>
      </c>
      <c r="J1483" s="36" t="str">
        <f>IFERROR(INDEX(Product_Structure[Generic Name (long)],MATCH(Товары[[#This Row],[SubGroup]],Product_Structure[Subgroup],0)),"")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Row],[SubGroup]],DIY!$B:$C,2,FALSE),0)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3" t="str">
        <f>IFERROR(INDEX(Product_Structure[SuperCategory],MATCH(Товары[[#This Row],[SubGroup]],Product_Structure[Subgroup],0)),"")</f>
        <v>O</v>
      </c>
      <c r="D1484" s="113" t="str">
        <f>IFERROR(INDEX(Product_Structure[SuperCategory Name ENG],MATCH(Товары[[#This Row],[SubGroup]],Product_Structure[Subgroup],0)),"")</f>
        <v>Pumps (electric, battery) + spare parts</v>
      </c>
      <c r="E148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4" s="113" t="str">
        <f>IFERROR(INDEX(Product_Structure[Product group],MATCH(Товары[[#This Row],[SubGroup]],Product_Structure[Subgroup],0)),"")</f>
        <v>WPU_C</v>
      </c>
      <c r="G1484" s="113" t="str">
        <f>IFERROR(INDEX(Product_Structure[Product group name ENG],MATCH(Товары[[#This Row],[SubGroup]],Product_Structure[Subgroup],0)),"")</f>
        <v>Watering, Pumps</v>
      </c>
      <c r="H1484" s="113" t="str">
        <f>IFERROR(INDEX(Product_Structure[Generic Name (long)3],MATCH(Товары[[#This Row],[SubGroup]],Product_Structure[Subgroup],0)),"")</f>
        <v>Шланги технические</v>
      </c>
      <c r="I1484" s="36">
        <v>9117</v>
      </c>
      <c r="J1484" s="36" t="str">
        <f>IFERROR(INDEX(Product_Structure[Generic Name (long)],MATCH(Товары[[#This Row],[SubGroup]],Product_Structure[Subgroup],0)),"")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Row],[SubGroup]],DIY!$B:$C,2,FALSE),0)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3" t="str">
        <f>IFERROR(INDEX(Product_Structure[SuperCategory],MATCH(Товары[[#This Row],[SubGroup]],Product_Structure[Subgroup],0)),"")</f>
        <v>O</v>
      </c>
      <c r="D1485" s="113" t="str">
        <f>IFERROR(INDEX(Product_Structure[SuperCategory Name ENG],MATCH(Товары[[#This Row],[SubGroup]],Product_Structure[Subgroup],0)),"")</f>
        <v>Pumps (electric, battery) + spare parts</v>
      </c>
      <c r="E148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5" s="113" t="str">
        <f>IFERROR(INDEX(Product_Structure[Product group],MATCH(Товары[[#This Row],[SubGroup]],Product_Structure[Subgroup],0)),"")</f>
        <v>WPU_C</v>
      </c>
      <c r="G1485" s="113" t="str">
        <f>IFERROR(INDEX(Product_Structure[Product group name ENG],MATCH(Товары[[#This Row],[SubGroup]],Product_Structure[Subgroup],0)),"")</f>
        <v>Watering, Pumps</v>
      </c>
      <c r="H1485" s="113" t="str">
        <f>IFERROR(INDEX(Product_Structure[Generic Name (long)3],MATCH(Товары[[#This Row],[SubGroup]],Product_Structure[Subgroup],0)),"")</f>
        <v>Шланги технические</v>
      </c>
      <c r="I1485" s="36">
        <v>9117</v>
      </c>
      <c r="J1485" s="36" t="str">
        <f>IFERROR(INDEX(Product_Structure[Generic Name (long)],MATCH(Товары[[#This Row],[SubGroup]],Product_Structure[Subgroup],0)),"")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Row],[SubGroup]],DIY!$B:$C,2,FALSE),0)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3" t="str">
        <f>IFERROR(INDEX(Product_Structure[SuperCategory],MATCH(Товары[[#This Row],[SubGroup]],Product_Structure[Subgroup],0)),"")</f>
        <v>O</v>
      </c>
      <c r="D1486" s="113" t="str">
        <f>IFERROR(INDEX(Product_Structure[SuperCategory Name ENG],MATCH(Товары[[#This Row],[SubGroup]],Product_Structure[Subgroup],0)),"")</f>
        <v>Pumps (electric, battery) + spare parts</v>
      </c>
      <c r="E148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6" s="113" t="str">
        <f>IFERROR(INDEX(Product_Structure[Product group],MATCH(Товары[[#This Row],[SubGroup]],Product_Structure[Subgroup],0)),"")</f>
        <v>WPU_C</v>
      </c>
      <c r="G1486" s="113" t="str">
        <f>IFERROR(INDEX(Product_Structure[Product group name ENG],MATCH(Товары[[#This Row],[SubGroup]],Product_Structure[Subgroup],0)),"")</f>
        <v>Watering, Pumps</v>
      </c>
      <c r="H1486" s="113" t="str">
        <f>IFERROR(INDEX(Product_Structure[Generic Name (long)3],MATCH(Товары[[#This Row],[SubGroup]],Product_Structure[Subgroup],0)),"")</f>
        <v>Шланги технические</v>
      </c>
      <c r="I1486" s="36">
        <v>9117</v>
      </c>
      <c r="J1486" s="36" t="str">
        <f>IFERROR(INDEX(Product_Structure[Generic Name (long)],MATCH(Товары[[#This Row],[SubGroup]],Product_Structure[Subgroup],0)),"")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Row],[SubGroup]],DIY!$B:$C,2,FALSE),0)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3" t="str">
        <f>IFERROR(INDEX(Product_Structure[SuperCategory],MATCH(Товары[[#This Row],[SubGroup]],Product_Structure[Subgroup],0)),"")</f>
        <v>O</v>
      </c>
      <c r="D1487" s="113" t="str">
        <f>IFERROR(INDEX(Product_Structure[SuperCategory Name ENG],MATCH(Товары[[#This Row],[SubGroup]],Product_Structure[Subgroup],0)),"")</f>
        <v>Pumps (electric, battery) + spare parts</v>
      </c>
      <c r="E148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7" s="113" t="str">
        <f>IFERROR(INDEX(Product_Structure[Product group],MATCH(Товары[[#This Row],[SubGroup]],Product_Structure[Subgroup],0)),"")</f>
        <v>WPU_C</v>
      </c>
      <c r="G1487" s="113" t="str">
        <f>IFERROR(INDEX(Product_Structure[Product group name ENG],MATCH(Товары[[#This Row],[SubGroup]],Product_Structure[Subgroup],0)),"")</f>
        <v>Watering, Pumps</v>
      </c>
      <c r="H1487" s="113" t="str">
        <f>IFERROR(INDEX(Product_Structure[Generic Name (long)3],MATCH(Товары[[#This Row],[SubGroup]],Product_Structure[Subgroup],0)),"")</f>
        <v>Шланги технические</v>
      </c>
      <c r="I1487" s="36">
        <v>9117</v>
      </c>
      <c r="J1487" s="36" t="str">
        <f>IFERROR(INDEX(Product_Structure[Generic Name (long)],MATCH(Товары[[#This Row],[SubGroup]],Product_Structure[Subgroup],0)),"")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Row],[SubGroup]],DIY!$B:$C,2,FALSE),0)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3" t="str">
        <f>IFERROR(INDEX(Product_Structure[SuperCategory],MATCH(Товары[[#This Row],[SubGroup]],Product_Structure[Subgroup],0)),"")</f>
        <v>O</v>
      </c>
      <c r="D1488" s="113" t="str">
        <f>IFERROR(INDEX(Product_Structure[SuperCategory Name ENG],MATCH(Товары[[#This Row],[SubGroup]],Product_Structure[Subgroup],0)),"")</f>
        <v>Pumps (electric, battery) + spare parts</v>
      </c>
      <c r="E148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8" s="113" t="str">
        <f>IFERROR(INDEX(Product_Structure[Product group],MATCH(Товары[[#This Row],[SubGroup]],Product_Structure[Subgroup],0)),"")</f>
        <v>WPU_C</v>
      </c>
      <c r="G1488" s="113" t="str">
        <f>IFERROR(INDEX(Product_Structure[Product group name ENG],MATCH(Товары[[#This Row],[SubGroup]],Product_Structure[Subgroup],0)),"")</f>
        <v>Watering, Pumps</v>
      </c>
      <c r="H1488" s="113" t="str">
        <f>IFERROR(INDEX(Product_Structure[Generic Name (long)3],MATCH(Товары[[#This Row],[SubGroup]],Product_Structure[Subgroup],0)),"")</f>
        <v>Шланги технические</v>
      </c>
      <c r="I1488" s="36">
        <v>9117</v>
      </c>
      <c r="J1488" s="36" t="str">
        <f>IFERROR(INDEX(Product_Structure[Generic Name (long)],MATCH(Товары[[#This Row],[SubGroup]],Product_Structure[Subgroup],0)),"")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Row],[SubGroup]],DIY!$B:$C,2,FALSE),0)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3" t="str">
        <f>IFERROR(INDEX(Product_Structure[SuperCategory],MATCH(Товары[[#This Row],[SubGroup]],Product_Structure[Subgroup],0)),"")</f>
        <v>O</v>
      </c>
      <c r="D1489" s="113" t="str">
        <f>IFERROR(INDEX(Product_Structure[SuperCategory Name ENG],MATCH(Товары[[#This Row],[SubGroup]],Product_Structure[Subgroup],0)),"")</f>
        <v>Pumps (electric, battery) + spare parts</v>
      </c>
      <c r="E148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89" s="113" t="str">
        <f>IFERROR(INDEX(Product_Structure[Product group],MATCH(Товары[[#This Row],[SubGroup]],Product_Structure[Subgroup],0)),"")</f>
        <v>WPU_C</v>
      </c>
      <c r="G1489" s="113" t="str">
        <f>IFERROR(INDEX(Product_Structure[Product group name ENG],MATCH(Товары[[#This Row],[SubGroup]],Product_Structure[Subgroup],0)),"")</f>
        <v>Watering, Pumps</v>
      </c>
      <c r="H1489" s="113" t="str">
        <f>IFERROR(INDEX(Product_Structure[Generic Name (long)3],MATCH(Товары[[#This Row],[SubGroup]],Product_Structure[Subgroup],0)),"")</f>
        <v>Шланги всасывающие</v>
      </c>
      <c r="I1489" s="36">
        <v>9116</v>
      </c>
      <c r="J1489" s="36" t="str">
        <f>IFERROR(INDEX(Product_Structure[Generic Name (long)],MATCH(Товары[[#This Row],[SubGroup]],Product_Structure[Subgroup],0)),"")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Row],[SubGroup]],DIY!$B:$C,2,FALSE),0)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3" t="str">
        <f>IFERROR(INDEX(Product_Structure[SuperCategory],MATCH(Товары[[#This Row],[SubGroup]],Product_Structure[Subgroup],0)),"")</f>
        <v>O</v>
      </c>
      <c r="D1490" s="113" t="str">
        <f>IFERROR(INDEX(Product_Structure[SuperCategory Name ENG],MATCH(Товары[[#This Row],[SubGroup]],Product_Structure[Subgroup],0)),"")</f>
        <v>Pumps (electric, battery) + spare parts</v>
      </c>
      <c r="E149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0" s="113" t="str">
        <f>IFERROR(INDEX(Product_Structure[Product group],MATCH(Товары[[#This Row],[SubGroup]],Product_Structure[Subgroup],0)),"")</f>
        <v>WPU_C</v>
      </c>
      <c r="G1490" s="113" t="str">
        <f>IFERROR(INDEX(Product_Structure[Product group name ENG],MATCH(Товары[[#This Row],[SubGroup]],Product_Structure[Subgroup],0)),"")</f>
        <v>Watering, Pumps</v>
      </c>
      <c r="H1490" s="113" t="str">
        <f>IFERROR(INDEX(Product_Structure[Generic Name (long)3],MATCH(Товары[[#This Row],[SubGroup]],Product_Structure[Subgroup],0)),"")</f>
        <v>Шланги всасывающие</v>
      </c>
      <c r="I1490" s="36">
        <v>9116</v>
      </c>
      <c r="J1490" s="36" t="str">
        <f>IFERROR(INDEX(Product_Structure[Generic Name (long)],MATCH(Товары[[#This Row],[SubGroup]],Product_Structure[Subgroup],0)),"")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Row],[SubGroup]],DIY!$B:$C,2,FALSE),0)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3" t="str">
        <f>IFERROR(INDEX(Product_Structure[SuperCategory],MATCH(Товары[[#This Row],[SubGroup]],Product_Structure[Subgroup],0)),"")</f>
        <v>O</v>
      </c>
      <c r="D1491" s="113" t="str">
        <f>IFERROR(INDEX(Product_Structure[SuperCategory Name ENG],MATCH(Товары[[#This Row],[SubGroup]],Product_Structure[Subgroup],0)),"")</f>
        <v>Pumps (electric, battery) + spare parts</v>
      </c>
      <c r="E149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1" s="113" t="str">
        <f>IFERROR(INDEX(Product_Structure[Product group],MATCH(Товары[[#This Row],[SubGroup]],Product_Structure[Subgroup],0)),"")</f>
        <v>WPU_C</v>
      </c>
      <c r="G1491" s="113" t="str">
        <f>IFERROR(INDEX(Product_Structure[Product group name ENG],MATCH(Товары[[#This Row],[SubGroup]],Product_Structure[Subgroup],0)),"")</f>
        <v>Watering, Pumps</v>
      </c>
      <c r="H1491" s="113" t="str">
        <f>IFERROR(INDEX(Product_Structure[Generic Name (long)3],MATCH(Товары[[#This Row],[SubGroup]],Product_Structure[Subgroup],0)),"")</f>
        <v>Шланги всасывающие</v>
      </c>
      <c r="I1491" s="36">
        <v>9116</v>
      </c>
      <c r="J1491" s="36" t="str">
        <f>IFERROR(INDEX(Product_Structure[Generic Name (long)],MATCH(Товары[[#This Row],[SubGroup]],Product_Structure[Subgroup],0)),"")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Row],[SubGroup]],DIY!$B:$C,2,FALSE),0)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3" t="str">
        <f>IFERROR(INDEX(Product_Structure[SuperCategory],MATCH(Товары[[#This Row],[SubGroup]],Product_Structure[Subgroup],0)),"")</f>
        <v>O</v>
      </c>
      <c r="D1492" s="113" t="str">
        <f>IFERROR(INDEX(Product_Structure[SuperCategory Name ENG],MATCH(Товары[[#This Row],[SubGroup]],Product_Structure[Subgroup],0)),"")</f>
        <v>Pumps (electric, battery) + spare parts</v>
      </c>
      <c r="E149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2" s="113" t="str">
        <f>IFERROR(INDEX(Product_Structure[Product group],MATCH(Товары[[#This Row],[SubGroup]],Product_Structure[Subgroup],0)),"")</f>
        <v>WPU_C</v>
      </c>
      <c r="G1492" s="113" t="str">
        <f>IFERROR(INDEX(Product_Structure[Product group name ENG],MATCH(Товары[[#This Row],[SubGroup]],Product_Structure[Subgroup],0)),"")</f>
        <v>Watering, Pumps</v>
      </c>
      <c r="H1492" s="113" t="str">
        <f>IFERROR(INDEX(Product_Structure[Generic Name (long)3],MATCH(Товары[[#This Row],[SubGroup]],Product_Structure[Subgroup],0)),"")</f>
        <v>Насосы погружные электрические</v>
      </c>
      <c r="I1492" s="36">
        <v>9114</v>
      </c>
      <c r="J1492" s="36" t="str">
        <f>IFERROR(INDEX(Product_Structure[Generic Name (long)],MATCH(Товары[[#This Row],[SubGroup]],Product_Structure[Subgroup],0)),"")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Row],[SubGroup]],DIY!$B:$C,2,FALSE),0)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3" t="str">
        <f>IFERROR(INDEX(Product_Structure[SuperCategory],MATCH(Товары[[#This Row],[SubGroup]],Product_Structure[Subgroup],0)),"")</f>
        <v>O</v>
      </c>
      <c r="D1493" s="113" t="str">
        <f>IFERROR(INDEX(Product_Structure[SuperCategory Name ENG],MATCH(Товары[[#This Row],[SubGroup]],Product_Structure[Subgroup],0)),"")</f>
        <v>Pumps (electric, battery) + spare parts</v>
      </c>
      <c r="E149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3" s="113" t="str">
        <f>IFERROR(INDEX(Product_Structure[Product group],MATCH(Товары[[#This Row],[SubGroup]],Product_Structure[Subgroup],0)),"")</f>
        <v>WPU_C</v>
      </c>
      <c r="G1493" s="113" t="str">
        <f>IFERROR(INDEX(Product_Structure[Product group name ENG],MATCH(Товары[[#This Row],[SubGroup]],Product_Structure[Subgroup],0)),"")</f>
        <v>Watering, Pumps</v>
      </c>
      <c r="H1493" s="113" t="str">
        <f>IFERROR(INDEX(Product_Structure[Generic Name (long)3],MATCH(Товары[[#This Row],[SubGroup]],Product_Structure[Subgroup],0)),"")</f>
        <v>Насосы погружные электрические</v>
      </c>
      <c r="I1493" s="36">
        <v>9114</v>
      </c>
      <c r="J1493" s="36" t="str">
        <f>IFERROR(INDEX(Product_Structure[Generic Name (long)],MATCH(Товары[[#This Row],[SubGroup]],Product_Structure[Subgroup],0)),"")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Row],[SubGroup]],DIY!$B:$C,2,FALSE),0)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3" t="str">
        <f>IFERROR(INDEX(Product_Structure[SuperCategory],MATCH(Товары[[#This Row],[SubGroup]],Product_Structure[Subgroup],0)),"")</f>
        <v>O</v>
      </c>
      <c r="D1494" s="113" t="str">
        <f>IFERROR(INDEX(Product_Structure[SuperCategory Name ENG],MATCH(Товары[[#This Row],[SubGroup]],Product_Structure[Subgroup],0)),"")</f>
        <v>Pumps (electric, battery) + spare parts</v>
      </c>
      <c r="E149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4" s="113" t="str">
        <f>IFERROR(INDEX(Product_Structure[Product group],MATCH(Товары[[#This Row],[SubGroup]],Product_Structure[Subgroup],0)),"")</f>
        <v>WPU_C</v>
      </c>
      <c r="G1494" s="113" t="str">
        <f>IFERROR(INDEX(Product_Structure[Product group name ENG],MATCH(Товары[[#This Row],[SubGroup]],Product_Structure[Subgroup],0)),"")</f>
        <v>Watering, Pumps</v>
      </c>
      <c r="H1494" s="113" t="str">
        <f>IFERROR(INDEX(Product_Structure[Generic Name (long)3],MATCH(Товары[[#This Row],[SubGroup]],Product_Structure[Subgroup],0)),"")</f>
        <v>Шланги всасывающие</v>
      </c>
      <c r="I1494" s="36">
        <v>9116</v>
      </c>
      <c r="J1494" s="36" t="str">
        <f>IFERROR(INDEX(Product_Structure[Generic Name (long)],MATCH(Товары[[#This Row],[SubGroup]],Product_Structure[Subgroup],0)),"")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Row],[SubGroup]],DIY!$B:$C,2,FALSE),0)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3" t="str">
        <f>IFERROR(INDEX(Product_Structure[SuperCategory],MATCH(Товары[[#This Row],[SubGroup]],Product_Structure[Subgroup],0)),"")</f>
        <v>O</v>
      </c>
      <c r="D1495" s="113" t="str">
        <f>IFERROR(INDEX(Product_Structure[SuperCategory Name ENG],MATCH(Товары[[#This Row],[SubGroup]],Product_Structure[Subgroup],0)),"")</f>
        <v>Pumps (electric, battery) + spare parts</v>
      </c>
      <c r="E149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5" s="113" t="str">
        <f>IFERROR(INDEX(Product_Structure[Product group],MATCH(Товары[[#This Row],[SubGroup]],Product_Structure[Subgroup],0)),"")</f>
        <v>WPU_C</v>
      </c>
      <c r="G1495" s="113" t="str">
        <f>IFERROR(INDEX(Product_Structure[Product group name ENG],MATCH(Товары[[#This Row],[SubGroup]],Product_Structure[Subgroup],0)),"")</f>
        <v>Watering, Pumps</v>
      </c>
      <c r="H1495" s="113" t="str">
        <f>IFERROR(INDEX(Product_Structure[Generic Name (long)3],MATCH(Товары[[#This Row],[SubGroup]],Product_Structure[Subgroup],0)),"")</f>
        <v>Насосы погружные электрические</v>
      </c>
      <c r="I1495" s="36">
        <v>9114</v>
      </c>
      <c r="J1495" s="36" t="str">
        <f>IFERROR(INDEX(Product_Structure[Generic Name (long)],MATCH(Товары[[#This Row],[SubGroup]],Product_Structure[Subgroup],0)),"")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Row],[SubGroup]],DIY!$B:$C,2,FALSE),0)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3" t="str">
        <f>IFERROR(INDEX(Product_Structure[SuperCategory],MATCH(Товары[[#This Row],[SubGroup]],Product_Structure[Subgroup],0)),"")</f>
        <v>O</v>
      </c>
      <c r="D1496" s="113" t="str">
        <f>IFERROR(INDEX(Product_Structure[SuperCategory Name ENG],MATCH(Товары[[#This Row],[SubGroup]],Product_Structure[Subgroup],0)),"")</f>
        <v>Pumps (electric, battery) + spare parts</v>
      </c>
      <c r="E149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6" s="113" t="str">
        <f>IFERROR(INDEX(Product_Structure[Product group],MATCH(Товары[[#This Row],[SubGroup]],Product_Structure[Subgroup],0)),"")</f>
        <v>WPU_C</v>
      </c>
      <c r="G1496" s="113" t="str">
        <f>IFERROR(INDEX(Product_Structure[Product group name ENG],MATCH(Товары[[#This Row],[SubGroup]],Product_Structure[Subgroup],0)),"")</f>
        <v>Watering, Pumps</v>
      </c>
      <c r="H1496" s="113" t="str">
        <f>IFERROR(INDEX(Product_Structure[Generic Name (long)3],MATCH(Товары[[#This Row],[SubGroup]],Product_Structure[Subgroup],0)),"")</f>
        <v>Насосы погружные электрические</v>
      </c>
      <c r="I1496" s="36">
        <v>9114</v>
      </c>
      <c r="J1496" s="36" t="str">
        <f>IFERROR(INDEX(Product_Structure[Generic Name (long)],MATCH(Товары[[#This Row],[SubGroup]],Product_Structure[Subgroup],0)),"")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Row],[SubGroup]],DIY!$B:$C,2,FALSE),0)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3" t="str">
        <f>IFERROR(INDEX(Product_Structure[SuperCategory],MATCH(Товары[[#This Row],[SubGroup]],Product_Structure[Subgroup],0)),"")</f>
        <v>O</v>
      </c>
      <c r="D1497" s="113" t="str">
        <f>IFERROR(INDEX(Product_Structure[SuperCategory Name ENG],MATCH(Товары[[#This Row],[SubGroup]],Product_Structure[Subgroup],0)),"")</f>
        <v>Pumps (electric, battery) + spare parts</v>
      </c>
      <c r="E149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7" s="113" t="str">
        <f>IFERROR(INDEX(Product_Structure[Product group],MATCH(Товары[[#This Row],[SubGroup]],Product_Structure[Subgroup],0)),"")</f>
        <v>WPU_C</v>
      </c>
      <c r="G1497" s="113" t="str">
        <f>IFERROR(INDEX(Product_Structure[Product group name ENG],MATCH(Товары[[#This Row],[SubGroup]],Product_Structure[Subgroup],0)),"")</f>
        <v>Watering, Pumps</v>
      </c>
      <c r="H1497" s="113" t="str">
        <f>IFERROR(INDEX(Product_Structure[Generic Name (long)3],MATCH(Товары[[#This Row],[SubGroup]],Product_Structure[Subgroup],0)),"")</f>
        <v>Насосы дренажные электрические</v>
      </c>
      <c r="I1497" s="36">
        <v>9115</v>
      </c>
      <c r="J1497" s="36" t="str">
        <f>IFERROR(INDEX(Product_Structure[Generic Name (long)],MATCH(Товары[[#This Row],[SubGroup]],Product_Structure[Subgroup],0)),"")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Row],[SubGroup]],DIY!$B:$C,2,FALSE),0)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3" t="str">
        <f>IFERROR(INDEX(Product_Structure[SuperCategory],MATCH(Товары[[#This Row],[SubGroup]],Product_Structure[Subgroup],0)),"")</f>
        <v>O</v>
      </c>
      <c r="D1498" s="113" t="str">
        <f>IFERROR(INDEX(Product_Structure[SuperCategory Name ENG],MATCH(Товары[[#This Row],[SubGroup]],Product_Structure[Subgroup],0)),"")</f>
        <v>Pumps (electric, battery) + spare parts</v>
      </c>
      <c r="E149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8" s="113" t="str">
        <f>IFERROR(INDEX(Product_Structure[Product group],MATCH(Товары[[#This Row],[SubGroup]],Product_Structure[Subgroup],0)),"")</f>
        <v>WPU_C</v>
      </c>
      <c r="G1498" s="113" t="str">
        <f>IFERROR(INDEX(Product_Structure[Product group name ENG],MATCH(Товары[[#This Row],[SubGroup]],Product_Structure[Subgroup],0)),"")</f>
        <v>Watering, Pumps</v>
      </c>
      <c r="H1498" s="113" t="str">
        <f>IFERROR(INDEX(Product_Structure[Generic Name (long)3],MATCH(Товары[[#This Row],[SubGroup]],Product_Structure[Subgroup],0)),"")</f>
        <v>Насосы дренажные электрические</v>
      </c>
      <c r="I1498" s="36">
        <v>9115</v>
      </c>
      <c r="J1498" s="36" t="str">
        <f>IFERROR(INDEX(Product_Structure[Generic Name (long)],MATCH(Товары[[#This Row],[SubGroup]],Product_Structure[Subgroup],0)),"")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Row],[SubGroup]],DIY!$B:$C,2,FALSE),0)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3" t="str">
        <f>IFERROR(INDEX(Product_Structure[SuperCategory],MATCH(Товары[[#This Row],[SubGroup]],Product_Structure[Subgroup],0)),"")</f>
        <v>O</v>
      </c>
      <c r="D1499" s="113" t="str">
        <f>IFERROR(INDEX(Product_Structure[SuperCategory Name ENG],MATCH(Товары[[#This Row],[SubGroup]],Product_Structure[Subgroup],0)),"")</f>
        <v>Pumps (electric, battery) + spare parts</v>
      </c>
      <c r="E149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499" s="113" t="str">
        <f>IFERROR(INDEX(Product_Structure[Product group],MATCH(Товары[[#This Row],[SubGroup]],Product_Structure[Subgroup],0)),"")</f>
        <v>WPU_C</v>
      </c>
      <c r="G1499" s="113" t="str">
        <f>IFERROR(INDEX(Product_Structure[Product group name ENG],MATCH(Товары[[#This Row],[SubGroup]],Product_Structure[Subgroup],0)),"")</f>
        <v>Watering, Pumps</v>
      </c>
      <c r="H1499" s="113" t="str">
        <f>IFERROR(INDEX(Product_Structure[Generic Name (long)3],MATCH(Товары[[#This Row],[SubGroup]],Product_Structure[Subgroup],0)),"")</f>
        <v>Насосы дренажные электрические</v>
      </c>
      <c r="I1499" s="36">
        <v>9115</v>
      </c>
      <c r="J1499" s="36" t="str">
        <f>IFERROR(INDEX(Product_Structure[Generic Name (long)],MATCH(Товары[[#This Row],[SubGroup]],Product_Structure[Subgroup],0)),"")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Row],[SubGroup]],DIY!$B:$C,2,FALSE),0)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3" t="str">
        <f>IFERROR(INDEX(Product_Structure[SuperCategory],MATCH(Товары[[#This Row],[SubGroup]],Product_Structure[Subgroup],0)),"")</f>
        <v>O</v>
      </c>
      <c r="D1500" s="113" t="str">
        <f>IFERROR(INDEX(Product_Structure[SuperCategory Name ENG],MATCH(Товары[[#This Row],[SubGroup]],Product_Structure[Subgroup],0)),"")</f>
        <v>Pumps (electric, battery) + spare parts</v>
      </c>
      <c r="E150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0" s="113" t="str">
        <f>IFERROR(INDEX(Product_Structure[Product group],MATCH(Товары[[#This Row],[SubGroup]],Product_Structure[Subgroup],0)),"")</f>
        <v>WPU_C</v>
      </c>
      <c r="G1500" s="113" t="str">
        <f>IFERROR(INDEX(Product_Structure[Product group name ENG],MATCH(Товары[[#This Row],[SubGroup]],Product_Structure[Subgroup],0)),"")</f>
        <v>Watering, Pumps</v>
      </c>
      <c r="H1500" s="113" t="str">
        <f>IFERROR(INDEX(Product_Structure[Generic Name (long)3],MATCH(Товары[[#This Row],[SubGroup]],Product_Structure[Subgroup],0)),"")</f>
        <v>Насосы садовые электрические</v>
      </c>
      <c r="I1500" s="36">
        <v>9111</v>
      </c>
      <c r="J1500" s="36" t="str">
        <f>IFERROR(INDEX(Product_Structure[Generic Name (long)],MATCH(Товары[[#This Row],[SubGroup]],Product_Structure[Subgroup],0)),"")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Row],[SubGroup]],DIY!$B:$C,2,FALSE),0)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3" t="str">
        <f>IFERROR(INDEX(Product_Structure[SuperCategory],MATCH(Товары[[#This Row],[SubGroup]],Product_Structure[Subgroup],0)),"")</f>
        <v>O</v>
      </c>
      <c r="D1501" s="113" t="str">
        <f>IFERROR(INDEX(Product_Structure[SuperCategory Name ENG],MATCH(Товары[[#This Row],[SubGroup]],Product_Structure[Subgroup],0)),"")</f>
        <v>Pumps (electric, battery) + spare parts</v>
      </c>
      <c r="E150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1" s="113" t="str">
        <f>IFERROR(INDEX(Product_Structure[Product group],MATCH(Товары[[#This Row],[SubGroup]],Product_Structure[Subgroup],0)),"")</f>
        <v>WPU_C</v>
      </c>
      <c r="G1501" s="113" t="str">
        <f>IFERROR(INDEX(Product_Structure[Product group name ENG],MATCH(Товары[[#This Row],[SubGroup]],Product_Structure[Subgroup],0)),"")</f>
        <v>Watering, Pumps</v>
      </c>
      <c r="H1501" s="113" t="str">
        <f>IFERROR(INDEX(Product_Structure[Generic Name (long)3],MATCH(Товары[[#This Row],[SubGroup]],Product_Structure[Subgroup],0)),"")</f>
        <v>Насосы садовые электрические</v>
      </c>
      <c r="I1501" s="36">
        <v>9111</v>
      </c>
      <c r="J1501" s="36" t="str">
        <f>IFERROR(INDEX(Product_Structure[Generic Name (long)],MATCH(Товары[[#This Row],[SubGroup]],Product_Structure[Subgroup],0)),"")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Row],[SubGroup]],DIY!$B:$C,2,FALSE),0)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3" t="str">
        <f>IFERROR(INDEX(Product_Structure[SuperCategory],MATCH(Товары[[#This Row],[SubGroup]],Product_Structure[Subgroup],0)),"")</f>
        <v>O</v>
      </c>
      <c r="D1502" s="113" t="str">
        <f>IFERROR(INDEX(Product_Structure[SuperCategory Name ENG],MATCH(Товары[[#This Row],[SubGroup]],Product_Structure[Subgroup],0)),"")</f>
        <v>Pumps (electric, battery) + spare parts</v>
      </c>
      <c r="E150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2" s="113" t="str">
        <f>IFERROR(INDEX(Product_Structure[Product group],MATCH(Товары[[#This Row],[SubGroup]],Product_Structure[Subgroup],0)),"")</f>
        <v>WPU_C</v>
      </c>
      <c r="G1502" s="113" t="str">
        <f>IFERROR(INDEX(Product_Structure[Product group name ENG],MATCH(Товары[[#This Row],[SubGroup]],Product_Structure[Subgroup],0)),"")</f>
        <v>Watering, Pumps</v>
      </c>
      <c r="H1502" s="113" t="str">
        <f>IFERROR(INDEX(Product_Structure[Generic Name (long)3],MATCH(Товары[[#This Row],[SubGroup]],Product_Structure[Subgroup],0)),"")</f>
        <v>Насосы садовые электрические</v>
      </c>
      <c r="I1502" s="36">
        <v>9111</v>
      </c>
      <c r="J1502" s="36" t="str">
        <f>IFERROR(INDEX(Product_Structure[Generic Name (long)],MATCH(Товары[[#This Row],[SubGroup]],Product_Structure[Subgroup],0)),"")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Row],[SubGroup]],DIY!$B:$C,2,FALSE),0)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3" t="str">
        <f>IFERROR(INDEX(Product_Structure[SuperCategory],MATCH(Товары[[#This Row],[SubGroup]],Product_Structure[Subgroup],0)),"")</f>
        <v>O</v>
      </c>
      <c r="D1503" s="113" t="str">
        <f>IFERROR(INDEX(Product_Structure[SuperCategory Name ENG],MATCH(Товары[[#This Row],[SubGroup]],Product_Structure[Subgroup],0)),"")</f>
        <v>Pumps (electric, battery) + spare parts</v>
      </c>
      <c r="E150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3" s="113" t="str">
        <f>IFERROR(INDEX(Product_Structure[Product group],MATCH(Товары[[#This Row],[SubGroup]],Product_Structure[Subgroup],0)),"")</f>
        <v>WPU_C</v>
      </c>
      <c r="G1503" s="113" t="str">
        <f>IFERROR(INDEX(Product_Structure[Product group name ENG],MATCH(Товары[[#This Row],[SubGroup]],Product_Structure[Subgroup],0)),"")</f>
        <v>Watering, Pumps</v>
      </c>
      <c r="H1503" s="113" t="str">
        <f>IFERROR(INDEX(Product_Structure[Generic Name (long)3],MATCH(Товары[[#This Row],[SubGroup]],Product_Structure[Subgroup],0)),"")</f>
        <v>Насосы садовые электрические</v>
      </c>
      <c r="I1503" s="36">
        <v>9111</v>
      </c>
      <c r="J1503" s="36" t="str">
        <f>IFERROR(INDEX(Product_Structure[Generic Name (long)],MATCH(Товары[[#This Row],[SubGroup]],Product_Structure[Subgroup],0)),"")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Row],[SubGroup]],DIY!$B:$C,2,FALSE),0)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3" t="str">
        <f>IFERROR(INDEX(Product_Structure[SuperCategory],MATCH(Товары[[#This Row],[SubGroup]],Product_Structure[Subgroup],0)),"")</f>
        <v>O</v>
      </c>
      <c r="D1504" s="113" t="str">
        <f>IFERROR(INDEX(Product_Structure[SuperCategory Name ENG],MATCH(Товары[[#This Row],[SubGroup]],Product_Structure[Subgroup],0)),"")</f>
        <v>Pumps (electric, battery) + spare parts</v>
      </c>
      <c r="E150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4" s="113" t="str">
        <f>IFERROR(INDEX(Product_Structure[Product group],MATCH(Товары[[#This Row],[SubGroup]],Product_Structure[Subgroup],0)),"")</f>
        <v>WPU_C</v>
      </c>
      <c r="G1504" s="113" t="str">
        <f>IFERROR(INDEX(Product_Structure[Product group name ENG],MATCH(Товары[[#This Row],[SubGroup]],Product_Structure[Subgroup],0)),"")</f>
        <v>Watering, Pumps</v>
      </c>
      <c r="H1504" s="113" t="str">
        <f>IFERROR(INDEX(Product_Structure[Generic Name (long)3],MATCH(Товары[[#This Row],[SubGroup]],Product_Structure[Subgroup],0)),"")</f>
        <v>Насосы садовые электрические</v>
      </c>
      <c r="I1504" s="36">
        <v>9111</v>
      </c>
      <c r="J1504" s="36" t="str">
        <f>IFERROR(INDEX(Product_Structure[Generic Name (long)],MATCH(Товары[[#This Row],[SubGroup]],Product_Structure[Subgroup],0)),"")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Row],[SubGroup]],DIY!$B:$C,2,FALSE),0)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3" t="str">
        <f>IFERROR(INDEX(Product_Structure[SuperCategory],MATCH(Товары[[#This Row],[SubGroup]],Product_Structure[Subgroup],0)),"")</f>
        <v>O</v>
      </c>
      <c r="D1505" s="113" t="str">
        <f>IFERROR(INDEX(Product_Structure[SuperCategory Name ENG],MATCH(Товары[[#This Row],[SubGroup]],Product_Structure[Subgroup],0)),"")</f>
        <v>Pumps (electric, battery) + spare parts</v>
      </c>
      <c r="E150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5" s="113" t="str">
        <f>IFERROR(INDEX(Product_Structure[Product group],MATCH(Товары[[#This Row],[SubGroup]],Product_Structure[Subgroup],0)),"")</f>
        <v>WPU_C</v>
      </c>
      <c r="G1505" s="113" t="str">
        <f>IFERROR(INDEX(Product_Structure[Product group name ENG],MATCH(Товары[[#This Row],[SubGroup]],Product_Structure[Subgroup],0)),"")</f>
        <v>Watering, Pumps</v>
      </c>
      <c r="H1505" s="113" t="str">
        <f>IFERROR(INDEX(Product_Structure[Generic Name (long)3],MATCH(Товары[[#This Row],[SubGroup]],Product_Structure[Subgroup],0)),"")</f>
        <v>Шланги всасывающие</v>
      </c>
      <c r="I1505" s="36">
        <v>9116</v>
      </c>
      <c r="J1505" s="36" t="str">
        <f>IFERROR(INDEX(Product_Structure[Generic Name (long)],MATCH(Товары[[#This Row],[SubGroup]],Product_Structure[Subgroup],0)),"")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Row],[SubGroup]],DIY!$B:$C,2,FALSE),0)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3" t="str">
        <f>IFERROR(INDEX(Product_Structure[SuperCategory],MATCH(Товары[[#This Row],[SubGroup]],Product_Structure[Subgroup],0)),"")</f>
        <v>O</v>
      </c>
      <c r="D1506" s="113" t="str">
        <f>IFERROR(INDEX(Product_Structure[SuperCategory Name ENG],MATCH(Товары[[#This Row],[SubGroup]],Product_Structure[Subgroup],0)),"")</f>
        <v>Pumps (electric, battery) + spare parts</v>
      </c>
      <c r="E150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6" s="113" t="str">
        <f>IFERROR(INDEX(Product_Structure[Product group],MATCH(Товары[[#This Row],[SubGroup]],Product_Structure[Subgroup],0)),"")</f>
        <v>WPU_C</v>
      </c>
      <c r="G1506" s="113" t="str">
        <f>IFERROR(INDEX(Product_Structure[Product group name ENG],MATCH(Товары[[#This Row],[SubGroup]],Product_Structure[Subgroup],0)),"")</f>
        <v>Watering, Pumps</v>
      </c>
      <c r="H1506" s="113" t="str">
        <f>IFERROR(INDEX(Product_Structure[Generic Name (long)3],MATCH(Товары[[#This Row],[SubGroup]],Product_Structure[Subgroup],0)),"")</f>
        <v>Шланги всасывающие</v>
      </c>
      <c r="I1506" s="36">
        <v>9116</v>
      </c>
      <c r="J1506" s="36" t="str">
        <f>IFERROR(INDEX(Product_Structure[Generic Name (long)],MATCH(Товары[[#This Row],[SubGroup]],Product_Structure[Subgroup],0)),"")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Row],[SubGroup]],DIY!$B:$C,2,FALSE),0)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3" t="str">
        <f>IFERROR(INDEX(Product_Structure[SuperCategory],MATCH(Товары[[#This Row],[SubGroup]],Product_Structure[Subgroup],0)),"")</f>
        <v>O</v>
      </c>
      <c r="D1507" s="113" t="str">
        <f>IFERROR(INDEX(Product_Structure[SuperCategory Name ENG],MATCH(Товары[[#This Row],[SubGroup]],Product_Structure[Subgroup],0)),"")</f>
        <v>Pumps (electric, battery) + spare parts</v>
      </c>
      <c r="E150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7" s="113" t="str">
        <f>IFERROR(INDEX(Product_Structure[Product group],MATCH(Товары[[#This Row],[SubGroup]],Product_Structure[Subgroup],0)),"")</f>
        <v>WPU_C</v>
      </c>
      <c r="G1507" s="113" t="str">
        <f>IFERROR(INDEX(Product_Structure[Product group name ENG],MATCH(Товары[[#This Row],[SubGroup]],Product_Structure[Subgroup],0)),"")</f>
        <v>Watering, Pumps</v>
      </c>
      <c r="H1507" s="113" t="str">
        <f>IFERROR(INDEX(Product_Structure[Generic Name (long)3],MATCH(Товары[[#This Row],[SubGroup]],Product_Structure[Subgroup],0)),"")</f>
        <v>Шланги всасывающие</v>
      </c>
      <c r="I1507" s="36">
        <v>9116</v>
      </c>
      <c r="J1507" s="36" t="str">
        <f>IFERROR(INDEX(Product_Structure[Generic Name (long)],MATCH(Товары[[#This Row],[SubGroup]],Product_Structure[Subgroup],0)),"")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Row],[SubGroup]],DIY!$B:$C,2,FALSE),0)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3" t="str">
        <f>IFERROR(INDEX(Product_Structure[SuperCategory],MATCH(Товары[[#This Row],[SubGroup]],Product_Structure[Subgroup],0)),"")</f>
        <v>O</v>
      </c>
      <c r="D1508" s="113" t="str">
        <f>IFERROR(INDEX(Product_Structure[SuperCategory Name ENG],MATCH(Товары[[#This Row],[SubGroup]],Product_Structure[Subgroup],0)),"")</f>
        <v>Pumps (electric, battery) + spare parts</v>
      </c>
      <c r="E150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8" s="113" t="str">
        <f>IFERROR(INDEX(Product_Structure[Product group],MATCH(Товары[[#This Row],[SubGroup]],Product_Structure[Subgroup],0)),"")</f>
        <v>WPU_C</v>
      </c>
      <c r="G1508" s="113" t="str">
        <f>IFERROR(INDEX(Product_Structure[Product group name ENG],MATCH(Товары[[#This Row],[SubGroup]],Product_Structure[Subgroup],0)),"")</f>
        <v>Watering, Pumps</v>
      </c>
      <c r="H1508" s="113" t="str">
        <f>IFERROR(INDEX(Product_Structure[Generic Name (long)3],MATCH(Товары[[#This Row],[SubGroup]],Product_Structure[Subgroup],0)),"")</f>
        <v>Шланги всасывающие</v>
      </c>
      <c r="I1508" s="36">
        <v>9116</v>
      </c>
      <c r="J1508" s="36" t="str">
        <f>IFERROR(INDEX(Product_Structure[Generic Name (long)],MATCH(Товары[[#This Row],[SubGroup]],Product_Structure[Subgroup],0)),"")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Row],[SubGroup]],DIY!$B:$C,2,FALSE),0)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3" t="str">
        <f>IFERROR(INDEX(Product_Structure[SuperCategory],MATCH(Товары[[#This Row],[SubGroup]],Product_Structure[Subgroup],0)),"")</f>
        <v>O</v>
      </c>
      <c r="D1509" s="113" t="str">
        <f>IFERROR(INDEX(Product_Structure[SuperCategory Name ENG],MATCH(Товары[[#This Row],[SubGroup]],Product_Structure[Subgroup],0)),"")</f>
        <v>Pumps (electric, battery) + spare parts</v>
      </c>
      <c r="E150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09" s="113" t="str">
        <f>IFERROR(INDEX(Product_Structure[Product group],MATCH(Товары[[#This Row],[SubGroup]],Product_Structure[Subgroup],0)),"")</f>
        <v>WPU_C</v>
      </c>
      <c r="G1509" s="113" t="str">
        <f>IFERROR(INDEX(Product_Structure[Product group name ENG],MATCH(Товары[[#This Row],[SubGroup]],Product_Structure[Subgroup],0)),"")</f>
        <v>Watering, Pumps</v>
      </c>
      <c r="H1509" s="113" t="str">
        <f>IFERROR(INDEX(Product_Structure[Generic Name (long)3],MATCH(Товары[[#This Row],[SubGroup]],Product_Structure[Subgroup],0)),"")</f>
        <v>Шланги всасывающие</v>
      </c>
      <c r="I1509" s="36">
        <v>9116</v>
      </c>
      <c r="J1509" s="36" t="str">
        <f>IFERROR(INDEX(Product_Structure[Generic Name (long)],MATCH(Товары[[#This Row],[SubGroup]],Product_Structure[Subgroup],0)),"")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Row],[SubGroup]],DIY!$B:$C,2,FALSE),0)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3" t="str">
        <f>IFERROR(INDEX(Product_Structure[SuperCategory],MATCH(Товары[[#This Row],[SubGroup]],Product_Structure[Subgroup],0)),"")</f>
        <v>O</v>
      </c>
      <c r="D1510" s="113" t="str">
        <f>IFERROR(INDEX(Product_Structure[SuperCategory Name ENG],MATCH(Товары[[#This Row],[SubGroup]],Product_Structure[Subgroup],0)),"")</f>
        <v>Pumps (electric, battery) + spare parts</v>
      </c>
      <c r="E151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0" s="113" t="str">
        <f>IFERROR(INDEX(Product_Structure[Product group],MATCH(Товары[[#This Row],[SubGroup]],Product_Structure[Subgroup],0)),"")</f>
        <v>WPU_C</v>
      </c>
      <c r="G1510" s="113" t="str">
        <f>IFERROR(INDEX(Product_Structure[Product group name ENG],MATCH(Товары[[#This Row],[SubGroup]],Product_Structure[Subgroup],0)),"")</f>
        <v>Watering, Pumps</v>
      </c>
      <c r="H1510" s="113" t="str">
        <f>IFERROR(INDEX(Product_Structure[Generic Name (long)3],MATCH(Товары[[#This Row],[SubGroup]],Product_Structure[Subgroup],0)),"")</f>
        <v>Шланги всасывающие</v>
      </c>
      <c r="I1510" s="36">
        <v>9116</v>
      </c>
      <c r="J1510" s="36" t="str">
        <f>IFERROR(INDEX(Product_Structure[Generic Name (long)],MATCH(Товары[[#This Row],[SubGroup]],Product_Structure[Subgroup],0)),"")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Row],[SubGroup]],DIY!$B:$C,2,FALSE),0)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3" t="str">
        <f>IFERROR(INDEX(Product_Structure[SuperCategory],MATCH(Товары[[#This Row],[SubGroup]],Product_Structure[Subgroup],0)),"")</f>
        <v>O</v>
      </c>
      <c r="D1511" s="113" t="str">
        <f>IFERROR(INDEX(Product_Structure[SuperCategory Name ENG],MATCH(Товары[[#This Row],[SubGroup]],Product_Structure[Subgroup],0)),"")</f>
        <v>Pumps (electric, battery) + spare parts</v>
      </c>
      <c r="E151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1" s="113" t="str">
        <f>IFERROR(INDEX(Product_Structure[Product group],MATCH(Товары[[#This Row],[SubGroup]],Product_Structure[Subgroup],0)),"")</f>
        <v>WPU_C</v>
      </c>
      <c r="G1511" s="113" t="str">
        <f>IFERROR(INDEX(Product_Structure[Product group name ENG],MATCH(Товары[[#This Row],[SubGroup]],Product_Structure[Subgroup],0)),"")</f>
        <v>Watering, Pumps</v>
      </c>
      <c r="H1511" s="113" t="str">
        <f>IFERROR(INDEX(Product_Structure[Generic Name (long)3],MATCH(Товары[[#This Row],[SubGroup]],Product_Structure[Subgroup],0)),"")</f>
        <v>Шланги всасывающие</v>
      </c>
      <c r="I1511" s="36">
        <v>9116</v>
      </c>
      <c r="J1511" s="36" t="str">
        <f>IFERROR(INDEX(Product_Structure[Generic Name (long)],MATCH(Товары[[#This Row],[SubGroup]],Product_Structure[Subgroup],0)),"")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Row],[SubGroup]],DIY!$B:$C,2,FALSE),0)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3" t="str">
        <f>IFERROR(INDEX(Product_Structure[SuperCategory],MATCH(Товары[[#This Row],[SubGroup]],Product_Structure[Subgroup],0)),"")</f>
        <v>O</v>
      </c>
      <c r="D1512" s="113" t="str">
        <f>IFERROR(INDEX(Product_Structure[SuperCategory Name ENG],MATCH(Товары[[#This Row],[SubGroup]],Product_Structure[Subgroup],0)),"")</f>
        <v>Pumps (electric, battery) + spare parts</v>
      </c>
      <c r="E151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2" s="113" t="str">
        <f>IFERROR(INDEX(Product_Structure[Product group],MATCH(Товары[[#This Row],[SubGroup]],Product_Structure[Subgroup],0)),"")</f>
        <v>WPU_C</v>
      </c>
      <c r="G1512" s="113" t="str">
        <f>IFERROR(INDEX(Product_Structure[Product group name ENG],MATCH(Товары[[#This Row],[SubGroup]],Product_Structure[Subgroup],0)),"")</f>
        <v>Watering, Pumps</v>
      </c>
      <c r="H1512" s="113" t="str">
        <f>IFERROR(INDEX(Product_Structure[Generic Name (long)3],MATCH(Товары[[#This Row],[SubGroup]],Product_Structure[Subgroup],0)),"")</f>
        <v>Шланги всасывающие</v>
      </c>
      <c r="I1512" s="36">
        <v>9116</v>
      </c>
      <c r="J1512" s="36" t="str">
        <f>IFERROR(INDEX(Product_Structure[Generic Name (long)],MATCH(Товары[[#This Row],[SubGroup]],Product_Structure[Subgroup],0)),"")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Row],[SubGroup]],DIY!$B:$C,2,FALSE),0)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3" t="str">
        <f>IFERROR(INDEX(Product_Structure[SuperCategory],MATCH(Товары[[#This Row],[SubGroup]],Product_Structure[Subgroup],0)),"")</f>
        <v>O</v>
      </c>
      <c r="D1513" s="113" t="str">
        <f>IFERROR(INDEX(Product_Structure[SuperCategory Name ENG],MATCH(Товары[[#This Row],[SubGroup]],Product_Structure[Subgroup],0)),"")</f>
        <v>Pumps (electric, battery) + spare parts</v>
      </c>
      <c r="E151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3" s="113" t="str">
        <f>IFERROR(INDEX(Product_Structure[Product group],MATCH(Товары[[#This Row],[SubGroup]],Product_Structure[Subgroup],0)),"")</f>
        <v>WPU_C</v>
      </c>
      <c r="G1513" s="113" t="str">
        <f>IFERROR(INDEX(Product_Structure[Product group name ENG],MATCH(Товары[[#This Row],[SubGroup]],Product_Structure[Subgroup],0)),"")</f>
        <v>Watering, Pumps</v>
      </c>
      <c r="H1513" s="113" t="str">
        <f>IFERROR(INDEX(Product_Structure[Generic Name (long)3],MATCH(Товары[[#This Row],[SubGroup]],Product_Structure[Subgroup],0)),"")</f>
        <v>Шланги всасывающие</v>
      </c>
      <c r="I1513" s="36">
        <v>9116</v>
      </c>
      <c r="J1513" s="36" t="str">
        <f>IFERROR(INDEX(Product_Structure[Generic Name (long)],MATCH(Товары[[#This Row],[SubGroup]],Product_Structure[Subgroup],0)),"")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Row],[SubGroup]],DIY!$B:$C,2,FALSE),0)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3" t="str">
        <f>IFERROR(INDEX(Product_Structure[SuperCategory],MATCH(Товары[[#This Row],[SubGroup]],Product_Structure[Subgroup],0)),"")</f>
        <v>O</v>
      </c>
      <c r="D1514" s="113" t="str">
        <f>IFERROR(INDEX(Product_Structure[SuperCategory Name ENG],MATCH(Товары[[#This Row],[SubGroup]],Product_Structure[Subgroup],0)),"")</f>
        <v>Pumps (electric, battery) + spare parts</v>
      </c>
      <c r="E151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4" s="113" t="str">
        <f>IFERROR(INDEX(Product_Structure[Product group],MATCH(Товары[[#This Row],[SubGroup]],Product_Structure[Subgroup],0)),"")</f>
        <v>WPU_C</v>
      </c>
      <c r="G1514" s="113" t="str">
        <f>IFERROR(INDEX(Product_Structure[Product group name ENG],MATCH(Товары[[#This Row],[SubGroup]],Product_Structure[Subgroup],0)),"")</f>
        <v>Watering, Pumps</v>
      </c>
      <c r="H1514" s="113" t="str">
        <f>IFERROR(INDEX(Product_Structure[Generic Name (long)3],MATCH(Товары[[#This Row],[SubGroup]],Product_Structure[Subgroup],0)),"")</f>
        <v>Насосы садовые электрические</v>
      </c>
      <c r="I1514" s="36">
        <v>9111</v>
      </c>
      <c r="J1514" s="36" t="str">
        <f>IFERROR(INDEX(Product_Structure[Generic Name (long)],MATCH(Товары[[#This Row],[SubGroup]],Product_Structure[Subgroup],0)),"")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Row],[SubGroup]],DIY!$B:$C,2,FALSE),0)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3" t="str">
        <f>IFERROR(INDEX(Product_Structure[SuperCategory],MATCH(Товары[[#This Row],[SubGroup]],Product_Structure[Subgroup],0)),"")</f>
        <v>O</v>
      </c>
      <c r="D1515" s="113" t="str">
        <f>IFERROR(INDEX(Product_Structure[SuperCategory Name ENG],MATCH(Товары[[#This Row],[SubGroup]],Product_Structure[Subgroup],0)),"")</f>
        <v>Pumps (electric, battery) + spare parts</v>
      </c>
      <c r="E151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5" s="113" t="str">
        <f>IFERROR(INDEX(Product_Structure[Product group],MATCH(Товары[[#This Row],[SubGroup]],Product_Structure[Subgroup],0)),"")</f>
        <v>WPU_C</v>
      </c>
      <c r="G1515" s="113" t="str">
        <f>IFERROR(INDEX(Product_Structure[Product group name ENG],MATCH(Товары[[#This Row],[SubGroup]],Product_Structure[Subgroup],0)),"")</f>
        <v>Watering, Pumps</v>
      </c>
      <c r="H1515" s="113" t="str">
        <f>IFERROR(INDEX(Product_Structure[Generic Name (long)3],MATCH(Товары[[#This Row],[SubGroup]],Product_Structure[Subgroup],0)),"")</f>
        <v>Насосы садовые электрические</v>
      </c>
      <c r="I1515" s="36">
        <v>9111</v>
      </c>
      <c r="J1515" s="36" t="str">
        <f>IFERROR(INDEX(Product_Structure[Generic Name (long)],MATCH(Товары[[#This Row],[SubGroup]],Product_Structure[Subgroup],0)),"")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Row],[SubGroup]],DIY!$B:$C,2,FALSE),0)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3" t="str">
        <f>IFERROR(INDEX(Product_Structure[SuperCategory],MATCH(Товары[[#This Row],[SubGroup]],Product_Structure[Subgroup],0)),"")</f>
        <v>O</v>
      </c>
      <c r="D1516" s="113" t="str">
        <f>IFERROR(INDEX(Product_Structure[SuperCategory Name ENG],MATCH(Товары[[#This Row],[SubGroup]],Product_Structure[Subgroup],0)),"")</f>
        <v>Pumps (electric, battery) + spare parts</v>
      </c>
      <c r="E151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6" s="113" t="str">
        <f>IFERROR(INDEX(Product_Structure[Product group],MATCH(Товары[[#This Row],[SubGroup]],Product_Structure[Subgroup],0)),"")</f>
        <v>WPU_C</v>
      </c>
      <c r="G1516" s="113" t="str">
        <f>IFERROR(INDEX(Product_Structure[Product group name ENG],MATCH(Товары[[#This Row],[SubGroup]],Product_Structure[Subgroup],0)),"")</f>
        <v>Watering, Pumps</v>
      </c>
      <c r="H1516" s="113" t="str">
        <f>IFERROR(INDEX(Product_Structure[Generic Name (long)3],MATCH(Товары[[#This Row],[SubGroup]],Product_Structure[Subgroup],0)),"")</f>
        <v>Насосы садовые электрические</v>
      </c>
      <c r="I1516" s="36">
        <v>9111</v>
      </c>
      <c r="J1516" s="36" t="str">
        <f>IFERROR(INDEX(Product_Structure[Generic Name (long)],MATCH(Товары[[#This Row],[SubGroup]],Product_Structure[Subgroup],0)),"")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Row],[SubGroup]],DIY!$B:$C,2,FALSE),0)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3" t="str">
        <f>IFERROR(INDEX(Product_Structure[SuperCategory],MATCH(Товары[[#This Row],[SubGroup]],Product_Structure[Subgroup],0)),"")</f>
        <v>O</v>
      </c>
      <c r="D1517" s="113" t="str">
        <f>IFERROR(INDEX(Product_Structure[SuperCategory Name ENG],MATCH(Товары[[#This Row],[SubGroup]],Product_Structure[Subgroup],0)),"")</f>
        <v>Pumps (electric, battery) + spare parts</v>
      </c>
      <c r="E151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7" s="113" t="str">
        <f>IFERROR(INDEX(Product_Structure[Product group],MATCH(Товары[[#This Row],[SubGroup]],Product_Structure[Subgroup],0)),"")</f>
        <v>WPU_C</v>
      </c>
      <c r="G1517" s="113" t="str">
        <f>IFERROR(INDEX(Product_Structure[Product group name ENG],MATCH(Товары[[#This Row],[SubGroup]],Product_Structure[Subgroup],0)),"")</f>
        <v>Watering, Pumps</v>
      </c>
      <c r="H1517" s="113" t="str">
        <f>IFERROR(INDEX(Product_Structure[Generic Name (long)3],MATCH(Товары[[#This Row],[SubGroup]],Product_Structure[Subgroup],0)),"")</f>
        <v>Шланги всасывающие</v>
      </c>
      <c r="I1517" s="36">
        <v>9116</v>
      </c>
      <c r="J1517" s="36" t="str">
        <f>IFERROR(INDEX(Product_Structure[Generic Name (long)],MATCH(Товары[[#This Row],[SubGroup]],Product_Structure[Subgroup],0)),"")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Row],[SubGroup]],DIY!$B:$C,2,FALSE),0)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3" t="str">
        <f>IFERROR(INDEX(Product_Structure[SuperCategory],MATCH(Товары[[#This Row],[SubGroup]],Product_Structure[Subgroup],0)),"")</f>
        <v>O</v>
      </c>
      <c r="D1518" s="113" t="str">
        <f>IFERROR(INDEX(Product_Structure[SuperCategory Name ENG],MATCH(Товары[[#This Row],[SubGroup]],Product_Structure[Subgroup],0)),"")</f>
        <v>Pumps (electric, battery) + spare parts</v>
      </c>
      <c r="E151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8" s="113" t="str">
        <f>IFERROR(INDEX(Product_Structure[Product group],MATCH(Товары[[#This Row],[SubGroup]],Product_Structure[Subgroup],0)),"")</f>
        <v>WPU_C</v>
      </c>
      <c r="G1518" s="113" t="str">
        <f>IFERROR(INDEX(Product_Structure[Product group name ENG],MATCH(Товары[[#This Row],[SubGroup]],Product_Structure[Subgroup],0)),"")</f>
        <v>Watering, Pumps</v>
      </c>
      <c r="H1518" s="113" t="str">
        <f>IFERROR(INDEX(Product_Structure[Generic Name (long)3],MATCH(Товары[[#This Row],[SubGroup]],Product_Structure[Subgroup],0)),"")</f>
        <v>Шланги всасывающие</v>
      </c>
      <c r="I1518" s="36">
        <v>9116</v>
      </c>
      <c r="J1518" s="36" t="str">
        <f>IFERROR(INDEX(Product_Structure[Generic Name (long)],MATCH(Товары[[#This Row],[SubGroup]],Product_Structure[Subgroup],0)),"")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Row],[SubGroup]],DIY!$B:$C,2,FALSE),0)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3" t="str">
        <f>IFERROR(INDEX(Product_Structure[SuperCategory],MATCH(Товары[[#This Row],[SubGroup]],Product_Structure[Subgroup],0)),"")</f>
        <v>O</v>
      </c>
      <c r="D1519" s="113" t="str">
        <f>IFERROR(INDEX(Product_Structure[SuperCategory Name ENG],MATCH(Товары[[#This Row],[SubGroup]],Product_Structure[Subgroup],0)),"")</f>
        <v>Pumps (electric, battery) + spare parts</v>
      </c>
      <c r="E151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19" s="113" t="str">
        <f>IFERROR(INDEX(Product_Structure[Product group],MATCH(Товары[[#This Row],[SubGroup]],Product_Structure[Subgroup],0)),"")</f>
        <v>WPU_C</v>
      </c>
      <c r="G1519" s="113" t="str">
        <f>IFERROR(INDEX(Product_Structure[Product group name ENG],MATCH(Товары[[#This Row],[SubGroup]],Product_Structure[Subgroup],0)),"")</f>
        <v>Watering, Pumps</v>
      </c>
      <c r="H1519" s="113" t="str">
        <f>IFERROR(INDEX(Product_Structure[Generic Name (long)3],MATCH(Товары[[#This Row],[SubGroup]],Product_Structure[Subgroup],0)),"")</f>
        <v>Шланги всасывающие</v>
      </c>
      <c r="I1519" s="36">
        <v>9116</v>
      </c>
      <c r="J1519" s="36" t="str">
        <f>IFERROR(INDEX(Product_Structure[Generic Name (long)],MATCH(Товары[[#This Row],[SubGroup]],Product_Structure[Subgroup],0)),"")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Row],[SubGroup]],DIY!$B:$C,2,FALSE),0)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3" t="str">
        <f>IFERROR(INDEX(Product_Structure[SuperCategory],MATCH(Товары[[#This Row],[SubGroup]],Product_Structure[Subgroup],0)),"")</f>
        <v>O</v>
      </c>
      <c r="D1520" s="113" t="str">
        <f>IFERROR(INDEX(Product_Structure[SuperCategory Name ENG],MATCH(Товары[[#This Row],[SubGroup]],Product_Structure[Subgroup],0)),"")</f>
        <v>Pumps (electric, battery) + spare parts</v>
      </c>
      <c r="E152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0" s="113" t="str">
        <f>IFERROR(INDEX(Product_Structure[Product group],MATCH(Товары[[#This Row],[SubGroup]],Product_Structure[Subgroup],0)),"")</f>
        <v>WPU_C</v>
      </c>
      <c r="G1520" s="113" t="str">
        <f>IFERROR(INDEX(Product_Structure[Product group name ENG],MATCH(Товары[[#This Row],[SubGroup]],Product_Structure[Subgroup],0)),"")</f>
        <v>Watering, Pumps</v>
      </c>
      <c r="H1520" s="113" t="str">
        <f>IFERROR(INDEX(Product_Structure[Generic Name (long)3],MATCH(Товары[[#This Row],[SubGroup]],Product_Structure[Subgroup],0)),"")</f>
        <v>Шланги всасывающие</v>
      </c>
      <c r="I1520" s="36">
        <v>9116</v>
      </c>
      <c r="J1520" s="36" t="str">
        <f>IFERROR(INDEX(Product_Structure[Generic Name (long)],MATCH(Товары[[#This Row],[SubGroup]],Product_Structure[Subgroup],0)),"")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Row],[SubGroup]],DIY!$B:$C,2,FALSE),0)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3" t="str">
        <f>IFERROR(INDEX(Product_Structure[SuperCategory],MATCH(Товары[[#This Row],[SubGroup]],Product_Structure[Subgroup],0)),"")</f>
        <v>O</v>
      </c>
      <c r="D1521" s="113" t="str">
        <f>IFERROR(INDEX(Product_Structure[SuperCategory Name ENG],MATCH(Товары[[#This Row],[SubGroup]],Product_Structure[Subgroup],0)),"")</f>
        <v>Pumps (electric, battery) + spare parts</v>
      </c>
      <c r="E152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1" s="113" t="str">
        <f>IFERROR(INDEX(Product_Structure[Product group],MATCH(Товары[[#This Row],[SubGroup]],Product_Structure[Subgroup],0)),"")</f>
        <v>WPU_C</v>
      </c>
      <c r="G1521" s="113" t="str">
        <f>IFERROR(INDEX(Product_Structure[Product group name ENG],MATCH(Товары[[#This Row],[SubGroup]],Product_Structure[Subgroup],0)),"")</f>
        <v>Watering, Pumps</v>
      </c>
      <c r="H1521" s="113" t="str">
        <f>IFERROR(INDEX(Product_Structure[Generic Name (long)3],MATCH(Товары[[#This Row],[SubGroup]],Product_Structure[Subgroup],0)),"")</f>
        <v>Шланги всасывающие</v>
      </c>
      <c r="I1521" s="36">
        <v>9116</v>
      </c>
      <c r="J1521" s="36" t="str">
        <f>IFERROR(INDEX(Product_Structure[Generic Name (long)],MATCH(Товары[[#This Row],[SubGroup]],Product_Structure[Subgroup],0)),"")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Row],[SubGroup]],DIY!$B:$C,2,FALSE),0)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3" t="str">
        <f>IFERROR(INDEX(Product_Structure[SuperCategory],MATCH(Товары[[#This Row],[SubGroup]],Product_Structure[Subgroup],0)),"")</f>
        <v>O</v>
      </c>
      <c r="D1522" s="113" t="str">
        <f>IFERROR(INDEX(Product_Structure[SuperCategory Name ENG],MATCH(Товары[[#This Row],[SubGroup]],Product_Structure[Subgroup],0)),"")</f>
        <v>Pumps (electric, battery) + spare parts</v>
      </c>
      <c r="E152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2" s="113" t="str">
        <f>IFERROR(INDEX(Product_Structure[Product group],MATCH(Товары[[#This Row],[SubGroup]],Product_Structure[Subgroup],0)),"")</f>
        <v>WPU_C</v>
      </c>
      <c r="G1522" s="113" t="str">
        <f>IFERROR(INDEX(Product_Structure[Product group name ENG],MATCH(Товары[[#This Row],[SubGroup]],Product_Structure[Subgroup],0)),"")</f>
        <v>Watering, Pumps</v>
      </c>
      <c r="H1522" s="113" t="str">
        <f>IFERROR(INDEX(Product_Structure[Generic Name (long)3],MATCH(Товары[[#This Row],[SubGroup]],Product_Structure[Subgroup],0)),"")</f>
        <v>Шланги всасывающие</v>
      </c>
      <c r="I1522" s="36">
        <v>9116</v>
      </c>
      <c r="J1522" s="36" t="str">
        <f>IFERROR(INDEX(Product_Structure[Generic Name (long)],MATCH(Товары[[#This Row],[SubGroup]],Product_Structure[Subgroup],0)),"")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Row],[SubGroup]],DIY!$B:$C,2,FALSE),0)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3" t="str">
        <f>IFERROR(INDEX(Product_Structure[SuperCategory],MATCH(Товары[[#This Row],[SubGroup]],Product_Structure[Subgroup],0)),"")</f>
        <v>O</v>
      </c>
      <c r="D1523" s="113" t="str">
        <f>IFERROR(INDEX(Product_Structure[SuperCategory Name ENG],MATCH(Товары[[#This Row],[SubGroup]],Product_Structure[Subgroup],0)),"")</f>
        <v>Pumps (electric, battery) + spare parts</v>
      </c>
      <c r="E152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3" s="113" t="str">
        <f>IFERROR(INDEX(Product_Structure[Product group],MATCH(Товары[[#This Row],[SubGroup]],Product_Structure[Subgroup],0)),"")</f>
        <v>WPU_C</v>
      </c>
      <c r="G1523" s="113" t="str">
        <f>IFERROR(INDEX(Product_Structure[Product group name ENG],MATCH(Товары[[#This Row],[SubGroup]],Product_Structure[Subgroup],0)),"")</f>
        <v>Watering, Pumps</v>
      </c>
      <c r="H1523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IFERROR(INDEX(Product_Structure[Generic Name (long)],MATCH(Товары[[#This Row],[SubGroup]],Product_Structure[Subgroup],0)),"")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Row],[SubGroup]],DIY!$B:$C,2,FALSE),0)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3" t="str">
        <f>IFERROR(INDEX(Product_Structure[SuperCategory],MATCH(Товары[[#This Row],[SubGroup]],Product_Structure[Subgroup],0)),"")</f>
        <v>O</v>
      </c>
      <c r="D1524" s="113" t="str">
        <f>IFERROR(INDEX(Product_Structure[SuperCategory Name ENG],MATCH(Товары[[#This Row],[SubGroup]],Product_Structure[Subgroup],0)),"")</f>
        <v>Pumps (electric, battery) + spare parts</v>
      </c>
      <c r="E152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4" s="113" t="str">
        <f>IFERROR(INDEX(Product_Structure[Product group],MATCH(Товары[[#This Row],[SubGroup]],Product_Structure[Subgroup],0)),"")</f>
        <v>WPU_C</v>
      </c>
      <c r="G1524" s="113" t="str">
        <f>IFERROR(INDEX(Product_Structure[Product group name ENG],MATCH(Товары[[#This Row],[SubGroup]],Product_Structure[Subgroup],0)),"")</f>
        <v>Watering, Pumps</v>
      </c>
      <c r="H1524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IFERROR(INDEX(Product_Structure[Generic Name (long)],MATCH(Товары[[#This Row],[SubGroup]],Product_Structure[Subgroup],0)),"")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Row],[SubGroup]],DIY!$B:$C,2,FALSE),0)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3" t="str">
        <f>IFERROR(INDEX(Product_Structure[SuperCategory],MATCH(Товары[[#This Row],[SubGroup]],Product_Structure[Subgroup],0)),"")</f>
        <v>O</v>
      </c>
      <c r="D1525" s="113" t="str">
        <f>IFERROR(INDEX(Product_Structure[SuperCategory Name ENG],MATCH(Товары[[#This Row],[SubGroup]],Product_Structure[Subgroup],0)),"")</f>
        <v>Pumps (electric, battery) + spare parts</v>
      </c>
      <c r="E152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5" s="113" t="str">
        <f>IFERROR(INDEX(Product_Structure[Product group],MATCH(Товары[[#This Row],[SubGroup]],Product_Structure[Subgroup],0)),"")</f>
        <v>WPU_C</v>
      </c>
      <c r="G1525" s="113" t="str">
        <f>IFERROR(INDEX(Product_Structure[Product group name ENG],MATCH(Товары[[#This Row],[SubGroup]],Product_Structure[Subgroup],0)),"")</f>
        <v>Watering, Pumps</v>
      </c>
      <c r="H1525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IFERROR(INDEX(Product_Structure[Generic Name (long)],MATCH(Товары[[#This Row],[SubGroup]],Product_Structure[Subgroup],0)),"")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Row],[SubGroup]],DIY!$B:$C,2,FALSE),0)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3" t="str">
        <f>IFERROR(INDEX(Product_Structure[SuperCategory],MATCH(Товары[[#This Row],[SubGroup]],Product_Structure[Subgroup],0)),"")</f>
        <v>O</v>
      </c>
      <c r="D1526" s="113" t="str">
        <f>IFERROR(INDEX(Product_Structure[SuperCategory Name ENG],MATCH(Товары[[#This Row],[SubGroup]],Product_Structure[Subgroup],0)),"")</f>
        <v>Pumps (electric, battery) + spare parts</v>
      </c>
      <c r="E152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6" s="113" t="str">
        <f>IFERROR(INDEX(Product_Structure[Product group],MATCH(Товары[[#This Row],[SubGroup]],Product_Structure[Subgroup],0)),"")</f>
        <v>WPU_C</v>
      </c>
      <c r="G1526" s="113" t="str">
        <f>IFERROR(INDEX(Product_Structure[Product group name ENG],MATCH(Товары[[#This Row],[SubGroup]],Product_Structure[Subgroup],0)),"")</f>
        <v>Watering, Pumps</v>
      </c>
      <c r="H1526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IFERROR(INDEX(Product_Structure[Generic Name (long)],MATCH(Товары[[#This Row],[SubGroup]],Product_Structure[Subgroup],0)),"")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Row],[SubGroup]],DIY!$B:$C,2,FALSE),0)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3" t="str">
        <f>IFERROR(INDEX(Product_Structure[SuperCategory],MATCH(Товары[[#This Row],[SubGroup]],Product_Structure[Subgroup],0)),"")</f>
        <v>O</v>
      </c>
      <c r="D1527" s="113" t="str">
        <f>IFERROR(INDEX(Product_Structure[SuperCategory Name ENG],MATCH(Товары[[#This Row],[SubGroup]],Product_Structure[Subgroup],0)),"")</f>
        <v>Pumps (electric, battery) + spare parts</v>
      </c>
      <c r="E152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7" s="113" t="str">
        <f>IFERROR(INDEX(Product_Structure[Product group],MATCH(Товары[[#This Row],[SubGroup]],Product_Structure[Subgroup],0)),"")</f>
        <v>WPU_C</v>
      </c>
      <c r="G1527" s="113" t="str">
        <f>IFERROR(INDEX(Product_Structure[Product group name ENG],MATCH(Товары[[#This Row],[SubGroup]],Product_Structure[Subgroup],0)),"")</f>
        <v>Watering, Pumps</v>
      </c>
      <c r="H1527" s="113" t="str">
        <f>IFERROR(INDEX(Product_Structure[Generic Name (long)3],MATCH(Товары[[#This Row],[SubGroup]],Product_Structure[Subgroup],0)),"")</f>
        <v>Насосы напорные автоматические</v>
      </c>
      <c r="I1527" s="36">
        <v>9112</v>
      </c>
      <c r="J1527" s="36" t="str">
        <f>IFERROR(INDEX(Product_Structure[Generic Name (long)],MATCH(Товары[[#This Row],[SubGroup]],Product_Structure[Subgroup],0)),"")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Row],[SubGroup]],DIY!$B:$C,2,FALSE),0)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3" t="str">
        <f>IFERROR(INDEX(Product_Structure[SuperCategory],MATCH(Товары[[#This Row],[SubGroup]],Product_Structure[Subgroup],0)),"")</f>
        <v>O</v>
      </c>
      <c r="D1528" s="113" t="str">
        <f>IFERROR(INDEX(Product_Structure[SuperCategory Name ENG],MATCH(Товары[[#This Row],[SubGroup]],Product_Structure[Subgroup],0)),"")</f>
        <v>Pumps (electric, battery) + spare parts</v>
      </c>
      <c r="E152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8" s="113" t="str">
        <f>IFERROR(INDEX(Product_Structure[Product group],MATCH(Товары[[#This Row],[SubGroup]],Product_Structure[Subgroup],0)),"")</f>
        <v>WPU_C</v>
      </c>
      <c r="G1528" s="113" t="str">
        <f>IFERROR(INDEX(Product_Structure[Product group name ENG],MATCH(Товары[[#This Row],[SubGroup]],Product_Structure[Subgroup],0)),"")</f>
        <v>Watering, Pumps</v>
      </c>
      <c r="H1528" s="113" t="str">
        <f>IFERROR(INDEX(Product_Structure[Generic Name (long)3],MATCH(Товары[[#This Row],[SubGroup]],Product_Structure[Subgroup],0)),"")</f>
        <v>Насосы напорные автоматические</v>
      </c>
      <c r="I1528" s="36">
        <v>9112</v>
      </c>
      <c r="J1528" s="36" t="str">
        <f>IFERROR(INDEX(Product_Structure[Generic Name (long)],MATCH(Товары[[#This Row],[SubGroup]],Product_Structure[Subgroup],0)),"")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Row],[SubGroup]],DIY!$B:$C,2,FALSE),0)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3" t="str">
        <f>IFERROR(INDEX(Product_Structure[SuperCategory],MATCH(Товары[[#This Row],[SubGroup]],Product_Structure[Subgroup],0)),"")</f>
        <v>O</v>
      </c>
      <c r="D1529" s="113" t="str">
        <f>IFERROR(INDEX(Product_Structure[SuperCategory Name ENG],MATCH(Товары[[#This Row],[SubGroup]],Product_Structure[Subgroup],0)),"")</f>
        <v>Pumps (electric, battery) + spare parts</v>
      </c>
      <c r="E152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29" s="113" t="str">
        <f>IFERROR(INDEX(Product_Structure[Product group],MATCH(Товары[[#This Row],[SubGroup]],Product_Structure[Subgroup],0)),"")</f>
        <v>WPU_C</v>
      </c>
      <c r="G1529" s="113" t="str">
        <f>IFERROR(INDEX(Product_Structure[Product group name ENG],MATCH(Товары[[#This Row],[SubGroup]],Product_Structure[Subgroup],0)),"")</f>
        <v>Watering, Pumps</v>
      </c>
      <c r="H1529" s="113" t="str">
        <f>IFERROR(INDEX(Product_Structure[Generic Name (long)3],MATCH(Товары[[#This Row],[SubGroup]],Product_Structure[Subgroup],0)),"")</f>
        <v>Насосы напорные автоматические</v>
      </c>
      <c r="I1529" s="36">
        <v>9112</v>
      </c>
      <c r="J1529" s="36" t="str">
        <f>IFERROR(INDEX(Product_Structure[Generic Name (long)],MATCH(Товары[[#This Row],[SubGroup]],Product_Structure[Subgroup],0)),"")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Row],[SubGroup]],DIY!$B:$C,2,FALSE),0)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3" t="str">
        <f>IFERROR(INDEX(Product_Structure[SuperCategory],MATCH(Товары[[#This Row],[SubGroup]],Product_Structure[Subgroup],0)),"")</f>
        <v>O</v>
      </c>
      <c r="D1530" s="113" t="str">
        <f>IFERROR(INDEX(Product_Structure[SuperCategory Name ENG],MATCH(Товары[[#This Row],[SubGroup]],Product_Structure[Subgroup],0)),"")</f>
        <v>Pumps (electric, battery) + spare parts</v>
      </c>
      <c r="E153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0" s="113" t="str">
        <f>IFERROR(INDEX(Product_Structure[Product group],MATCH(Товары[[#This Row],[SubGroup]],Product_Structure[Subgroup],0)),"")</f>
        <v>WPU_C</v>
      </c>
      <c r="G1530" s="113" t="str">
        <f>IFERROR(INDEX(Product_Structure[Product group name ENG],MATCH(Товары[[#This Row],[SubGroup]],Product_Structure[Subgroup],0)),"")</f>
        <v>Watering, Pumps</v>
      </c>
      <c r="H1530" s="113" t="str">
        <f>IFERROR(INDEX(Product_Structure[Generic Name (long)3],MATCH(Товары[[#This Row],[SubGroup]],Product_Structure[Subgroup],0)),"")</f>
        <v>Насосы напорные автоматические</v>
      </c>
      <c r="I1530" s="36">
        <v>9112</v>
      </c>
      <c r="J1530" s="36" t="str">
        <f>IFERROR(INDEX(Product_Structure[Generic Name (long)],MATCH(Товары[[#This Row],[SubGroup]],Product_Structure[Subgroup],0)),"")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Row],[SubGroup]],DIY!$B:$C,2,FALSE),0)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3" t="str">
        <f>IFERROR(INDEX(Product_Structure[SuperCategory],MATCH(Товары[[#This Row],[SubGroup]],Product_Structure[Subgroup],0)),"")</f>
        <v>O</v>
      </c>
      <c r="D1531" s="113" t="str">
        <f>IFERROR(INDEX(Product_Structure[SuperCategory Name ENG],MATCH(Товары[[#This Row],[SubGroup]],Product_Structure[Subgroup],0)),"")</f>
        <v>Pumps (electric, battery) + spare parts</v>
      </c>
      <c r="E153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1" s="113" t="str">
        <f>IFERROR(INDEX(Product_Structure[Product group],MATCH(Товары[[#This Row],[SubGroup]],Product_Structure[Subgroup],0)),"")</f>
        <v>WPU_C</v>
      </c>
      <c r="G1531" s="113" t="str">
        <f>IFERROR(INDEX(Product_Structure[Product group name ENG],MATCH(Товары[[#This Row],[SubGroup]],Product_Structure[Subgroup],0)),"")</f>
        <v>Watering, Pumps</v>
      </c>
      <c r="H1531" s="113" t="str">
        <f>IFERROR(INDEX(Product_Structure[Generic Name (long)3],MATCH(Товары[[#This Row],[SubGroup]],Product_Structure[Subgroup],0)),"")</f>
        <v>Насосы погружные электрические</v>
      </c>
      <c r="I1531" s="36">
        <v>9114</v>
      </c>
      <c r="J1531" s="36" t="str">
        <f>IFERROR(INDEX(Product_Structure[Generic Name (long)],MATCH(Товары[[#This Row],[SubGroup]],Product_Structure[Subgroup],0)),"")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Row],[SubGroup]],DIY!$B:$C,2,FALSE),0)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3" t="str">
        <f>IFERROR(INDEX(Product_Structure[SuperCategory],MATCH(Товары[[#This Row],[SubGroup]],Product_Structure[Subgroup],0)),"")</f>
        <v>O</v>
      </c>
      <c r="D1532" s="113" t="str">
        <f>IFERROR(INDEX(Product_Structure[SuperCategory Name ENG],MATCH(Товары[[#This Row],[SubGroup]],Product_Structure[Subgroup],0)),"")</f>
        <v>Pumps (electric, battery) + spare parts</v>
      </c>
      <c r="E153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2" s="113" t="str">
        <f>IFERROR(INDEX(Product_Structure[Product group],MATCH(Товары[[#This Row],[SubGroup]],Product_Structure[Subgroup],0)),"")</f>
        <v>WPU_C</v>
      </c>
      <c r="G1532" s="113" t="str">
        <f>IFERROR(INDEX(Product_Structure[Product group name ENG],MATCH(Товары[[#This Row],[SubGroup]],Product_Structure[Subgroup],0)),"")</f>
        <v>Watering, Pumps</v>
      </c>
      <c r="H1532" s="113" t="str">
        <f>IFERROR(INDEX(Product_Structure[Generic Name (long)3],MATCH(Товары[[#This Row],[SubGroup]],Product_Structure[Subgroup],0)),"")</f>
        <v>Насосы погружные электрические</v>
      </c>
      <c r="I1532" s="36">
        <v>9114</v>
      </c>
      <c r="J1532" s="36" t="str">
        <f>IFERROR(INDEX(Product_Structure[Generic Name (long)],MATCH(Товары[[#This Row],[SubGroup]],Product_Structure[Subgroup],0)),"")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Row],[SubGroup]],DIY!$B:$C,2,FALSE),0)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3" t="str">
        <f>IFERROR(INDEX(Product_Structure[SuperCategory],MATCH(Товары[[#This Row],[SubGroup]],Product_Structure[Subgroup],0)),"")</f>
        <v>O</v>
      </c>
      <c r="D1533" s="113" t="str">
        <f>IFERROR(INDEX(Product_Structure[SuperCategory Name ENG],MATCH(Товары[[#This Row],[SubGroup]],Product_Structure[Subgroup],0)),"")</f>
        <v>Pumps (electric, battery) + spare parts</v>
      </c>
      <c r="E153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3" s="113" t="str">
        <f>IFERROR(INDEX(Product_Structure[Product group],MATCH(Товары[[#This Row],[SubGroup]],Product_Structure[Subgroup],0)),"")</f>
        <v>WPU_C</v>
      </c>
      <c r="G1533" s="113" t="str">
        <f>IFERROR(INDEX(Product_Structure[Product group name ENG],MATCH(Товары[[#This Row],[SubGroup]],Product_Structure[Subgroup],0)),"")</f>
        <v>Watering, Pumps</v>
      </c>
      <c r="H1533" s="113" t="str">
        <f>IFERROR(INDEX(Product_Structure[Generic Name (long)3],MATCH(Товары[[#This Row],[SubGroup]],Product_Structure[Subgroup],0)),"")</f>
        <v>Насосы погружные электрические</v>
      </c>
      <c r="I1533" s="36">
        <v>9114</v>
      </c>
      <c r="J1533" s="36" t="str">
        <f>IFERROR(INDEX(Product_Structure[Generic Name (long)],MATCH(Товары[[#This Row],[SubGroup]],Product_Structure[Subgroup],0)),"")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Row],[SubGroup]],DIY!$B:$C,2,FALSE),0)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3" t="str">
        <f>IFERROR(INDEX(Product_Structure[SuperCategory],MATCH(Товары[[#This Row],[SubGroup]],Product_Structure[Subgroup],0)),"")</f>
        <v>O</v>
      </c>
      <c r="D1534" s="113" t="str">
        <f>IFERROR(INDEX(Product_Structure[SuperCategory Name ENG],MATCH(Товары[[#This Row],[SubGroup]],Product_Structure[Subgroup],0)),"")</f>
        <v>Pumps (electric, battery) + spare parts</v>
      </c>
      <c r="E153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4" s="113" t="str">
        <f>IFERROR(INDEX(Product_Structure[Product group],MATCH(Товары[[#This Row],[SubGroup]],Product_Structure[Subgroup],0)),"")</f>
        <v>WPU_C</v>
      </c>
      <c r="G1534" s="113" t="str">
        <f>IFERROR(INDEX(Product_Structure[Product group name ENG],MATCH(Товары[[#This Row],[SubGroup]],Product_Structure[Subgroup],0)),"")</f>
        <v>Watering, Pumps</v>
      </c>
      <c r="H1534" s="113" t="str">
        <f>IFERROR(INDEX(Product_Structure[Generic Name (long)3],MATCH(Товары[[#This Row],[SubGroup]],Product_Structure[Subgroup],0)),"")</f>
        <v>Насосы погружные электрические</v>
      </c>
      <c r="I1534" s="36">
        <v>9114</v>
      </c>
      <c r="J1534" s="36" t="str">
        <f>IFERROR(INDEX(Product_Structure[Generic Name (long)],MATCH(Товары[[#This Row],[SubGroup]],Product_Structure[Subgroup],0)),"")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Row],[SubGroup]],DIY!$B:$C,2,FALSE),0)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3" t="str">
        <f>IFERROR(INDEX(Product_Structure[SuperCategory],MATCH(Товары[[#This Row],[SubGroup]],Product_Structure[Subgroup],0)),"")</f>
        <v>O</v>
      </c>
      <c r="D1535" s="113" t="str">
        <f>IFERROR(INDEX(Product_Structure[SuperCategory Name ENG],MATCH(Товары[[#This Row],[SubGroup]],Product_Structure[Subgroup],0)),"")</f>
        <v>Pumps (electric, battery) + spare parts</v>
      </c>
      <c r="E153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5" s="113" t="str">
        <f>IFERROR(INDEX(Product_Structure[Product group],MATCH(Товары[[#This Row],[SubGroup]],Product_Structure[Subgroup],0)),"")</f>
        <v>WPU_C</v>
      </c>
      <c r="G1535" s="113" t="str">
        <f>IFERROR(INDEX(Product_Structure[Product group name ENG],MATCH(Товары[[#This Row],[SubGroup]],Product_Structure[Subgroup],0)),"")</f>
        <v>Watering, Pumps</v>
      </c>
      <c r="H1535" s="113" t="str">
        <f>IFERROR(INDEX(Product_Structure[Generic Name (long)3],MATCH(Товары[[#This Row],[SubGroup]],Product_Structure[Subgroup],0)),"")</f>
        <v>Насосы погружные электрические</v>
      </c>
      <c r="I1535" s="36">
        <v>9114</v>
      </c>
      <c r="J1535" s="36" t="str">
        <f>IFERROR(INDEX(Product_Structure[Generic Name (long)],MATCH(Товары[[#This Row],[SubGroup]],Product_Structure[Subgroup],0)),"")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Row],[SubGroup]],DIY!$B:$C,2,FALSE),0)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3" t="str">
        <f>IFERROR(INDEX(Product_Structure[SuperCategory],MATCH(Товары[[#This Row],[SubGroup]],Product_Structure[Subgroup],0)),"")</f>
        <v>O</v>
      </c>
      <c r="D1536" s="113" t="str">
        <f>IFERROR(INDEX(Product_Structure[SuperCategory Name ENG],MATCH(Товары[[#This Row],[SubGroup]],Product_Structure[Subgroup],0)),"")</f>
        <v>Pumps (electric, battery) + spare parts</v>
      </c>
      <c r="E153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6" s="113" t="str">
        <f>IFERROR(INDEX(Product_Structure[Product group],MATCH(Товары[[#This Row],[SubGroup]],Product_Structure[Subgroup],0)),"")</f>
        <v>WPU_C</v>
      </c>
      <c r="G1536" s="113" t="str">
        <f>IFERROR(INDEX(Product_Structure[Product group name ENG],MATCH(Товары[[#This Row],[SubGroup]],Product_Structure[Subgroup],0)),"")</f>
        <v>Watering, Pumps</v>
      </c>
      <c r="H1536" s="113" t="str">
        <f>IFERROR(INDEX(Product_Structure[Generic Name (long)3],MATCH(Товары[[#This Row],[SubGroup]],Product_Structure[Subgroup],0)),"")</f>
        <v>Насосы погружные электрические</v>
      </c>
      <c r="I1536" s="36">
        <v>9114</v>
      </c>
      <c r="J1536" s="36" t="str">
        <f>IFERROR(INDEX(Product_Structure[Generic Name (long)],MATCH(Товары[[#This Row],[SubGroup]],Product_Structure[Subgroup],0)),"")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Row],[SubGroup]],DIY!$B:$C,2,FALSE),0)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3" t="str">
        <f>IFERROR(INDEX(Product_Structure[SuperCategory],MATCH(Товары[[#This Row],[SubGroup]],Product_Structure[Subgroup],0)),"")</f>
        <v>O</v>
      </c>
      <c r="D1537" s="113" t="str">
        <f>IFERROR(INDEX(Product_Structure[SuperCategory Name ENG],MATCH(Товары[[#This Row],[SubGroup]],Product_Structure[Subgroup],0)),"")</f>
        <v>Pumps (electric, battery) + spare parts</v>
      </c>
      <c r="E153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7" s="113" t="str">
        <f>IFERROR(INDEX(Product_Structure[Product group],MATCH(Товары[[#This Row],[SubGroup]],Product_Structure[Subgroup],0)),"")</f>
        <v>WPU_C</v>
      </c>
      <c r="G1537" s="113" t="str">
        <f>IFERROR(INDEX(Product_Structure[Product group name ENG],MATCH(Товары[[#This Row],[SubGroup]],Product_Structure[Subgroup],0)),"")</f>
        <v>Watering, Pumps</v>
      </c>
      <c r="H1537" s="113" t="str">
        <f>IFERROR(INDEX(Product_Structure[Generic Name (long)3],MATCH(Товары[[#This Row],[SubGroup]],Product_Structure[Subgroup],0)),"")</f>
        <v>Насосы дренажные электрические</v>
      </c>
      <c r="I1537" s="36">
        <v>9115</v>
      </c>
      <c r="J1537" s="36" t="str">
        <f>IFERROR(INDEX(Product_Structure[Generic Name (long)],MATCH(Товары[[#This Row],[SubGroup]],Product_Structure[Subgroup],0)),"")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Row],[SubGroup]],DIY!$B:$C,2,FALSE),0)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3" t="str">
        <f>IFERROR(INDEX(Product_Structure[SuperCategory],MATCH(Товары[[#This Row],[SubGroup]],Product_Structure[Subgroup],0)),"")</f>
        <v>O</v>
      </c>
      <c r="D1538" s="113" t="str">
        <f>IFERROR(INDEX(Product_Structure[SuperCategory Name ENG],MATCH(Товары[[#This Row],[SubGroup]],Product_Structure[Subgroup],0)),"")</f>
        <v>Pumps (electric, battery) + spare parts</v>
      </c>
      <c r="E153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8" s="113" t="str">
        <f>IFERROR(INDEX(Product_Structure[Product group],MATCH(Товары[[#This Row],[SubGroup]],Product_Structure[Subgroup],0)),"")</f>
        <v>WPU_C</v>
      </c>
      <c r="G1538" s="113" t="str">
        <f>IFERROR(INDEX(Product_Structure[Product group name ENG],MATCH(Товары[[#This Row],[SubGroup]],Product_Structure[Subgroup],0)),"")</f>
        <v>Watering, Pumps</v>
      </c>
      <c r="H1538" s="113" t="str">
        <f>IFERROR(INDEX(Product_Structure[Generic Name (long)3],MATCH(Товары[[#This Row],[SubGroup]],Product_Structure[Subgroup],0)),"")</f>
        <v>Насосы дренажные электрические</v>
      </c>
      <c r="I1538" s="36">
        <v>9115</v>
      </c>
      <c r="J1538" s="36" t="str">
        <f>IFERROR(INDEX(Product_Structure[Generic Name (long)],MATCH(Товары[[#This Row],[SubGroup]],Product_Structure[Subgroup],0)),"")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Row],[SubGroup]],DIY!$B:$C,2,FALSE),0)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3" t="str">
        <f>IFERROR(INDEX(Product_Structure[SuperCategory],MATCH(Товары[[#This Row],[SubGroup]],Product_Structure[Subgroup],0)),"")</f>
        <v>O</v>
      </c>
      <c r="D1539" s="113" t="str">
        <f>IFERROR(INDEX(Product_Structure[SuperCategory Name ENG],MATCH(Товары[[#This Row],[SubGroup]],Product_Structure[Subgroup],0)),"")</f>
        <v>Pumps (electric, battery) + spare parts</v>
      </c>
      <c r="E153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39" s="113" t="str">
        <f>IFERROR(INDEX(Product_Structure[Product group],MATCH(Товары[[#This Row],[SubGroup]],Product_Structure[Subgroup],0)),"")</f>
        <v>WPU_C</v>
      </c>
      <c r="G1539" s="113" t="str">
        <f>IFERROR(INDEX(Product_Structure[Product group name ENG],MATCH(Товары[[#This Row],[SubGroup]],Product_Structure[Subgroup],0)),"")</f>
        <v>Watering, Pumps</v>
      </c>
      <c r="H1539" s="113" t="str">
        <f>IFERROR(INDEX(Product_Structure[Generic Name (long)3],MATCH(Товары[[#This Row],[SubGroup]],Product_Structure[Subgroup],0)),"")</f>
        <v>Насосы дренажные электрические</v>
      </c>
      <c r="I1539" s="36">
        <v>9115</v>
      </c>
      <c r="J1539" s="36" t="str">
        <f>IFERROR(INDEX(Product_Structure[Generic Name (long)],MATCH(Товары[[#This Row],[SubGroup]],Product_Structure[Subgroup],0)),"")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Row],[SubGroup]],DIY!$B:$C,2,FALSE),0)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3" t="str">
        <f>IFERROR(INDEX(Product_Structure[SuperCategory],MATCH(Товары[[#This Row],[SubGroup]],Product_Structure[Subgroup],0)),"")</f>
        <v>O</v>
      </c>
      <c r="D1540" s="113" t="str">
        <f>IFERROR(INDEX(Product_Structure[SuperCategory Name ENG],MATCH(Товары[[#This Row],[SubGroup]],Product_Structure[Subgroup],0)),"")</f>
        <v>Pumps (electric, battery) + spare parts</v>
      </c>
      <c r="E154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0" s="113" t="str">
        <f>IFERROR(INDEX(Product_Structure[Product group],MATCH(Товары[[#This Row],[SubGroup]],Product_Structure[Subgroup],0)),"")</f>
        <v>WPU_C</v>
      </c>
      <c r="G1540" s="113" t="str">
        <f>IFERROR(INDEX(Product_Structure[Product group name ENG],MATCH(Товары[[#This Row],[SubGroup]],Product_Structure[Subgroup],0)),"")</f>
        <v>Watering, Pumps</v>
      </c>
      <c r="H1540" s="113" t="str">
        <f>IFERROR(INDEX(Product_Structure[Generic Name (long)3],MATCH(Товары[[#This Row],[SubGroup]],Product_Structure[Subgroup],0)),"")</f>
        <v>Насосы дренажные электрические</v>
      </c>
      <c r="I1540" s="36">
        <v>9115</v>
      </c>
      <c r="J1540" s="36" t="str">
        <f>IFERROR(INDEX(Product_Structure[Generic Name (long)],MATCH(Товары[[#This Row],[SubGroup]],Product_Structure[Subgroup],0)),"")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Row],[SubGroup]],DIY!$B:$C,2,FALSE),0)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3" t="str">
        <f>IFERROR(INDEX(Product_Structure[SuperCategory],MATCH(Товары[[#This Row],[SubGroup]],Product_Structure[Subgroup],0)),"")</f>
        <v>O</v>
      </c>
      <c r="D1541" s="113" t="str">
        <f>IFERROR(INDEX(Product_Structure[SuperCategory Name ENG],MATCH(Товары[[#This Row],[SubGroup]],Product_Structure[Subgroup],0)),"")</f>
        <v>Pumps (electric, battery) + spare parts</v>
      </c>
      <c r="E154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1" s="113" t="str">
        <f>IFERROR(INDEX(Product_Structure[Product group],MATCH(Товары[[#This Row],[SubGroup]],Product_Structure[Subgroup],0)),"")</f>
        <v>WPU_C</v>
      </c>
      <c r="G1541" s="113" t="str">
        <f>IFERROR(INDEX(Product_Structure[Product group name ENG],MATCH(Товары[[#This Row],[SubGroup]],Product_Structure[Subgroup],0)),"")</f>
        <v>Watering, Pumps</v>
      </c>
      <c r="H1541" s="113" t="str">
        <f>IFERROR(INDEX(Product_Structure[Generic Name (long)3],MATCH(Товары[[#This Row],[SubGroup]],Product_Structure[Subgroup],0)),"")</f>
        <v>Насосы дренажные электрические</v>
      </c>
      <c r="I1541" s="36">
        <v>9115</v>
      </c>
      <c r="J1541" s="36" t="str">
        <f>IFERROR(INDEX(Product_Structure[Generic Name (long)],MATCH(Товары[[#This Row],[SubGroup]],Product_Structure[Subgroup],0)),"")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Row],[SubGroup]],DIY!$B:$C,2,FALSE),0)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3" t="str">
        <f>IFERROR(INDEX(Product_Structure[SuperCategory],MATCH(Товары[[#This Row],[SubGroup]],Product_Structure[Subgroup],0)),"")</f>
        <v>O</v>
      </c>
      <c r="D1542" s="113" t="str">
        <f>IFERROR(INDEX(Product_Structure[SuperCategory Name ENG],MATCH(Товары[[#This Row],[SubGroup]],Product_Structure[Subgroup],0)),"")</f>
        <v>Pumps (electric, battery) + spare parts</v>
      </c>
      <c r="E154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2" s="113" t="str">
        <f>IFERROR(INDEX(Product_Structure[Product group],MATCH(Товары[[#This Row],[SubGroup]],Product_Structure[Subgroup],0)),"")</f>
        <v>WPU_C</v>
      </c>
      <c r="G1542" s="113" t="str">
        <f>IFERROR(INDEX(Product_Structure[Product group name ENG],MATCH(Товары[[#This Row],[SubGroup]],Product_Structure[Subgroup],0)),"")</f>
        <v>Watering, Pumps</v>
      </c>
      <c r="H1542" s="113" t="str">
        <f>IFERROR(INDEX(Product_Structure[Generic Name (long)3],MATCH(Товары[[#This Row],[SubGroup]],Product_Structure[Subgroup],0)),"")</f>
        <v>Насосы дренажные электрические</v>
      </c>
      <c r="I1542" s="36">
        <v>9115</v>
      </c>
      <c r="J1542" s="36" t="str">
        <f>IFERROR(INDEX(Product_Structure[Generic Name (long)],MATCH(Товары[[#This Row],[SubGroup]],Product_Structure[Subgroup],0)),"")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Row],[SubGroup]],DIY!$B:$C,2,FALSE),0)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3" t="str">
        <f>IFERROR(INDEX(Product_Structure[SuperCategory],MATCH(Товары[[#This Row],[SubGroup]],Product_Structure[Subgroup],0)),"")</f>
        <v>O</v>
      </c>
      <c r="D1543" s="113" t="str">
        <f>IFERROR(INDEX(Product_Structure[SuperCategory Name ENG],MATCH(Товары[[#This Row],[SubGroup]],Product_Structure[Subgroup],0)),"")</f>
        <v>Pumps (electric, battery) + spare parts</v>
      </c>
      <c r="E154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3" s="113" t="str">
        <f>IFERROR(INDEX(Product_Structure[Product group],MATCH(Товары[[#This Row],[SubGroup]],Product_Structure[Subgroup],0)),"")</f>
        <v>WPU_C</v>
      </c>
      <c r="G1543" s="113" t="str">
        <f>IFERROR(INDEX(Product_Structure[Product group name ENG],MATCH(Товары[[#This Row],[SubGroup]],Product_Structure[Subgroup],0)),"")</f>
        <v>Watering, Pumps</v>
      </c>
      <c r="H1543" s="113" t="str">
        <f>IFERROR(INDEX(Product_Structure[Generic Name (long)3],MATCH(Товары[[#This Row],[SubGroup]],Product_Structure[Subgroup],0)),"")</f>
        <v>Насосы дренажные электрические</v>
      </c>
      <c r="I1543" s="36">
        <v>9115</v>
      </c>
      <c r="J1543" s="36" t="str">
        <f>IFERROR(INDEX(Product_Structure[Generic Name (long)],MATCH(Товары[[#This Row],[SubGroup]],Product_Structure[Subgroup],0)),"")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Row],[SubGroup]],DIY!$B:$C,2,FALSE),0)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3" t="str">
        <f>IFERROR(INDEX(Product_Structure[SuperCategory],MATCH(Товары[[#This Row],[SubGroup]],Product_Structure[Subgroup],0)),"")</f>
        <v>O</v>
      </c>
      <c r="D1544" s="113" t="str">
        <f>IFERROR(INDEX(Product_Structure[SuperCategory Name ENG],MATCH(Товары[[#This Row],[SubGroup]],Product_Structure[Subgroup],0)),"")</f>
        <v>Pumps (electric, battery) + spare parts</v>
      </c>
      <c r="E154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4" s="113" t="str">
        <f>IFERROR(INDEX(Product_Structure[Product group],MATCH(Товары[[#This Row],[SubGroup]],Product_Structure[Subgroup],0)),"")</f>
        <v>WPU_C</v>
      </c>
      <c r="G1544" s="113" t="str">
        <f>IFERROR(INDEX(Product_Structure[Product group name ENG],MATCH(Товары[[#This Row],[SubGroup]],Product_Structure[Subgroup],0)),"")</f>
        <v>Watering, Pumps</v>
      </c>
      <c r="H1544" s="113" t="str">
        <f>IFERROR(INDEX(Product_Structure[Generic Name (long)3],MATCH(Товары[[#This Row],[SubGroup]],Product_Structure[Subgroup],0)),"")</f>
        <v>Насосы дренажные электрические</v>
      </c>
      <c r="I1544" s="36">
        <v>9115</v>
      </c>
      <c r="J1544" s="36" t="str">
        <f>IFERROR(INDEX(Product_Structure[Generic Name (long)],MATCH(Товары[[#This Row],[SubGroup]],Product_Structure[Subgroup],0)),"")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Row],[SubGroup]],DIY!$B:$C,2,FALSE),0)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3" t="str">
        <f>IFERROR(INDEX(Product_Structure[SuperCategory],MATCH(Товары[[#This Row],[SubGroup]],Product_Structure[Subgroup],0)),"")</f>
        <v>O</v>
      </c>
      <c r="D1545" s="113" t="str">
        <f>IFERROR(INDEX(Product_Structure[SuperCategory Name ENG],MATCH(Товары[[#This Row],[SubGroup]],Product_Structure[Subgroup],0)),"")</f>
        <v>Pumps (electric, battery) + spare parts</v>
      </c>
      <c r="E154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5" s="113" t="str">
        <f>IFERROR(INDEX(Product_Structure[Product group],MATCH(Товары[[#This Row],[SubGroup]],Product_Structure[Subgroup],0)),"")</f>
        <v>WPU_C</v>
      </c>
      <c r="G1545" s="113" t="str">
        <f>IFERROR(INDEX(Product_Structure[Product group name ENG],MATCH(Товары[[#This Row],[SubGroup]],Product_Structure[Subgroup],0)),"")</f>
        <v>Watering, Pumps</v>
      </c>
      <c r="H1545" s="113" t="str">
        <f>IFERROR(INDEX(Product_Structure[Generic Name (long)3],MATCH(Товары[[#This Row],[SubGroup]],Product_Structure[Subgroup],0)),"")</f>
        <v>Насосы дренажные электрические</v>
      </c>
      <c r="I1545" s="36">
        <v>9115</v>
      </c>
      <c r="J1545" s="36" t="str">
        <f>IFERROR(INDEX(Product_Structure[Generic Name (long)],MATCH(Товары[[#This Row],[SubGroup]],Product_Structure[Subgroup],0)),"")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Row],[SubGroup]],DIY!$B:$C,2,FALSE),0)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3" t="str">
        <f>IFERROR(INDEX(Product_Structure[SuperCategory],MATCH(Товары[[#This Row],[SubGroup]],Product_Structure[Subgroup],0)),"")</f>
        <v>O</v>
      </c>
      <c r="D1546" s="113" t="str">
        <f>IFERROR(INDEX(Product_Structure[SuperCategory Name ENG],MATCH(Товары[[#This Row],[SubGroup]],Product_Structure[Subgroup],0)),"")</f>
        <v>Pumps (electric, battery) + spare parts</v>
      </c>
      <c r="E154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6" s="113" t="str">
        <f>IFERROR(INDEX(Product_Structure[Product group],MATCH(Товары[[#This Row],[SubGroup]],Product_Structure[Subgroup],0)),"")</f>
        <v>WPU_C</v>
      </c>
      <c r="G1546" s="113" t="str">
        <f>IFERROR(INDEX(Product_Structure[Product group name ENG],MATCH(Товары[[#This Row],[SubGroup]],Product_Structure[Subgroup],0)),"")</f>
        <v>Watering, Pumps</v>
      </c>
      <c r="H1546" s="113" t="str">
        <f>IFERROR(INDEX(Product_Structure[Generic Name (long)3],MATCH(Товары[[#This Row],[SubGroup]],Product_Structure[Subgroup],0)),"")</f>
        <v>Насосы дренажные электрические</v>
      </c>
      <c r="I1546" s="36">
        <v>9115</v>
      </c>
      <c r="J1546" s="36" t="str">
        <f>IFERROR(INDEX(Product_Structure[Generic Name (long)],MATCH(Товары[[#This Row],[SubGroup]],Product_Structure[Subgroup],0)),"")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Row],[SubGroup]],DIY!$B:$C,2,FALSE),0)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3" t="str">
        <f>IFERROR(INDEX(Product_Structure[SuperCategory],MATCH(Товары[[#This Row],[SubGroup]],Product_Structure[Subgroup],0)),"")</f>
        <v>O</v>
      </c>
      <c r="D1547" s="113" t="str">
        <f>IFERROR(INDEX(Product_Structure[SuperCategory Name ENG],MATCH(Товары[[#This Row],[SubGroup]],Product_Structure[Subgroup],0)),"")</f>
        <v>Pumps (electric, battery) + spare parts</v>
      </c>
      <c r="E154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7" s="113" t="str">
        <f>IFERROR(INDEX(Product_Structure[Product group],MATCH(Товары[[#This Row],[SubGroup]],Product_Structure[Subgroup],0)),"")</f>
        <v>WPU_C</v>
      </c>
      <c r="G1547" s="113" t="str">
        <f>IFERROR(INDEX(Product_Structure[Product group name ENG],MATCH(Товары[[#This Row],[SubGroup]],Product_Structure[Subgroup],0)),"")</f>
        <v>Watering, Pumps</v>
      </c>
      <c r="H1547" s="113" t="str">
        <f>IFERROR(INDEX(Product_Structure[Generic Name (long)3],MATCH(Товары[[#This Row],[SubGroup]],Product_Structure[Subgroup],0)),"")</f>
        <v>Насосы дренажные электрические</v>
      </c>
      <c r="I1547" s="36">
        <v>9115</v>
      </c>
      <c r="J1547" s="36" t="str">
        <f>IFERROR(INDEX(Product_Structure[Generic Name (long)],MATCH(Товары[[#This Row],[SubGroup]],Product_Structure[Subgroup],0)),"")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Row],[SubGroup]],DIY!$B:$C,2,FALSE),0)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3" t="str">
        <f>IFERROR(INDEX(Product_Structure[SuperCategory],MATCH(Товары[[#This Row],[SubGroup]],Product_Structure[Subgroup],0)),"")</f>
        <v>O</v>
      </c>
      <c r="D1548" s="113" t="str">
        <f>IFERROR(INDEX(Product_Structure[SuperCategory Name ENG],MATCH(Товары[[#This Row],[SubGroup]],Product_Structure[Subgroup],0)),"")</f>
        <v>Pumps (electric, battery) + spare parts</v>
      </c>
      <c r="E154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8" s="113" t="str">
        <f>IFERROR(INDEX(Product_Structure[Product group],MATCH(Товары[[#This Row],[SubGroup]],Product_Structure[Subgroup],0)),"")</f>
        <v>WPU_C</v>
      </c>
      <c r="G1548" s="113" t="str">
        <f>IFERROR(INDEX(Product_Structure[Product group name ENG],MATCH(Товары[[#This Row],[SubGroup]],Product_Structure[Subgroup],0)),"")</f>
        <v>Watering, Pumps</v>
      </c>
      <c r="H1548" s="113" t="str">
        <f>IFERROR(INDEX(Product_Structure[Generic Name (long)3],MATCH(Товары[[#This Row],[SubGroup]],Product_Structure[Subgroup],0)),"")</f>
        <v>Насосы дренажные электрические</v>
      </c>
      <c r="I1548" s="36">
        <v>9115</v>
      </c>
      <c r="J1548" s="36" t="str">
        <f>IFERROR(INDEX(Product_Structure[Generic Name (long)],MATCH(Товары[[#This Row],[SubGroup]],Product_Structure[Subgroup],0)),"")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Row],[SubGroup]],DIY!$B:$C,2,FALSE),0)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3" t="str">
        <f>IFERROR(INDEX(Product_Structure[SuperCategory],MATCH(Товары[[#This Row],[SubGroup]],Product_Structure[Subgroup],0)),"")</f>
        <v>O</v>
      </c>
      <c r="D1549" s="113" t="str">
        <f>IFERROR(INDEX(Product_Structure[SuperCategory Name ENG],MATCH(Товары[[#This Row],[SubGroup]],Product_Structure[Subgroup],0)),"")</f>
        <v>Pumps (electric, battery) + spare parts</v>
      </c>
      <c r="E154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49" s="113" t="str">
        <f>IFERROR(INDEX(Product_Structure[Product group],MATCH(Товары[[#This Row],[SubGroup]],Product_Structure[Subgroup],0)),"")</f>
        <v>WPU_C</v>
      </c>
      <c r="G1549" s="113" t="str">
        <f>IFERROR(INDEX(Product_Structure[Product group name ENG],MATCH(Товары[[#This Row],[SubGroup]],Product_Structure[Subgroup],0)),"")</f>
        <v>Watering, Pumps</v>
      </c>
      <c r="H1549" s="113" t="str">
        <f>IFERROR(INDEX(Product_Structure[Generic Name (long)3],MATCH(Товары[[#This Row],[SubGroup]],Product_Structure[Subgroup],0)),"")</f>
        <v>Насосы дренажные электрические</v>
      </c>
      <c r="I1549" s="36">
        <v>9115</v>
      </c>
      <c r="J1549" s="36" t="str">
        <f>IFERROR(INDEX(Product_Structure[Generic Name (long)],MATCH(Товары[[#This Row],[SubGroup]],Product_Structure[Subgroup],0)),"")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Row],[SubGroup]],DIY!$B:$C,2,FALSE),0)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3" t="str">
        <f>IFERROR(INDEX(Product_Structure[SuperCategory],MATCH(Товары[[#This Row],[SubGroup]],Product_Structure[Subgroup],0)),"")</f>
        <v>O</v>
      </c>
      <c r="D1550" s="113" t="str">
        <f>IFERROR(INDEX(Product_Structure[SuperCategory Name ENG],MATCH(Товары[[#This Row],[SubGroup]],Product_Structure[Subgroup],0)),"")</f>
        <v>Pumps (electric, battery) + spare parts</v>
      </c>
      <c r="E155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0" s="113" t="str">
        <f>IFERROR(INDEX(Product_Structure[Product group],MATCH(Товары[[#This Row],[SubGroup]],Product_Structure[Subgroup],0)),"")</f>
        <v>WPU_C</v>
      </c>
      <c r="G1550" s="113" t="str">
        <f>IFERROR(INDEX(Product_Structure[Product group name ENG],MATCH(Товары[[#This Row],[SubGroup]],Product_Structure[Subgroup],0)),"")</f>
        <v>Watering, Pumps</v>
      </c>
      <c r="H1550" s="113" t="str">
        <f>IFERROR(INDEX(Product_Structure[Generic Name (long)3],MATCH(Товары[[#This Row],[SubGroup]],Product_Structure[Subgroup],0)),"")</f>
        <v>Насосы садовые электрические</v>
      </c>
      <c r="I1550" s="36">
        <v>9111</v>
      </c>
      <c r="J1550" s="36" t="str">
        <f>IFERROR(INDEX(Product_Structure[Generic Name (long)],MATCH(Товары[[#This Row],[SubGroup]],Product_Structure[Subgroup],0)),"")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Row],[SubGroup]],DIY!$B:$C,2,FALSE),0)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3" t="str">
        <f>IFERROR(INDEX(Product_Structure[SuperCategory],MATCH(Товары[[#This Row],[SubGroup]],Product_Structure[Subgroup],0)),"")</f>
        <v>O</v>
      </c>
      <c r="D1551" s="113" t="str">
        <f>IFERROR(INDEX(Product_Structure[SuperCategory Name ENG],MATCH(Товары[[#This Row],[SubGroup]],Product_Structure[Subgroup],0)),"")</f>
        <v>Pumps (electric, battery) + spare parts</v>
      </c>
      <c r="E155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1" s="113" t="str">
        <f>IFERROR(INDEX(Product_Structure[Product group],MATCH(Товары[[#This Row],[SubGroup]],Product_Structure[Subgroup],0)),"")</f>
        <v>WPU_C</v>
      </c>
      <c r="G1551" s="113" t="str">
        <f>IFERROR(INDEX(Product_Structure[Product group name ENG],MATCH(Товары[[#This Row],[SubGroup]],Product_Structure[Subgroup],0)),"")</f>
        <v>Watering, Pumps</v>
      </c>
      <c r="H1551" s="113" t="str">
        <f>IFERROR(INDEX(Product_Structure[Generic Name (long)3],MATCH(Товары[[#This Row],[SubGroup]],Product_Structure[Subgroup],0)),"")</f>
        <v>Насосы садовые электрические</v>
      </c>
      <c r="I1551" s="36">
        <v>9111</v>
      </c>
      <c r="J1551" s="36" t="str">
        <f>IFERROR(INDEX(Product_Structure[Generic Name (long)],MATCH(Товары[[#This Row],[SubGroup]],Product_Structure[Subgroup],0)),"")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Row],[SubGroup]],DIY!$B:$C,2,FALSE),0)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3" t="str">
        <f>IFERROR(INDEX(Product_Structure[SuperCategory],MATCH(Товары[[#This Row],[SubGroup]],Product_Structure[Subgroup],0)),"")</f>
        <v>O</v>
      </c>
      <c r="D1552" s="113" t="str">
        <f>IFERROR(INDEX(Product_Structure[SuperCategory Name ENG],MATCH(Товары[[#This Row],[SubGroup]],Product_Structure[Subgroup],0)),"")</f>
        <v>Pumps (electric, battery) + spare parts</v>
      </c>
      <c r="E155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2" s="113" t="str">
        <f>IFERROR(INDEX(Product_Structure[Product group],MATCH(Товары[[#This Row],[SubGroup]],Product_Structure[Subgroup],0)),"")</f>
        <v>WPU_C</v>
      </c>
      <c r="G1552" s="113" t="str">
        <f>IFERROR(INDEX(Product_Structure[Product group name ENG],MATCH(Товары[[#This Row],[SubGroup]],Product_Structure[Subgroup],0)),"")</f>
        <v>Watering, Pumps</v>
      </c>
      <c r="H1552" s="113" t="str">
        <f>IFERROR(INDEX(Product_Structure[Generic Name (long)3],MATCH(Товары[[#This Row],[SubGroup]],Product_Structure[Subgroup],0)),"")</f>
        <v>Насосы садовые электрические</v>
      </c>
      <c r="I1552" s="36">
        <v>9111</v>
      </c>
      <c r="J1552" s="36" t="str">
        <f>IFERROR(INDEX(Product_Structure[Generic Name (long)],MATCH(Товары[[#This Row],[SubGroup]],Product_Structure[Subgroup],0)),"")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Row],[SubGroup]],DIY!$B:$C,2,FALSE),0)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3" t="str">
        <f>IFERROR(INDEX(Product_Structure[SuperCategory],MATCH(Товары[[#This Row],[SubGroup]],Product_Structure[Subgroup],0)),"")</f>
        <v>O</v>
      </c>
      <c r="D1553" s="113" t="str">
        <f>IFERROR(INDEX(Product_Structure[SuperCategory Name ENG],MATCH(Товары[[#This Row],[SubGroup]],Product_Structure[Subgroup],0)),"")</f>
        <v>Pumps (electric, battery) + spare parts</v>
      </c>
      <c r="E155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3" s="113" t="str">
        <f>IFERROR(INDEX(Product_Structure[Product group],MATCH(Товары[[#This Row],[SubGroup]],Product_Structure[Subgroup],0)),"")</f>
        <v>WPU_C</v>
      </c>
      <c r="G1553" s="113" t="str">
        <f>IFERROR(INDEX(Product_Structure[Product group name ENG],MATCH(Товары[[#This Row],[SubGroup]],Product_Structure[Subgroup],0)),"")</f>
        <v>Watering, Pumps</v>
      </c>
      <c r="H1553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IFERROR(INDEX(Product_Structure[Generic Name (long)],MATCH(Товары[[#This Row],[SubGroup]],Product_Structure[Subgroup],0)),"")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Row],[SubGroup]],DIY!$B:$C,2,FALSE),0)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3" t="str">
        <f>IFERROR(INDEX(Product_Structure[SuperCategory],MATCH(Товары[[#This Row],[SubGroup]],Product_Structure[Subgroup],0)),"")</f>
        <v>O</v>
      </c>
      <c r="D1554" s="113" t="str">
        <f>IFERROR(INDEX(Product_Structure[SuperCategory Name ENG],MATCH(Товары[[#This Row],[SubGroup]],Product_Structure[Subgroup],0)),"")</f>
        <v>Pumps (electric, battery) + spare parts</v>
      </c>
      <c r="E155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4" s="113" t="str">
        <f>IFERROR(INDEX(Product_Structure[Product group],MATCH(Товары[[#This Row],[SubGroup]],Product_Structure[Subgroup],0)),"")</f>
        <v>WPU_C</v>
      </c>
      <c r="G1554" s="113" t="str">
        <f>IFERROR(INDEX(Product_Structure[Product group name ENG],MATCH(Товары[[#This Row],[SubGroup]],Product_Structure[Subgroup],0)),"")</f>
        <v>Watering, Pumps</v>
      </c>
      <c r="H1554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IFERROR(INDEX(Product_Structure[Generic Name (long)],MATCH(Товары[[#This Row],[SubGroup]],Product_Structure[Subgroup],0)),"")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Row],[SubGroup]],DIY!$B:$C,2,FALSE),0)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3" t="str">
        <f>IFERROR(INDEX(Product_Structure[SuperCategory],MATCH(Товары[[#This Row],[SubGroup]],Product_Structure[Subgroup],0)),"")</f>
        <v>O</v>
      </c>
      <c r="D1555" s="113" t="str">
        <f>IFERROR(INDEX(Product_Structure[SuperCategory Name ENG],MATCH(Товары[[#This Row],[SubGroup]],Product_Structure[Subgroup],0)),"")</f>
        <v>Pumps (electric, battery) + spare parts</v>
      </c>
      <c r="E155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5" s="113" t="str">
        <f>IFERROR(INDEX(Product_Structure[Product group],MATCH(Товары[[#This Row],[SubGroup]],Product_Structure[Subgroup],0)),"")</f>
        <v>WPU_C</v>
      </c>
      <c r="G1555" s="113" t="str">
        <f>IFERROR(INDEX(Product_Structure[Product group name ENG],MATCH(Товары[[#This Row],[SubGroup]],Product_Structure[Subgroup],0)),"")</f>
        <v>Watering, Pumps</v>
      </c>
      <c r="H1555" s="113" t="str">
        <f>IFERROR(INDEX(Product_Structure[Generic Name (long)3],MATCH(Товары[[#This Row],[SubGroup]],Product_Structure[Subgroup],0)),"")</f>
        <v>Насосы погружные электрические</v>
      </c>
      <c r="I1555" s="36">
        <v>9114</v>
      </c>
      <c r="J1555" s="36" t="str">
        <f>IFERROR(INDEX(Product_Structure[Generic Name (long)],MATCH(Товары[[#This Row],[SubGroup]],Product_Structure[Subgroup],0)),"")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Row],[SubGroup]],DIY!$B:$C,2,FALSE),0)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3" t="str">
        <f>IFERROR(INDEX(Product_Structure[SuperCategory],MATCH(Товары[[#This Row],[SubGroup]],Product_Structure[Subgroup],0)),"")</f>
        <v>O</v>
      </c>
      <c r="D1556" s="113" t="str">
        <f>IFERROR(INDEX(Product_Structure[SuperCategory Name ENG],MATCH(Товары[[#This Row],[SubGroup]],Product_Structure[Subgroup],0)),"")</f>
        <v>Pumps (electric, battery) + spare parts</v>
      </c>
      <c r="E155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6" s="113" t="str">
        <f>IFERROR(INDEX(Product_Structure[Product group],MATCH(Товары[[#This Row],[SubGroup]],Product_Structure[Subgroup],0)),"")</f>
        <v>WPU_C</v>
      </c>
      <c r="G1556" s="113" t="str">
        <f>IFERROR(INDEX(Product_Structure[Product group name ENG],MATCH(Товары[[#This Row],[SubGroup]],Product_Structure[Subgroup],0)),"")</f>
        <v>Watering, Pumps</v>
      </c>
      <c r="H1556" s="113" t="str">
        <f>IFERROR(INDEX(Product_Structure[Generic Name (long)3],MATCH(Товары[[#This Row],[SubGroup]],Product_Structure[Subgroup],0)),"")</f>
        <v>Шланги технические</v>
      </c>
      <c r="I1556" s="36">
        <v>9117</v>
      </c>
      <c r="J1556" s="36" t="str">
        <f>IFERROR(INDEX(Product_Structure[Generic Name (long)],MATCH(Товары[[#This Row],[SubGroup]],Product_Structure[Subgroup],0)),"")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Row],[SubGroup]],DIY!$B:$C,2,FALSE),0)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3" t="str">
        <f>IFERROR(INDEX(Product_Structure[SuperCategory],MATCH(Товары[[#This Row],[SubGroup]],Product_Structure[Subgroup],0)),"")</f>
        <v>O</v>
      </c>
      <c r="D1557" s="113" t="str">
        <f>IFERROR(INDEX(Product_Structure[SuperCategory Name ENG],MATCH(Товары[[#This Row],[SubGroup]],Product_Structure[Subgroup],0)),"")</f>
        <v>Pumps (electric, battery) + spare parts</v>
      </c>
      <c r="E155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7" s="113" t="str">
        <f>IFERROR(INDEX(Product_Structure[Product group],MATCH(Товары[[#This Row],[SubGroup]],Product_Structure[Subgroup],0)),"")</f>
        <v>WPU_C</v>
      </c>
      <c r="G1557" s="113" t="str">
        <f>IFERROR(INDEX(Product_Structure[Product group name ENG],MATCH(Товары[[#This Row],[SubGroup]],Product_Structure[Subgroup],0)),"")</f>
        <v>Watering, Pumps</v>
      </c>
      <c r="H1557" s="113" t="str">
        <f>IFERROR(INDEX(Product_Structure[Generic Name (long)3],MATCH(Товары[[#This Row],[SubGroup]],Product_Structure[Subgroup],0)),"")</f>
        <v>Шланги технические</v>
      </c>
      <c r="I1557" s="36">
        <v>9117</v>
      </c>
      <c r="J1557" s="36" t="str">
        <f>IFERROR(INDEX(Product_Structure[Generic Name (long)],MATCH(Товары[[#This Row],[SubGroup]],Product_Structure[Subgroup],0)),"")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Row],[SubGroup]],DIY!$B:$C,2,FALSE),0)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3" t="str">
        <f>IFERROR(INDEX(Product_Structure[SuperCategory],MATCH(Товары[[#This Row],[SubGroup]],Product_Structure[Subgroup],0)),"")</f>
        <v>O</v>
      </c>
      <c r="D1558" s="113" t="str">
        <f>IFERROR(INDEX(Product_Structure[SuperCategory Name ENG],MATCH(Товары[[#This Row],[SubGroup]],Product_Structure[Subgroup],0)),"")</f>
        <v>Pumps (electric, battery) + spare parts</v>
      </c>
      <c r="E155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8" s="113" t="str">
        <f>IFERROR(INDEX(Product_Structure[Product group],MATCH(Товары[[#This Row],[SubGroup]],Product_Structure[Subgroup],0)),"")</f>
        <v>WPU_C</v>
      </c>
      <c r="G1558" s="113" t="str">
        <f>IFERROR(INDEX(Product_Structure[Product group name ENG],MATCH(Товары[[#This Row],[SubGroup]],Product_Structure[Subgroup],0)),"")</f>
        <v>Watering, Pumps</v>
      </c>
      <c r="H1558" s="113" t="str">
        <f>IFERROR(INDEX(Product_Structure[Generic Name (long)3],MATCH(Товары[[#This Row],[SubGroup]],Product_Structure[Subgroup],0)),"")</f>
        <v>Шланги технические</v>
      </c>
      <c r="I1558" s="36">
        <v>9117</v>
      </c>
      <c r="J1558" s="36" t="str">
        <f>IFERROR(INDEX(Product_Structure[Generic Name (long)],MATCH(Товары[[#This Row],[SubGroup]],Product_Structure[Subgroup],0)),"")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Row],[SubGroup]],DIY!$B:$C,2,FALSE),0)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3" t="str">
        <f>IFERROR(INDEX(Product_Structure[SuperCategory],MATCH(Товары[[#This Row],[SubGroup]],Product_Structure[Subgroup],0)),"")</f>
        <v>O</v>
      </c>
      <c r="D1559" s="113" t="str">
        <f>IFERROR(INDEX(Product_Structure[SuperCategory Name ENG],MATCH(Товары[[#This Row],[SubGroup]],Product_Structure[Subgroup],0)),"")</f>
        <v>Pumps (electric, battery) + spare parts</v>
      </c>
      <c r="E155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59" s="113" t="str">
        <f>IFERROR(INDEX(Product_Structure[Product group],MATCH(Товары[[#This Row],[SubGroup]],Product_Structure[Subgroup],0)),"")</f>
        <v>WPU_C</v>
      </c>
      <c r="G1559" s="113" t="str">
        <f>IFERROR(INDEX(Product_Structure[Product group name ENG],MATCH(Товары[[#This Row],[SubGroup]],Product_Structure[Subgroup],0)),"")</f>
        <v>Watering, Pumps</v>
      </c>
      <c r="H1559" s="113" t="str">
        <f>IFERROR(INDEX(Product_Structure[Generic Name (long)3],MATCH(Товары[[#This Row],[SubGroup]],Product_Structure[Subgroup],0)),"")</f>
        <v>Шланги технические</v>
      </c>
      <c r="I1559" s="36">
        <v>9117</v>
      </c>
      <c r="J1559" s="36" t="str">
        <f>IFERROR(INDEX(Product_Structure[Generic Name (long)],MATCH(Товары[[#This Row],[SubGroup]],Product_Structure[Subgroup],0)),"")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Row],[SubGroup]],DIY!$B:$C,2,FALSE),0)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3" t="str">
        <f>IFERROR(INDEX(Product_Structure[SuperCategory],MATCH(Товары[[#This Row],[SubGroup]],Product_Structure[Subgroup],0)),"")</f>
        <v>O</v>
      </c>
      <c r="D1560" s="113" t="str">
        <f>IFERROR(INDEX(Product_Structure[SuperCategory Name ENG],MATCH(Товары[[#This Row],[SubGroup]],Product_Structure[Subgroup],0)),"")</f>
        <v>Pumps (electric, battery) + spare parts</v>
      </c>
      <c r="E156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0" s="113" t="str">
        <f>IFERROR(INDEX(Product_Structure[Product group],MATCH(Товары[[#This Row],[SubGroup]],Product_Structure[Subgroup],0)),"")</f>
        <v>WPU_C</v>
      </c>
      <c r="G1560" s="113" t="str">
        <f>IFERROR(INDEX(Product_Structure[Product group name ENG],MATCH(Товары[[#This Row],[SubGroup]],Product_Structure[Subgroup],0)),"")</f>
        <v>Watering, Pumps</v>
      </c>
      <c r="H1560" s="113" t="str">
        <f>IFERROR(INDEX(Product_Structure[Generic Name (long)3],MATCH(Товары[[#This Row],[SubGroup]],Product_Structure[Subgroup],0)),"")</f>
        <v>Шланги технические</v>
      </c>
      <c r="I1560" s="36">
        <v>9117</v>
      </c>
      <c r="J1560" s="36" t="str">
        <f>IFERROR(INDEX(Product_Structure[Generic Name (long)],MATCH(Товары[[#This Row],[SubGroup]],Product_Structure[Subgroup],0)),"")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Row],[SubGroup]],DIY!$B:$C,2,FALSE),0)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3" t="str">
        <f>IFERROR(INDEX(Product_Structure[SuperCategory],MATCH(Товары[[#This Row],[SubGroup]],Product_Structure[Subgroup],0)),"")</f>
        <v>O</v>
      </c>
      <c r="D1561" s="113" t="str">
        <f>IFERROR(INDEX(Product_Structure[SuperCategory Name ENG],MATCH(Товары[[#This Row],[SubGroup]],Product_Structure[Subgroup],0)),"")</f>
        <v>Pumps (electric, battery) + spare parts</v>
      </c>
      <c r="E156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1" s="113" t="str">
        <f>IFERROR(INDEX(Product_Structure[Product group],MATCH(Товары[[#This Row],[SubGroup]],Product_Structure[Subgroup],0)),"")</f>
        <v>WPU_C</v>
      </c>
      <c r="G1561" s="113" t="str">
        <f>IFERROR(INDEX(Product_Structure[Product group name ENG],MATCH(Товары[[#This Row],[SubGroup]],Product_Structure[Subgroup],0)),"")</f>
        <v>Watering, Pumps</v>
      </c>
      <c r="H1561" s="113" t="str">
        <f>IFERROR(INDEX(Product_Structure[Generic Name (long)3],MATCH(Товары[[#This Row],[SubGroup]],Product_Structure[Subgroup],0)),"")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IFERROR(INDEX(Product_Structure[Generic Name (long)],MATCH(Товары[[#This Row],[SubGroup]],Product_Structure[Subgroup],0)),"")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Row],[SubGroup]],DIY!$B:$C,2,FALSE),0)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3" t="str">
        <f>IFERROR(INDEX(Product_Structure[SuperCategory],MATCH(Товары[[#This Row],[SubGroup]],Product_Structure[Subgroup],0)),"")</f>
        <v>O</v>
      </c>
      <c r="D1562" s="113" t="str">
        <f>IFERROR(INDEX(Product_Structure[SuperCategory Name ENG],MATCH(Товары[[#This Row],[SubGroup]],Product_Structure[Subgroup],0)),"")</f>
        <v>Pumps (electric, battery) + spare parts</v>
      </c>
      <c r="E156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2" s="113" t="str">
        <f>IFERROR(INDEX(Product_Structure[Product group],MATCH(Товары[[#This Row],[SubGroup]],Product_Structure[Subgroup],0)),"")</f>
        <v>WPU_C</v>
      </c>
      <c r="G1562" s="113" t="str">
        <f>IFERROR(INDEX(Product_Structure[Product group name ENG],MATCH(Товары[[#This Row],[SubGroup]],Product_Structure[Subgroup],0)),"")</f>
        <v>Watering, Pumps</v>
      </c>
      <c r="H1562" s="113" t="str">
        <f>IFERROR(INDEX(Product_Structure[Generic Name (long)3],MATCH(Товары[[#This Row],[SubGroup]],Product_Structure[Subgroup],0)),"")</f>
        <v>Насосы дренажные электрические</v>
      </c>
      <c r="I1562" s="36">
        <v>9115</v>
      </c>
      <c r="J1562" s="36" t="str">
        <f>IFERROR(INDEX(Product_Structure[Generic Name (long)],MATCH(Товары[[#This Row],[SubGroup]],Product_Structure[Subgroup],0)),"")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Row],[SubGroup]],DIY!$B:$C,2,FALSE),0)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3" t="str">
        <f>IFERROR(INDEX(Product_Structure[SuperCategory],MATCH(Товары[[#This Row],[SubGroup]],Product_Structure[Subgroup],0)),"")</f>
        <v>O</v>
      </c>
      <c r="D1563" s="113" t="str">
        <f>IFERROR(INDEX(Product_Structure[SuperCategory Name ENG],MATCH(Товары[[#This Row],[SubGroup]],Product_Structure[Subgroup],0)),"")</f>
        <v>Pumps (electric, battery) + spare parts</v>
      </c>
      <c r="E156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3" s="113" t="str">
        <f>IFERROR(INDEX(Product_Structure[Product group],MATCH(Товары[[#This Row],[SubGroup]],Product_Structure[Subgroup],0)),"")</f>
        <v>WPU_C</v>
      </c>
      <c r="G1563" s="113" t="str">
        <f>IFERROR(INDEX(Product_Structure[Product group name ENG],MATCH(Товары[[#This Row],[SubGroup]],Product_Structure[Subgroup],0)),"")</f>
        <v>Watering, Pumps</v>
      </c>
      <c r="H1563" s="113" t="str">
        <f>IFERROR(INDEX(Product_Structure[Generic Name (long)3],MATCH(Товары[[#This Row],[SubGroup]],Product_Structure[Subgroup],0)),"")</f>
        <v>Насосы дренажные электрические</v>
      </c>
      <c r="I1563" s="36">
        <v>9115</v>
      </c>
      <c r="J1563" s="36" t="str">
        <f>IFERROR(INDEX(Product_Structure[Generic Name (long)],MATCH(Товары[[#This Row],[SubGroup]],Product_Structure[Subgroup],0)),"")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Row],[SubGroup]],DIY!$B:$C,2,FALSE),0)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3" t="str">
        <f>IFERROR(INDEX(Product_Structure[SuperCategory],MATCH(Товары[[#This Row],[SubGroup]],Product_Structure[Subgroup],0)),"")</f>
        <v>O</v>
      </c>
      <c r="D1564" s="113" t="str">
        <f>IFERROR(INDEX(Product_Structure[SuperCategory Name ENG],MATCH(Товары[[#This Row],[SubGroup]],Product_Structure[Subgroup],0)),"")</f>
        <v>Pumps (electric, battery) + spare parts</v>
      </c>
      <c r="E156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4" s="113" t="str">
        <f>IFERROR(INDEX(Product_Structure[Product group],MATCH(Товары[[#This Row],[SubGroup]],Product_Structure[Subgroup],0)),"")</f>
        <v>WPU_C</v>
      </c>
      <c r="G1564" s="113" t="str">
        <f>IFERROR(INDEX(Product_Structure[Product group name ENG],MATCH(Товары[[#This Row],[SubGroup]],Product_Structure[Subgroup],0)),"")</f>
        <v>Watering, Pumps</v>
      </c>
      <c r="H1564" s="113" t="str">
        <f>IFERROR(INDEX(Product_Structure[Generic Name (long)3],MATCH(Товары[[#This Row],[SubGroup]],Product_Structure[Subgroup],0)),"")</f>
        <v>Насосы дренажные электрические</v>
      </c>
      <c r="I1564" s="36">
        <v>9115</v>
      </c>
      <c r="J1564" s="36" t="str">
        <f>IFERROR(INDEX(Product_Structure[Generic Name (long)],MATCH(Товары[[#This Row],[SubGroup]],Product_Structure[Subgroup],0)),"")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Row],[SubGroup]],DIY!$B:$C,2,FALSE),0)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3" t="str">
        <f>IFERROR(INDEX(Product_Structure[SuperCategory],MATCH(Товары[[#This Row],[SubGroup]],Product_Structure[Subgroup],0)),"")</f>
        <v>O</v>
      </c>
      <c r="D1565" s="113" t="str">
        <f>IFERROR(INDEX(Product_Structure[SuperCategory Name ENG],MATCH(Товары[[#This Row],[SubGroup]],Product_Structure[Subgroup],0)),"")</f>
        <v>Pumps (electric, battery) + spare parts</v>
      </c>
      <c r="E156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5" s="113" t="str">
        <f>IFERROR(INDEX(Product_Structure[Product group],MATCH(Товары[[#This Row],[SubGroup]],Product_Structure[Subgroup],0)),"")</f>
        <v>WPU_C</v>
      </c>
      <c r="G1565" s="113" t="str">
        <f>IFERROR(INDEX(Product_Structure[Product group name ENG],MATCH(Товары[[#This Row],[SubGroup]],Product_Structure[Subgroup],0)),"")</f>
        <v>Watering, Pumps</v>
      </c>
      <c r="H1565" s="113" t="str">
        <f>IFERROR(INDEX(Product_Structure[Generic Name (long)3],MATCH(Товары[[#This Row],[SubGroup]],Product_Structure[Subgroup],0)),"")</f>
        <v>Насосы дренажные электрические</v>
      </c>
      <c r="I1565" s="36">
        <v>9115</v>
      </c>
      <c r="J1565" s="36" t="str">
        <f>IFERROR(INDEX(Product_Structure[Generic Name (long)],MATCH(Товары[[#This Row],[SubGroup]],Product_Structure[Subgroup],0)),"")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Row],[SubGroup]],DIY!$B:$C,2,FALSE),0)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3" t="str">
        <f>IFERROR(INDEX(Product_Structure[SuperCategory],MATCH(Товары[[#This Row],[SubGroup]],Product_Structure[Subgroup],0)),"")</f>
        <v>O</v>
      </c>
      <c r="D1566" s="113" t="str">
        <f>IFERROR(INDEX(Product_Structure[SuperCategory Name ENG],MATCH(Товары[[#This Row],[SubGroup]],Product_Structure[Subgroup],0)),"")</f>
        <v>Pumps (electric, battery) + spare parts</v>
      </c>
      <c r="E156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6" s="113" t="str">
        <f>IFERROR(INDEX(Product_Structure[Product group],MATCH(Товары[[#This Row],[SubGroup]],Product_Structure[Subgroup],0)),"")</f>
        <v>WPU_C</v>
      </c>
      <c r="G1566" s="113" t="str">
        <f>IFERROR(INDEX(Product_Structure[Product group name ENG],MATCH(Товары[[#This Row],[SubGroup]],Product_Structure[Subgroup],0)),"")</f>
        <v>Watering, Pumps</v>
      </c>
      <c r="H1566" s="113" t="str">
        <f>IFERROR(INDEX(Product_Structure[Generic Name (long)3],MATCH(Товары[[#This Row],[SubGroup]],Product_Structure[Subgroup],0)),"")</f>
        <v>Насосы дренажные электрические</v>
      </c>
      <c r="I1566" s="36">
        <v>9115</v>
      </c>
      <c r="J1566" s="36" t="str">
        <f>IFERROR(INDEX(Product_Structure[Generic Name (long)],MATCH(Товары[[#This Row],[SubGroup]],Product_Structure[Subgroup],0)),"")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Row],[SubGroup]],DIY!$B:$C,2,FALSE),0)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3" t="str">
        <f>IFERROR(INDEX(Product_Structure[SuperCategory],MATCH(Товары[[#This Row],[SubGroup]],Product_Structure[Subgroup],0)),"")</f>
        <v>O</v>
      </c>
      <c r="D1567" s="113" t="str">
        <f>IFERROR(INDEX(Product_Structure[SuperCategory Name ENG],MATCH(Товары[[#This Row],[SubGroup]],Product_Structure[Subgroup],0)),"")</f>
        <v>Pumps (electric, battery) + spare parts</v>
      </c>
      <c r="E156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7" s="113" t="str">
        <f>IFERROR(INDEX(Product_Structure[Product group],MATCH(Товары[[#This Row],[SubGroup]],Product_Structure[Subgroup],0)),"")</f>
        <v>WPU_C</v>
      </c>
      <c r="G1567" s="113" t="str">
        <f>IFERROR(INDEX(Product_Structure[Product group name ENG],MATCH(Товары[[#This Row],[SubGroup]],Product_Structure[Subgroup],0)),"")</f>
        <v>Watering, Pumps</v>
      </c>
      <c r="H1567" s="113" t="str">
        <f>IFERROR(INDEX(Product_Structure[Generic Name (long)3],MATCH(Товары[[#This Row],[SubGroup]],Product_Structure[Subgroup],0)),"")</f>
        <v>Насосы дренажные электрические</v>
      </c>
      <c r="I1567" s="36">
        <v>9115</v>
      </c>
      <c r="J1567" s="36" t="str">
        <f>IFERROR(INDEX(Product_Structure[Generic Name (long)],MATCH(Товары[[#This Row],[SubGroup]],Product_Structure[Subgroup],0)),"")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Row],[SubGroup]],DIY!$B:$C,2,FALSE),0)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3" t="str">
        <f>IFERROR(INDEX(Product_Structure[SuperCategory],MATCH(Товары[[#This Row],[SubGroup]],Product_Structure[Subgroup],0)),"")</f>
        <v>O</v>
      </c>
      <c r="D1568" s="113" t="str">
        <f>IFERROR(INDEX(Product_Structure[SuperCategory Name ENG],MATCH(Товары[[#This Row],[SubGroup]],Product_Structure[Subgroup],0)),"")</f>
        <v>Pumps (electric, battery) + spare parts</v>
      </c>
      <c r="E156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8" s="113" t="str">
        <f>IFERROR(INDEX(Product_Structure[Product group],MATCH(Товары[[#This Row],[SubGroup]],Product_Structure[Subgroup],0)),"")</f>
        <v>WPU_C</v>
      </c>
      <c r="G1568" s="113" t="str">
        <f>IFERROR(INDEX(Product_Structure[Product group name ENG],MATCH(Товары[[#This Row],[SubGroup]],Product_Structure[Subgroup],0)),"")</f>
        <v>Watering, Pumps</v>
      </c>
      <c r="H1568" s="113" t="str">
        <f>IFERROR(INDEX(Product_Structure[Generic Name (long)3],MATCH(Товары[[#This Row],[SubGroup]],Product_Structure[Subgroup],0)),"")</f>
        <v>Насосы дренажные электрические</v>
      </c>
      <c r="I1568" s="36">
        <v>9115</v>
      </c>
      <c r="J1568" s="36" t="str">
        <f>IFERROR(INDEX(Product_Structure[Generic Name (long)],MATCH(Товары[[#This Row],[SubGroup]],Product_Structure[Subgroup],0)),"")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Row],[SubGroup]],DIY!$B:$C,2,FALSE),0)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3" t="str">
        <f>IFERROR(INDEX(Product_Structure[SuperCategory],MATCH(Товары[[#This Row],[SubGroup]],Product_Structure[Subgroup],0)),"")</f>
        <v>O</v>
      </c>
      <c r="D1569" s="113" t="str">
        <f>IFERROR(INDEX(Product_Structure[SuperCategory Name ENG],MATCH(Товары[[#This Row],[SubGroup]],Product_Structure[Subgroup],0)),"")</f>
        <v>Pumps (electric, battery) + spare parts</v>
      </c>
      <c r="E156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69" s="113" t="str">
        <f>IFERROR(INDEX(Product_Structure[Product group],MATCH(Товары[[#This Row],[SubGroup]],Product_Structure[Subgroup],0)),"")</f>
        <v>WPU_C</v>
      </c>
      <c r="G1569" s="113" t="str">
        <f>IFERROR(INDEX(Product_Structure[Product group name ENG],MATCH(Товары[[#This Row],[SubGroup]],Product_Structure[Subgroup],0)),"")</f>
        <v>Watering, Pumps</v>
      </c>
      <c r="H1569" s="113" t="str">
        <f>IFERROR(INDEX(Product_Structure[Generic Name (long)3],MATCH(Товары[[#This Row],[SubGroup]],Product_Structure[Subgroup],0)),"")</f>
        <v>Насосы дренажные электрические</v>
      </c>
      <c r="I1569" s="36">
        <v>9115</v>
      </c>
      <c r="J1569" s="36" t="str">
        <f>IFERROR(INDEX(Product_Structure[Generic Name (long)],MATCH(Товары[[#This Row],[SubGroup]],Product_Structure[Subgroup],0)),"")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Row],[SubGroup]],DIY!$B:$C,2,FALSE),0)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3" t="str">
        <f>IFERROR(INDEX(Product_Structure[SuperCategory],MATCH(Товары[[#This Row],[SubGroup]],Product_Structure[Subgroup],0)),"")</f>
        <v>O</v>
      </c>
      <c r="D1570" s="113" t="str">
        <f>IFERROR(INDEX(Product_Structure[SuperCategory Name ENG],MATCH(Товары[[#This Row],[SubGroup]],Product_Structure[Subgroup],0)),"")</f>
        <v>Pumps (electric, battery) + spare parts</v>
      </c>
      <c r="E157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0" s="113" t="str">
        <f>IFERROR(INDEX(Product_Structure[Product group],MATCH(Товары[[#This Row],[SubGroup]],Product_Structure[Subgroup],0)),"")</f>
        <v>WPU_C</v>
      </c>
      <c r="G1570" s="113" t="str">
        <f>IFERROR(INDEX(Product_Structure[Product group name ENG],MATCH(Товары[[#This Row],[SubGroup]],Product_Structure[Subgroup],0)),"")</f>
        <v>Watering, Pumps</v>
      </c>
      <c r="H1570" s="113" t="str">
        <f>IFERROR(INDEX(Product_Structure[Generic Name (long)3],MATCH(Товары[[#This Row],[SubGroup]],Product_Structure[Subgroup],0)),"")</f>
        <v>Насосы дренажные электрические</v>
      </c>
      <c r="I1570" s="36">
        <v>9115</v>
      </c>
      <c r="J1570" s="36" t="str">
        <f>IFERROR(INDEX(Product_Structure[Generic Name (long)],MATCH(Товары[[#This Row],[SubGroup]],Product_Structure[Subgroup],0)),"")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Row],[SubGroup]],DIY!$B:$C,2,FALSE),0)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3" t="str">
        <f>IFERROR(INDEX(Product_Structure[SuperCategory],MATCH(Товары[[#This Row],[SubGroup]],Product_Structure[Subgroup],0)),"")</f>
        <v>O</v>
      </c>
      <c r="D1571" s="113" t="str">
        <f>IFERROR(INDEX(Product_Structure[SuperCategory Name ENG],MATCH(Товары[[#This Row],[SubGroup]],Product_Structure[Subgroup],0)),"")</f>
        <v>Pumps (electric, battery) + spare parts</v>
      </c>
      <c r="E157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1" s="113" t="str">
        <f>IFERROR(INDEX(Product_Structure[Product group],MATCH(Товары[[#This Row],[SubGroup]],Product_Structure[Subgroup],0)),"")</f>
        <v>WPU_C</v>
      </c>
      <c r="G1571" s="113" t="str">
        <f>IFERROR(INDEX(Product_Structure[Product group name ENG],MATCH(Товары[[#This Row],[SubGroup]],Product_Structure[Subgroup],0)),"")</f>
        <v>Watering, Pumps</v>
      </c>
      <c r="H1571" s="113" t="str">
        <f>IFERROR(INDEX(Product_Structure[Generic Name (long)3],MATCH(Товары[[#This Row],[SubGroup]],Product_Structure[Subgroup],0)),"")</f>
        <v>Насосы дренажные электрические</v>
      </c>
      <c r="I1571" s="36">
        <v>9115</v>
      </c>
      <c r="J1571" s="36" t="str">
        <f>IFERROR(INDEX(Product_Structure[Generic Name (long)],MATCH(Товары[[#This Row],[SubGroup]],Product_Structure[Subgroup],0)),"")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Row],[SubGroup]],DIY!$B:$C,2,FALSE),0)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3" t="str">
        <f>IFERROR(INDEX(Product_Structure[SuperCategory],MATCH(Товары[[#This Row],[SubGroup]],Product_Structure[Subgroup],0)),"")</f>
        <v>O</v>
      </c>
      <c r="D1572" s="113" t="str">
        <f>IFERROR(INDEX(Product_Structure[SuperCategory Name ENG],MATCH(Товары[[#This Row],[SubGroup]],Product_Structure[Subgroup],0)),"")</f>
        <v>Pumps (electric, battery) + spare parts</v>
      </c>
      <c r="E157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2" s="113" t="str">
        <f>IFERROR(INDEX(Product_Structure[Product group],MATCH(Товары[[#This Row],[SubGroup]],Product_Structure[Subgroup],0)),"")</f>
        <v>WPU_C</v>
      </c>
      <c r="G1572" s="113" t="str">
        <f>IFERROR(INDEX(Product_Structure[Product group name ENG],MATCH(Товары[[#This Row],[SubGroup]],Product_Structure[Subgroup],0)),"")</f>
        <v>Watering, Pumps</v>
      </c>
      <c r="H1572" s="113" t="str">
        <f>IFERROR(INDEX(Product_Structure[Generic Name (long)3],MATCH(Товары[[#This Row],[SubGroup]],Product_Structure[Subgroup],0)),"")</f>
        <v>Шланги всасывающие</v>
      </c>
      <c r="I1572" s="36">
        <v>9116</v>
      </c>
      <c r="J1572" s="36" t="str">
        <f>IFERROR(INDEX(Product_Structure[Generic Name (long)],MATCH(Товары[[#This Row],[SubGroup]],Product_Structure[Subgroup],0)),"")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Row],[SubGroup]],DIY!$B:$C,2,FALSE),0)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3" t="str">
        <f>IFERROR(INDEX(Product_Structure[SuperCategory],MATCH(Товары[[#This Row],[SubGroup]],Product_Structure[Subgroup],0)),"")</f>
        <v>O</v>
      </c>
      <c r="D1573" s="113" t="str">
        <f>IFERROR(INDEX(Product_Structure[SuperCategory Name ENG],MATCH(Товары[[#This Row],[SubGroup]],Product_Structure[Subgroup],0)),"")</f>
        <v>Pumps (electric, battery) + spare parts</v>
      </c>
      <c r="E157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3" s="113" t="str">
        <f>IFERROR(INDEX(Product_Structure[Product group],MATCH(Товары[[#This Row],[SubGroup]],Product_Structure[Subgroup],0)),"")</f>
        <v>WPU_C</v>
      </c>
      <c r="G1573" s="113" t="str">
        <f>IFERROR(INDEX(Product_Structure[Product group name ENG],MATCH(Товары[[#This Row],[SubGroup]],Product_Structure[Subgroup],0)),"")</f>
        <v>Watering, Pumps</v>
      </c>
      <c r="H1573" s="113" t="str">
        <f>IFERROR(INDEX(Product_Structure[Generic Name (long)3],MATCH(Товары[[#This Row],[SubGroup]],Product_Structure[Subgroup],0)),"")</f>
        <v>Шланги всасывающие</v>
      </c>
      <c r="I1573" s="36">
        <v>9116</v>
      </c>
      <c r="J1573" s="36" t="str">
        <f>IFERROR(INDEX(Product_Structure[Generic Name (long)],MATCH(Товары[[#This Row],[SubGroup]],Product_Structure[Subgroup],0)),"")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Row],[SubGroup]],DIY!$B:$C,2,FALSE),0)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3" t="str">
        <f>IFERROR(INDEX(Product_Structure[SuperCategory],MATCH(Товары[[#This Row],[SubGroup]],Product_Structure[Subgroup],0)),"")</f>
        <v>O</v>
      </c>
      <c r="D1574" s="113" t="str">
        <f>IFERROR(INDEX(Product_Structure[SuperCategory Name ENG],MATCH(Товары[[#This Row],[SubGroup]],Product_Structure[Subgroup],0)),"")</f>
        <v>Pumps (electric, battery) + spare parts</v>
      </c>
      <c r="E157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4" s="113" t="str">
        <f>IFERROR(INDEX(Product_Structure[Product group],MATCH(Товары[[#This Row],[SubGroup]],Product_Structure[Subgroup],0)),"")</f>
        <v>WPU_C</v>
      </c>
      <c r="G1574" s="113" t="str">
        <f>IFERROR(INDEX(Product_Structure[Product group name ENG],MATCH(Товары[[#This Row],[SubGroup]],Product_Structure[Subgroup],0)),"")</f>
        <v>Watering, Pumps</v>
      </c>
      <c r="H1574" s="113" t="str">
        <f>IFERROR(INDEX(Product_Structure[Generic Name (long)3],MATCH(Товары[[#This Row],[SubGroup]],Product_Structure[Subgroup],0)),"")</f>
        <v>Шланги всасывающие</v>
      </c>
      <c r="I1574" s="36">
        <v>9116</v>
      </c>
      <c r="J1574" s="36" t="str">
        <f>IFERROR(INDEX(Product_Structure[Generic Name (long)],MATCH(Товары[[#This Row],[SubGroup]],Product_Structure[Subgroup],0)),"")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Row],[SubGroup]],DIY!$B:$C,2,FALSE),0)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3" t="str">
        <f>IFERROR(INDEX(Product_Structure[SuperCategory],MATCH(Товары[[#This Row],[SubGroup]],Product_Structure[Subgroup],0)),"")</f>
        <v>O</v>
      </c>
      <c r="D1575" s="113" t="str">
        <f>IFERROR(INDEX(Product_Structure[SuperCategory Name ENG],MATCH(Товары[[#This Row],[SubGroup]],Product_Structure[Subgroup],0)),"")</f>
        <v>Pumps (electric, battery) + spare parts</v>
      </c>
      <c r="E157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5" s="113" t="str">
        <f>IFERROR(INDEX(Product_Structure[Product group],MATCH(Товары[[#This Row],[SubGroup]],Product_Structure[Subgroup],0)),"")</f>
        <v>WPU_C</v>
      </c>
      <c r="G1575" s="113" t="str">
        <f>IFERROR(INDEX(Product_Structure[Product group name ENG],MATCH(Товары[[#This Row],[SubGroup]],Product_Structure[Subgroup],0)),"")</f>
        <v>Watering, Pumps</v>
      </c>
      <c r="H1575" s="113" t="str">
        <f>IFERROR(INDEX(Product_Structure[Generic Name (long)3],MATCH(Товары[[#This Row],[SubGroup]],Product_Structure[Subgroup],0)),"")</f>
        <v>Насосы садовые электрические</v>
      </c>
      <c r="I1575" s="36">
        <v>9111</v>
      </c>
      <c r="J1575" s="36" t="str">
        <f>IFERROR(INDEX(Product_Structure[Generic Name (long)],MATCH(Товары[[#This Row],[SubGroup]],Product_Structure[Subgroup],0)),"")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Row],[SubGroup]],DIY!$B:$C,2,FALSE),0)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3" t="str">
        <f>IFERROR(INDEX(Product_Structure[SuperCategory],MATCH(Товары[[#This Row],[SubGroup]],Product_Structure[Subgroup],0)),"")</f>
        <v>O</v>
      </c>
      <c r="D1576" s="113" t="str">
        <f>IFERROR(INDEX(Product_Structure[SuperCategory Name ENG],MATCH(Товары[[#This Row],[SubGroup]],Product_Structure[Subgroup],0)),"")</f>
        <v>Pumps (electric, battery) + spare parts</v>
      </c>
      <c r="E157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6" s="113" t="str">
        <f>IFERROR(INDEX(Product_Structure[Product group],MATCH(Товары[[#This Row],[SubGroup]],Product_Structure[Subgroup],0)),"")</f>
        <v>WPU_C</v>
      </c>
      <c r="G1576" s="113" t="str">
        <f>IFERROR(INDEX(Product_Structure[Product group name ENG],MATCH(Товары[[#This Row],[SubGroup]],Product_Structure[Subgroup],0)),"")</f>
        <v>Watering, Pumps</v>
      </c>
      <c r="H1576" s="113" t="str">
        <f>IFERROR(INDEX(Product_Structure[Generic Name (long)3],MATCH(Товары[[#This Row],[SubGroup]],Product_Structure[Subgroup],0)),"")</f>
        <v>Насосы погружные электрические</v>
      </c>
      <c r="I1576" s="36">
        <v>9114</v>
      </c>
      <c r="J1576" s="36" t="str">
        <f>IFERROR(INDEX(Product_Structure[Generic Name (long)],MATCH(Товары[[#This Row],[SubGroup]],Product_Structure[Subgroup],0)),"")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Row],[SubGroup]],DIY!$B:$C,2,FALSE),0)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3" t="str">
        <f>IFERROR(INDEX(Product_Structure[SuperCategory],MATCH(Товары[[#This Row],[SubGroup]],Product_Structure[Subgroup],0)),"")</f>
        <v>O</v>
      </c>
      <c r="D1577" s="113" t="str">
        <f>IFERROR(INDEX(Product_Structure[SuperCategory Name ENG],MATCH(Товары[[#This Row],[SubGroup]],Product_Structure[Subgroup],0)),"")</f>
        <v>Pumps (electric, battery) + spare parts</v>
      </c>
      <c r="E157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7" s="113" t="str">
        <f>IFERROR(INDEX(Product_Structure[Product group],MATCH(Товары[[#This Row],[SubGroup]],Product_Structure[Subgroup],0)),"")</f>
        <v>WPU_C</v>
      </c>
      <c r="G1577" s="113" t="str">
        <f>IFERROR(INDEX(Product_Structure[Product group name ENG],MATCH(Товары[[#This Row],[SubGroup]],Product_Structure[Subgroup],0)),"")</f>
        <v>Watering, Pumps</v>
      </c>
      <c r="H1577" s="113" t="str">
        <f>IFERROR(INDEX(Product_Structure[Generic Name (long)3],MATCH(Товары[[#This Row],[SubGroup]],Product_Structure[Subgroup],0)),"")</f>
        <v>Насосы погружные электрические</v>
      </c>
      <c r="I1577" s="36">
        <v>9114</v>
      </c>
      <c r="J1577" s="36" t="str">
        <f>IFERROR(INDEX(Product_Structure[Generic Name (long)],MATCH(Товары[[#This Row],[SubGroup]],Product_Structure[Subgroup],0)),"")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Row],[SubGroup]],DIY!$B:$C,2,FALSE),0)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3" t="str">
        <f>IFERROR(INDEX(Product_Structure[SuperCategory],MATCH(Товары[[#This Row],[SubGroup]],Product_Structure[Subgroup],0)),"")</f>
        <v>O</v>
      </c>
      <c r="D1578" s="113" t="str">
        <f>IFERROR(INDEX(Product_Structure[SuperCategory Name ENG],MATCH(Товары[[#This Row],[SubGroup]],Product_Structure[Subgroup],0)),"")</f>
        <v>Pumps (electric, battery) + spare parts</v>
      </c>
      <c r="E157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8" s="113" t="str">
        <f>IFERROR(INDEX(Product_Structure[Product group],MATCH(Товары[[#This Row],[SubGroup]],Product_Structure[Subgroup],0)),"")</f>
        <v>WPU_C</v>
      </c>
      <c r="G1578" s="113" t="str">
        <f>IFERROR(INDEX(Product_Structure[Product group name ENG],MATCH(Товары[[#This Row],[SubGroup]],Product_Structure[Subgroup],0)),"")</f>
        <v>Watering, Pumps</v>
      </c>
      <c r="H1578" s="113" t="str">
        <f>IFERROR(INDEX(Product_Structure[Generic Name (long)3],MATCH(Товары[[#This Row],[SubGroup]],Product_Structure[Subgroup],0)),"")</f>
        <v>Шланги всасывающие</v>
      </c>
      <c r="I1578" s="36">
        <v>9116</v>
      </c>
      <c r="J1578" s="36" t="str">
        <f>IFERROR(INDEX(Product_Structure[Generic Name (long)],MATCH(Товары[[#This Row],[SubGroup]],Product_Structure[Subgroup],0)),"")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Row],[SubGroup]],DIY!$B:$C,2,FALSE),0)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3" t="str">
        <f>IFERROR(INDEX(Product_Structure[SuperCategory],MATCH(Товары[[#This Row],[SubGroup]],Product_Structure[Subgroup],0)),"")</f>
        <v>O</v>
      </c>
      <c r="D1579" s="113" t="str">
        <f>IFERROR(INDEX(Product_Structure[SuperCategory Name ENG],MATCH(Товары[[#This Row],[SubGroup]],Product_Structure[Subgroup],0)),"")</f>
        <v>Pumps (electric, battery) + spare parts</v>
      </c>
      <c r="E157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79" s="113" t="str">
        <f>IFERROR(INDEX(Product_Structure[Product group],MATCH(Товары[[#This Row],[SubGroup]],Product_Structure[Subgroup],0)),"")</f>
        <v>WPU_C</v>
      </c>
      <c r="G1579" s="113" t="str">
        <f>IFERROR(INDEX(Product_Structure[Product group name ENG],MATCH(Товары[[#This Row],[SubGroup]],Product_Structure[Subgroup],0)),"")</f>
        <v>Watering, Pumps</v>
      </c>
      <c r="H1579" s="113" t="str">
        <f>IFERROR(INDEX(Product_Structure[Generic Name (long)3],MATCH(Товары[[#This Row],[SubGroup]],Product_Structure[Subgroup],0)),"")</f>
        <v>Насосы погружные электрические</v>
      </c>
      <c r="I1579" s="36">
        <v>9114</v>
      </c>
      <c r="J1579" s="36" t="str">
        <f>IFERROR(INDEX(Product_Structure[Generic Name (long)],MATCH(Товары[[#This Row],[SubGroup]],Product_Structure[Subgroup],0)),"")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Row],[SubGroup]],DIY!$B:$C,2,FALSE),0)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3" t="str">
        <f>IFERROR(INDEX(Product_Structure[SuperCategory],MATCH(Товары[[#This Row],[SubGroup]],Product_Structure[Subgroup],0)),"")</f>
        <v>O</v>
      </c>
      <c r="D1580" s="113" t="str">
        <f>IFERROR(INDEX(Product_Structure[SuperCategory Name ENG],MATCH(Товары[[#This Row],[SubGroup]],Product_Structure[Subgroup],0)),"")</f>
        <v>Pumps (electric, battery) + spare parts</v>
      </c>
      <c r="E158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0" s="113" t="str">
        <f>IFERROR(INDEX(Product_Structure[Product group],MATCH(Товары[[#This Row],[SubGroup]],Product_Structure[Subgroup],0)),"")</f>
        <v>WPU_C</v>
      </c>
      <c r="G1580" s="113" t="str">
        <f>IFERROR(INDEX(Product_Structure[Product group name ENG],MATCH(Товары[[#This Row],[SubGroup]],Product_Structure[Subgroup],0)),"")</f>
        <v>Watering, Pumps</v>
      </c>
      <c r="H1580" s="113" t="str">
        <f>IFERROR(INDEX(Product_Structure[Generic Name (long)3],MATCH(Товары[[#This Row],[SubGroup]],Product_Structure[Subgroup],0)),"")</f>
        <v>Шланги всасывающие</v>
      </c>
      <c r="I1580" s="36">
        <v>9116</v>
      </c>
      <c r="J1580" s="36" t="str">
        <f>IFERROR(INDEX(Product_Structure[Generic Name (long)],MATCH(Товары[[#This Row],[SubGroup]],Product_Structure[Subgroup],0)),"")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Row],[SubGroup]],DIY!$B:$C,2,FALSE),0)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3" t="str">
        <f>IFERROR(INDEX(Product_Structure[SuperCategory],MATCH(Товары[[#This Row],[SubGroup]],Product_Structure[Subgroup],0)),"")</f>
        <v>O</v>
      </c>
      <c r="D1581" s="113" t="str">
        <f>IFERROR(INDEX(Product_Structure[SuperCategory Name ENG],MATCH(Товары[[#This Row],[SubGroup]],Product_Structure[Subgroup],0)),"")</f>
        <v>Pumps (electric, battery) + spare parts</v>
      </c>
      <c r="E158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1" s="113" t="str">
        <f>IFERROR(INDEX(Product_Structure[Product group],MATCH(Товары[[#This Row],[SubGroup]],Product_Structure[Subgroup],0)),"")</f>
        <v>WPU_C</v>
      </c>
      <c r="G1581" s="113" t="str">
        <f>IFERROR(INDEX(Product_Structure[Product group name ENG],MATCH(Товары[[#This Row],[SubGroup]],Product_Structure[Subgroup],0)),"")</f>
        <v>Watering, Pumps</v>
      </c>
      <c r="H1581" s="113" t="str">
        <f>IFERROR(INDEX(Product_Structure[Generic Name (long)3],MATCH(Товары[[#This Row],[SubGroup]],Product_Structure[Subgroup],0)),"")</f>
        <v>Насосы погружные электрические</v>
      </c>
      <c r="I1581" s="36">
        <v>9114</v>
      </c>
      <c r="J1581" s="36" t="str">
        <f>IFERROR(INDEX(Product_Structure[Generic Name (long)],MATCH(Товары[[#This Row],[SubGroup]],Product_Structure[Subgroup],0)),"")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Row],[SubGroup]],DIY!$B:$C,2,FALSE),0)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3" t="str">
        <f>IFERROR(INDEX(Product_Structure[SuperCategory],MATCH(Товары[[#This Row],[SubGroup]],Product_Structure[Subgroup],0)),"")</f>
        <v>O</v>
      </c>
      <c r="D1582" s="113" t="str">
        <f>IFERROR(INDEX(Product_Structure[SuperCategory Name ENG],MATCH(Товары[[#This Row],[SubGroup]],Product_Structure[Subgroup],0)),"")</f>
        <v>Pumps (electric, battery) + spare parts</v>
      </c>
      <c r="E158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2" s="113" t="str">
        <f>IFERROR(INDEX(Product_Structure[Product group],MATCH(Товары[[#This Row],[SubGroup]],Product_Structure[Subgroup],0)),"")</f>
        <v>WPU_C</v>
      </c>
      <c r="G1582" s="113" t="str">
        <f>IFERROR(INDEX(Product_Structure[Product group name ENG],MATCH(Товары[[#This Row],[SubGroup]],Product_Structure[Subgroup],0)),"")</f>
        <v>Watering, Pumps</v>
      </c>
      <c r="H1582" s="113" t="str">
        <f>IFERROR(INDEX(Product_Structure[Generic Name (long)3],MATCH(Товары[[#This Row],[SubGroup]],Product_Structure[Subgroup],0)),"")</f>
        <v>Насосы напорные автоматические</v>
      </c>
      <c r="I1582" s="36">
        <v>9112</v>
      </c>
      <c r="J1582" s="36" t="str">
        <f>IFERROR(INDEX(Product_Structure[Generic Name (long)],MATCH(Товары[[#This Row],[SubGroup]],Product_Structure[Subgroup],0)),"")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Row],[SubGroup]],DIY!$B:$C,2,FALSE),0)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3" t="str">
        <f>IFERROR(INDEX(Product_Structure[SuperCategory],MATCH(Товары[[#This Row],[SubGroup]],Product_Structure[Subgroup],0)),"")</f>
        <v>O</v>
      </c>
      <c r="D1583" s="113" t="str">
        <f>IFERROR(INDEX(Product_Structure[SuperCategory Name ENG],MATCH(Товары[[#This Row],[SubGroup]],Product_Structure[Subgroup],0)),"")</f>
        <v>Pumps (electric, battery) + spare parts</v>
      </c>
      <c r="E158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3" s="113" t="str">
        <f>IFERROR(INDEX(Product_Structure[Product group],MATCH(Товары[[#This Row],[SubGroup]],Product_Structure[Subgroup],0)),"")</f>
        <v>WPU_C</v>
      </c>
      <c r="G1583" s="113" t="str">
        <f>IFERROR(INDEX(Product_Structure[Product group name ENG],MATCH(Товары[[#This Row],[SubGroup]],Product_Structure[Subgroup],0)),"")</f>
        <v>Watering, Pumps</v>
      </c>
      <c r="H1583" s="113" t="str">
        <f>IFERROR(INDEX(Product_Structure[Generic Name (long)3],MATCH(Товары[[#This Row],[SubGroup]],Product_Structure[Subgroup],0)),"")</f>
        <v>Насосы дренажные электрические</v>
      </c>
      <c r="I1583" s="36">
        <v>9115</v>
      </c>
      <c r="J1583" s="36" t="str">
        <f>IFERROR(INDEX(Product_Structure[Generic Name (long)],MATCH(Товары[[#This Row],[SubGroup]],Product_Structure[Subgroup],0)),"")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Row],[SubGroup]],DIY!$B:$C,2,FALSE),0)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3" t="str">
        <f>IFERROR(INDEX(Product_Structure[SuperCategory],MATCH(Товары[[#This Row],[SubGroup]],Product_Structure[Subgroup],0)),"")</f>
        <v>O</v>
      </c>
      <c r="D1584" s="113" t="str">
        <f>IFERROR(INDEX(Product_Structure[SuperCategory Name ENG],MATCH(Товары[[#This Row],[SubGroup]],Product_Structure[Subgroup],0)),"")</f>
        <v>Pumps (electric, battery) + spare parts</v>
      </c>
      <c r="E158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4" s="113" t="str">
        <f>IFERROR(INDEX(Product_Structure[Product group],MATCH(Товары[[#This Row],[SubGroup]],Product_Structure[Subgroup],0)),"")</f>
        <v>WPU_C</v>
      </c>
      <c r="G1584" s="113" t="str">
        <f>IFERROR(INDEX(Product_Structure[Product group name ENG],MATCH(Товары[[#This Row],[SubGroup]],Product_Structure[Subgroup],0)),"")</f>
        <v>Watering, Pumps</v>
      </c>
      <c r="H1584" s="113" t="str">
        <f>IFERROR(INDEX(Product_Structure[Generic Name (long)3],MATCH(Товары[[#This Row],[SubGroup]],Product_Structure[Subgroup],0)),"")</f>
        <v>Насосы дренажные электрические</v>
      </c>
      <c r="I1584" s="36">
        <v>9115</v>
      </c>
      <c r="J1584" s="36" t="str">
        <f>IFERROR(INDEX(Product_Structure[Generic Name (long)],MATCH(Товары[[#This Row],[SubGroup]],Product_Structure[Subgroup],0)),"")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Row],[SubGroup]],DIY!$B:$C,2,FALSE),0)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3" t="str">
        <f>IFERROR(INDEX(Product_Structure[SuperCategory],MATCH(Товары[[#This Row],[SubGroup]],Product_Structure[Subgroup],0)),"")</f>
        <v>O</v>
      </c>
      <c r="D1585" s="113" t="str">
        <f>IFERROR(INDEX(Product_Structure[SuperCategory Name ENG],MATCH(Товары[[#This Row],[SubGroup]],Product_Structure[Subgroup],0)),"")</f>
        <v>Pumps (electric, battery) + spare parts</v>
      </c>
      <c r="E158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5" s="113" t="str">
        <f>IFERROR(INDEX(Product_Structure[Product group],MATCH(Товары[[#This Row],[SubGroup]],Product_Structure[Subgroup],0)),"")</f>
        <v>WPU_C</v>
      </c>
      <c r="G1585" s="113" t="str">
        <f>IFERROR(INDEX(Product_Structure[Product group name ENG],MATCH(Товары[[#This Row],[SubGroup]],Product_Structure[Subgroup],0)),"")</f>
        <v>Watering, Pumps</v>
      </c>
      <c r="H1585" s="113" t="str">
        <f>IFERROR(INDEX(Product_Structure[Generic Name (long)3],MATCH(Товары[[#This Row],[SubGroup]],Product_Structure[Subgroup],0)),"")</f>
        <v>Насосы погружные электрические</v>
      </c>
      <c r="I1585" s="36">
        <v>9114</v>
      </c>
      <c r="J1585" s="36" t="str">
        <f>IFERROR(INDEX(Product_Structure[Generic Name (long)],MATCH(Товары[[#This Row],[SubGroup]],Product_Structure[Subgroup],0)),"")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Row],[SubGroup]],DIY!$B:$C,2,FALSE),0)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3" t="str">
        <f>IFERROR(INDEX(Product_Structure[SuperCategory],MATCH(Товары[[#This Row],[SubGroup]],Product_Structure[Subgroup],0)),"")</f>
        <v>O</v>
      </c>
      <c r="D1586" s="113" t="str">
        <f>IFERROR(INDEX(Product_Structure[SuperCategory Name ENG],MATCH(Товары[[#This Row],[SubGroup]],Product_Structure[Subgroup],0)),"")</f>
        <v>Pumps (electric, battery) + spare parts</v>
      </c>
      <c r="E158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6" s="113" t="str">
        <f>IFERROR(INDEX(Product_Structure[Product group],MATCH(Товары[[#This Row],[SubGroup]],Product_Structure[Subgroup],0)),"")</f>
        <v>WPU_C</v>
      </c>
      <c r="G1586" s="113" t="str">
        <f>IFERROR(INDEX(Product_Structure[Product group name ENG],MATCH(Товары[[#This Row],[SubGroup]],Product_Structure[Subgroup],0)),"")</f>
        <v>Watering, Pumps</v>
      </c>
      <c r="H1586" s="113" t="str">
        <f>IFERROR(INDEX(Product_Structure[Generic Name (long)3],MATCH(Товары[[#This Row],[SubGroup]],Product_Structure[Subgroup],0)),"")</f>
        <v>Насосы садовые электрические</v>
      </c>
      <c r="I1586" s="36">
        <v>9111</v>
      </c>
      <c r="J1586" s="36" t="str">
        <f>IFERROR(INDEX(Product_Structure[Generic Name (long)],MATCH(Товары[[#This Row],[SubGroup]],Product_Structure[Subgroup],0)),"")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Row],[SubGroup]],DIY!$B:$C,2,FALSE),0)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3" t="str">
        <f>IFERROR(INDEX(Product_Structure[SuperCategory],MATCH(Товары[[#This Row],[SubGroup]],Product_Structure[Subgroup],0)),"")</f>
        <v>O</v>
      </c>
      <c r="D1587" s="113" t="str">
        <f>IFERROR(INDEX(Product_Structure[SuperCategory Name ENG],MATCH(Товары[[#This Row],[SubGroup]],Product_Structure[Subgroup],0)),"")</f>
        <v>Pumps (electric, battery) + spare parts</v>
      </c>
      <c r="E158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7" s="113" t="str">
        <f>IFERROR(INDEX(Product_Structure[Product group],MATCH(Товары[[#This Row],[SubGroup]],Product_Structure[Subgroup],0)),"")</f>
        <v>WPU_C</v>
      </c>
      <c r="G1587" s="113" t="str">
        <f>IFERROR(INDEX(Product_Structure[Product group name ENG],MATCH(Товары[[#This Row],[SubGroup]],Product_Structure[Subgroup],0)),"")</f>
        <v>Watering, Pumps</v>
      </c>
      <c r="H1587" s="113" t="str">
        <f>IFERROR(INDEX(Product_Structure[Generic Name (long)3],MATCH(Товары[[#This Row],[SubGroup]],Product_Structure[Subgroup],0)),"")</f>
        <v>Насосы садовые электрические</v>
      </c>
      <c r="I1587" s="36">
        <v>9111</v>
      </c>
      <c r="J1587" s="36" t="str">
        <f>IFERROR(INDEX(Product_Structure[Generic Name (long)],MATCH(Товары[[#This Row],[SubGroup]],Product_Structure[Subgroup],0)),"")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Row],[SubGroup]],DIY!$B:$C,2,FALSE),0)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3" t="str">
        <f>IFERROR(INDEX(Product_Structure[SuperCategory],MATCH(Товары[[#This Row],[SubGroup]],Product_Structure[Subgroup],0)),"")</f>
        <v>O</v>
      </c>
      <c r="D1588" s="113" t="str">
        <f>IFERROR(INDEX(Product_Structure[SuperCategory Name ENG],MATCH(Товары[[#This Row],[SubGroup]],Product_Structure[Subgroup],0)),"")</f>
        <v>Pumps (electric, battery) + spare parts</v>
      </c>
      <c r="E1588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8" s="113" t="str">
        <f>IFERROR(INDEX(Product_Structure[Product group],MATCH(Товары[[#This Row],[SubGroup]],Product_Structure[Subgroup],0)),"")</f>
        <v>WPU_C</v>
      </c>
      <c r="G1588" s="113" t="str">
        <f>IFERROR(INDEX(Product_Structure[Product group name ENG],MATCH(Товары[[#This Row],[SubGroup]],Product_Structure[Subgroup],0)),"")</f>
        <v>Watering, Pumps</v>
      </c>
      <c r="H1588" s="113" t="str">
        <f>IFERROR(INDEX(Product_Structure[Generic Name (long)3],MATCH(Товары[[#This Row],[SubGroup]],Product_Structure[Subgroup],0)),"")</f>
        <v>Насосы погружные электрические</v>
      </c>
      <c r="I1588" s="36">
        <v>9114</v>
      </c>
      <c r="J1588" s="36" t="str">
        <f>IFERROR(INDEX(Product_Structure[Generic Name (long)],MATCH(Товары[[#This Row],[SubGroup]],Product_Structure[Subgroup],0)),"")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Row],[SubGroup]],DIY!$B:$C,2,FALSE),0)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3" t="str">
        <f>IFERROR(INDEX(Product_Structure[SuperCategory],MATCH(Товары[[#This Row],[SubGroup]],Product_Structure[Subgroup],0)),"")</f>
        <v>O</v>
      </c>
      <c r="D1589" s="113" t="str">
        <f>IFERROR(INDEX(Product_Structure[SuperCategory Name ENG],MATCH(Товары[[#This Row],[SubGroup]],Product_Structure[Subgroup],0)),"")</f>
        <v>Pumps (electric, battery) + spare parts</v>
      </c>
      <c r="E1589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89" s="113" t="str">
        <f>IFERROR(INDEX(Product_Structure[Product group],MATCH(Товары[[#This Row],[SubGroup]],Product_Structure[Subgroup],0)),"")</f>
        <v>WPU_C</v>
      </c>
      <c r="G1589" s="113" t="str">
        <f>IFERROR(INDEX(Product_Structure[Product group name ENG],MATCH(Товары[[#This Row],[SubGroup]],Product_Structure[Subgroup],0)),"")</f>
        <v>Watering, Pumps</v>
      </c>
      <c r="H1589" s="113" t="str">
        <f>IFERROR(INDEX(Product_Structure[Generic Name (long)3],MATCH(Товары[[#This Row],[SubGroup]],Product_Structure[Subgroup],0)),"")</f>
        <v>Насосы напорные автоматические</v>
      </c>
      <c r="I1589" s="36">
        <v>9112</v>
      </c>
      <c r="J1589" s="36" t="str">
        <f>IFERROR(INDEX(Product_Structure[Generic Name (long)],MATCH(Товары[[#This Row],[SubGroup]],Product_Structure[Subgroup],0)),"")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Row],[SubGroup]],DIY!$B:$C,2,FALSE),0)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3" t="str">
        <f>IFERROR(INDEX(Product_Structure[SuperCategory],MATCH(Товары[[#This Row],[SubGroup]],Product_Structure[Subgroup],0)),"")</f>
        <v>O</v>
      </c>
      <c r="D1590" s="113" t="str">
        <f>IFERROR(INDEX(Product_Structure[SuperCategory Name ENG],MATCH(Товары[[#This Row],[SubGroup]],Product_Structure[Subgroup],0)),"")</f>
        <v>Pumps (electric, battery) + spare parts</v>
      </c>
      <c r="E1590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0" s="113" t="str">
        <f>IFERROR(INDEX(Product_Structure[Product group],MATCH(Товары[[#This Row],[SubGroup]],Product_Structure[Subgroup],0)),"")</f>
        <v>WPU_C</v>
      </c>
      <c r="G1590" s="113" t="str">
        <f>IFERROR(INDEX(Product_Structure[Product group name ENG],MATCH(Товары[[#This Row],[SubGroup]],Product_Structure[Subgroup],0)),"")</f>
        <v>Watering, Pumps</v>
      </c>
      <c r="H1590" s="113" t="str">
        <f>IFERROR(INDEX(Product_Structure[Generic Name (long)3],MATCH(Товары[[#This Row],[SubGroup]],Product_Structure[Subgroup],0)),"")</f>
        <v>Насосы напорные автоматические</v>
      </c>
      <c r="I1590" s="36">
        <v>9112</v>
      </c>
      <c r="J1590" s="36" t="str">
        <f>IFERROR(INDEX(Product_Structure[Generic Name (long)],MATCH(Товары[[#This Row],[SubGroup]],Product_Structure[Subgroup],0)),"")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Row],[SubGroup]],DIY!$B:$C,2,FALSE),0)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3" t="str">
        <f>IFERROR(INDEX(Product_Structure[SuperCategory],MATCH(Товары[[#This Row],[SubGroup]],Product_Structure[Subgroup],0)),"")</f>
        <v>O</v>
      </c>
      <c r="D1591" s="113" t="str">
        <f>IFERROR(INDEX(Product_Structure[SuperCategory Name ENG],MATCH(Товары[[#This Row],[SubGroup]],Product_Structure[Subgroup],0)),"")</f>
        <v>Pumps (electric, battery) + spare parts</v>
      </c>
      <c r="E1591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1" s="113" t="str">
        <f>IFERROR(INDEX(Product_Structure[Product group],MATCH(Товары[[#This Row],[SubGroup]],Product_Structure[Subgroup],0)),"")</f>
        <v>WPU_C</v>
      </c>
      <c r="G1591" s="113" t="str">
        <f>IFERROR(INDEX(Product_Structure[Product group name ENG],MATCH(Товары[[#This Row],[SubGroup]],Product_Structure[Subgroup],0)),"")</f>
        <v>Watering, Pumps</v>
      </c>
      <c r="H1591" s="113" t="str">
        <f>IFERROR(INDEX(Product_Structure[Generic Name (long)3],MATCH(Товары[[#This Row],[SubGroup]],Product_Structure[Subgroup],0)),"")</f>
        <v>Насосы напорные автоматические</v>
      </c>
      <c r="I1591" s="36">
        <v>9112</v>
      </c>
      <c r="J1591" s="36" t="str">
        <f>IFERROR(INDEX(Product_Structure[Generic Name (long)],MATCH(Товары[[#This Row],[SubGroup]],Product_Structure[Subgroup],0)),"")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Row],[SubGroup]],DIY!$B:$C,2,FALSE),0)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3" t="str">
        <f>IFERROR(INDEX(Product_Structure[SuperCategory],MATCH(Товары[[#This Row],[SubGroup]],Product_Structure[Subgroup],0)),"")</f>
        <v>O</v>
      </c>
      <c r="D1592" s="113" t="str">
        <f>IFERROR(INDEX(Product_Structure[SuperCategory Name ENG],MATCH(Товары[[#This Row],[SubGroup]],Product_Structure[Subgroup],0)),"")</f>
        <v>Pumps (electric, battery) + spare parts</v>
      </c>
      <c r="E1592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2" s="113" t="str">
        <f>IFERROR(INDEX(Product_Structure[Product group],MATCH(Товары[[#This Row],[SubGroup]],Product_Structure[Subgroup],0)),"")</f>
        <v>WPU_C</v>
      </c>
      <c r="G1592" s="113" t="str">
        <f>IFERROR(INDEX(Product_Structure[Product group name ENG],MATCH(Товары[[#This Row],[SubGroup]],Product_Structure[Subgroup],0)),"")</f>
        <v>Watering, Pumps</v>
      </c>
      <c r="H1592" s="113" t="str">
        <f>IFERROR(INDEX(Product_Structure[Generic Name (long)3],MATCH(Товары[[#This Row],[SubGroup]],Product_Structure[Subgroup],0)),"")</f>
        <v>Насосы дренажные электрические</v>
      </c>
      <c r="I1592" s="36">
        <v>9115</v>
      </c>
      <c r="J1592" s="36" t="str">
        <f>IFERROR(INDEX(Product_Structure[Generic Name (long)],MATCH(Товары[[#This Row],[SubGroup]],Product_Structure[Subgroup],0)),"")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Row],[SubGroup]],DIY!$B:$C,2,FALSE),0)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3" t="str">
        <f>IFERROR(INDEX(Product_Structure[SuperCategory],MATCH(Товары[[#This Row],[SubGroup]],Product_Structure[Subgroup],0)),"")</f>
        <v>O</v>
      </c>
      <c r="D1593" s="113" t="str">
        <f>IFERROR(INDEX(Product_Structure[SuperCategory Name ENG],MATCH(Товары[[#This Row],[SubGroup]],Product_Structure[Subgroup],0)),"")</f>
        <v>Pumps (electric, battery) + spare parts</v>
      </c>
      <c r="E1593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3" s="113" t="str">
        <f>IFERROR(INDEX(Product_Structure[Product group],MATCH(Товары[[#This Row],[SubGroup]],Product_Structure[Subgroup],0)),"")</f>
        <v>WPU_C</v>
      </c>
      <c r="G1593" s="113" t="str">
        <f>IFERROR(INDEX(Product_Structure[Product group name ENG],MATCH(Товары[[#This Row],[SubGroup]],Product_Structure[Subgroup],0)),"")</f>
        <v>Watering, Pumps</v>
      </c>
      <c r="H1593" s="113" t="str">
        <f>IFERROR(INDEX(Product_Structure[Generic Name (long)3],MATCH(Товары[[#This Row],[SubGroup]],Product_Structure[Subgroup],0)),"")</f>
        <v>Насосы дренажные электрические</v>
      </c>
      <c r="I1593" s="36">
        <v>9115</v>
      </c>
      <c r="J1593" s="36" t="str">
        <f>IFERROR(INDEX(Product_Structure[Generic Name (long)],MATCH(Товары[[#This Row],[SubGroup]],Product_Structure[Subgroup],0)),"")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Row],[SubGroup]],DIY!$B:$C,2,FALSE),0)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3" t="str">
        <f>IFERROR(INDEX(Product_Structure[SuperCategory],MATCH(Товары[[#This Row],[SubGroup]],Product_Structure[Subgroup],0)),"")</f>
        <v>O</v>
      </c>
      <c r="D1594" s="113" t="str">
        <f>IFERROR(INDEX(Product_Structure[SuperCategory Name ENG],MATCH(Товары[[#This Row],[SubGroup]],Product_Structure[Subgroup],0)),"")</f>
        <v>Pumps (electric, battery) + spare parts</v>
      </c>
      <c r="E1594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4" s="113" t="str">
        <f>IFERROR(INDEX(Product_Structure[Product group],MATCH(Товары[[#This Row],[SubGroup]],Product_Structure[Subgroup],0)),"")</f>
        <v>WPU_C</v>
      </c>
      <c r="G1594" s="113" t="str">
        <f>IFERROR(INDEX(Product_Structure[Product group name ENG],MATCH(Товары[[#This Row],[SubGroup]],Product_Structure[Subgroup],0)),"")</f>
        <v>Watering, Pumps</v>
      </c>
      <c r="H1594" s="113" t="str">
        <f>IFERROR(INDEX(Product_Structure[Generic Name (long)3],MATCH(Товары[[#This Row],[SubGroup]],Product_Structure[Subgroup],0)),"")</f>
        <v>Насосы дренажные электрические</v>
      </c>
      <c r="I1594" s="36">
        <v>9115</v>
      </c>
      <c r="J1594" s="36" t="str">
        <f>IFERROR(INDEX(Product_Structure[Generic Name (long)],MATCH(Товары[[#This Row],[SubGroup]],Product_Structure[Subgroup],0)),"")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Row],[SubGroup]],DIY!$B:$C,2,FALSE),0)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3" t="str">
        <f>IFERROR(INDEX(Product_Structure[SuperCategory],MATCH(Товары[[#This Row],[SubGroup]],Product_Structure[Subgroup],0)),"")</f>
        <v>O</v>
      </c>
      <c r="D1595" s="113" t="str">
        <f>IFERROR(INDEX(Product_Structure[SuperCategory Name ENG],MATCH(Товары[[#This Row],[SubGroup]],Product_Structure[Subgroup],0)),"")</f>
        <v>Pumps (electric, battery) + spare parts</v>
      </c>
      <c r="E1595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5" s="113" t="str">
        <f>IFERROR(INDEX(Product_Structure[Product group],MATCH(Товары[[#This Row],[SubGroup]],Product_Structure[Subgroup],0)),"")</f>
        <v>WPU_C</v>
      </c>
      <c r="G1595" s="113" t="str">
        <f>IFERROR(INDEX(Product_Structure[Product group name ENG],MATCH(Товары[[#This Row],[SubGroup]],Product_Structure[Subgroup],0)),"")</f>
        <v>Watering, Pumps</v>
      </c>
      <c r="H1595" s="113" t="str">
        <f>IFERROR(INDEX(Product_Structure[Generic Name (long)3],MATCH(Товары[[#This Row],[SubGroup]],Product_Structure[Subgroup],0)),"")</f>
        <v>Насосы дренажные электрические</v>
      </c>
      <c r="I1595" s="36">
        <v>9115</v>
      </c>
      <c r="J1595" s="36" t="str">
        <f>IFERROR(INDEX(Product_Structure[Generic Name (long)],MATCH(Товары[[#This Row],[SubGroup]],Product_Structure[Subgroup],0)),"")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Row],[SubGroup]],DIY!$B:$C,2,FALSE),0)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3" t="str">
        <f>IFERROR(INDEX(Product_Structure[SuperCategory],MATCH(Товары[[#This Row],[SubGroup]],Product_Structure[Subgroup],0)),"")</f>
        <v>O</v>
      </c>
      <c r="D1596" s="113" t="str">
        <f>IFERROR(INDEX(Product_Structure[SuperCategory Name ENG],MATCH(Товары[[#This Row],[SubGroup]],Product_Structure[Subgroup],0)),"")</f>
        <v>Pumps (electric, battery) + spare parts</v>
      </c>
      <c r="E1596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6" s="113" t="str">
        <f>IFERROR(INDEX(Product_Structure[Product group],MATCH(Товары[[#This Row],[SubGroup]],Product_Structure[Subgroup],0)),"")</f>
        <v>WPU_P</v>
      </c>
      <c r="G1596" s="113" t="str">
        <f>IFERROR(INDEX(Product_Structure[Product group name ENG],MATCH(Товары[[#This Row],[SubGroup]],Product_Structure[Subgroup],0)),"")</f>
        <v>Watering, Battery, Pumps</v>
      </c>
      <c r="H1596" s="113" t="str">
        <f>IFERROR(INDEX(Product_Structure[Generic Name (long)3],MATCH(Товары[[#This Row],[SubGroup]],Product_Structure[Subgroup],0)),"")</f>
        <v>Насосы аккумуляторные</v>
      </c>
      <c r="I1596" s="36">
        <v>8346</v>
      </c>
      <c r="J1596" s="36" t="str">
        <f>IFERROR(INDEX(Product_Structure[Generic Name (long)],MATCH(Товары[[#This Row],[SubGroup]],Product_Structure[Subgroup],0)),"")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Row],[SubGroup]],DIY!$B:$C,2,FALSE),0)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3" t="str">
        <f>IFERROR(INDEX(Product_Structure[SuperCategory],MATCH(Товары[[#This Row],[SubGroup]],Product_Structure[Subgroup],0)),"")</f>
        <v>O</v>
      </c>
      <c r="D1597" s="113" t="str">
        <f>IFERROR(INDEX(Product_Structure[SuperCategory Name ENG],MATCH(Товары[[#This Row],[SubGroup]],Product_Structure[Subgroup],0)),"")</f>
        <v>Pumps (electric, battery) + spare parts</v>
      </c>
      <c r="E1597" s="113" t="str">
        <f>IFERROR(INDEX(Product_Structure[SuperCategory Name RUS],MATCH(Товары[[#This Row],[SubGroup]],Product_Structure[Subgroup],0)),"")</f>
        <v>Насосы (электрические, аккумуляторные) + зап.части</v>
      </c>
      <c r="F1597" s="113" t="str">
        <f>IFERROR(INDEX(Product_Structure[Product group],MATCH(Товары[[#This Row],[SubGroup]],Product_Structure[Subgroup],0)),"")</f>
        <v>WPU_P</v>
      </c>
      <c r="G1597" s="113" t="str">
        <f>IFERROR(INDEX(Product_Structure[Product group name ENG],MATCH(Товары[[#This Row],[SubGroup]],Product_Structure[Subgroup],0)),"")</f>
        <v>Watering, Battery, Pumps</v>
      </c>
      <c r="H1597" s="113" t="str">
        <f>IFERROR(INDEX(Product_Structure[Generic Name (long)3],MATCH(Товары[[#This Row],[SubGroup]],Product_Structure[Subgroup],0)),"")</f>
        <v>Насосы аккумуляторные</v>
      </c>
      <c r="I1597" s="36">
        <v>8346</v>
      </c>
      <c r="J1597" s="36" t="str">
        <f>IFERROR(INDEX(Product_Structure[Generic Name (long)],MATCH(Товары[[#This Row],[SubGroup]],Product_Structure[Subgroup],0)),"")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Row],[SubGroup]],DIY!$B:$C,2,FALSE),0)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3" t="str">
        <f>IFERROR(INDEX(Product_Structure[SuperCategory],MATCH(Товары[[#This Row],[SubGroup]],Product_Structure[Subgroup],0)),"")</f>
        <v>W</v>
      </c>
      <c r="D1598" s="113" t="str">
        <f>IFERROR(INDEX(Product_Structure[SuperCategory Name ENG],MATCH(Товары[[#This Row],[SubGroup]],Product_Structure[Subgroup],0)),"")</f>
        <v>Watering (mobile, sprinkler system&amp;MDS, Ponds)</v>
      </c>
      <c r="E15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598" s="113" t="str">
        <f>IFERROR(INDEX(Product_Structure[Product group],MATCH(Товары[[#This Row],[SubGroup]],Product_Structure[Subgroup],0)),"")</f>
        <v>WSS_C</v>
      </c>
      <c r="G1598" s="113" t="str">
        <f>IFERROR(INDEX(Product_Structure[Product group name ENG],MATCH(Товары[[#This Row],[SubGroup]],Product_Structure[Subgroup],0)),"")</f>
        <v>Watering Systems Sprinklersystem, MDS, SP</v>
      </c>
      <c r="H1598" s="113" t="str">
        <f>IFERROR(INDEX(Product_Structure[Generic Name (long)3],MATCH(Товары[[#This Row],[SubGroup]],Product_Structure[Subgroup],0)),"")</f>
        <v>Система микрокапельного полива</v>
      </c>
      <c r="I1598" s="36">
        <v>9033</v>
      </c>
      <c r="J1598" s="36" t="str">
        <f>IFERROR(INDEX(Product_Structure[Generic Name (long)],MATCH(Товары[[#This Row],[SubGroup]],Product_Structure[Subgroup],0)),"")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Row],[SubGroup]],DIY!$B:$C,2,FALSE),0)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3" t="str">
        <f>IFERROR(INDEX(Product_Structure[SuperCategory],MATCH(Товары[[#This Row],[SubGroup]],Product_Structure[Subgroup],0)),"")</f>
        <v>W</v>
      </c>
      <c r="D1599" s="113" t="str">
        <f>IFERROR(INDEX(Product_Structure[SuperCategory Name ENG],MATCH(Товары[[#This Row],[SubGroup]],Product_Structure[Subgroup],0)),"")</f>
        <v>Watering (mobile, sprinkler system&amp;MDS, Ponds)</v>
      </c>
      <c r="E15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599" s="113" t="str">
        <f>IFERROR(INDEX(Product_Structure[Product group],MATCH(Товары[[#This Row],[SubGroup]],Product_Structure[Subgroup],0)),"")</f>
        <v>WSC_C</v>
      </c>
      <c r="G1599" s="113" t="str">
        <f>IFERROR(INDEX(Product_Structure[Product group name ENG],MATCH(Товары[[#This Row],[SubGroup]],Product_Structure[Subgroup],0)),"")</f>
        <v>Watering Systems Controls</v>
      </c>
      <c r="H1599" s="113" t="str">
        <f>IFERROR(INDEX(Product_Structure[Generic Name (long)3],MATCH(Товары[[#This Row],[SubGroup]],Product_Structure[Subgroup],0)),"")</f>
        <v>Таймеры подачи воды</v>
      </c>
      <c r="I1599" s="36">
        <v>9031</v>
      </c>
      <c r="J1599" s="36" t="str">
        <f>IFERROR(INDEX(Product_Structure[Generic Name (long)],MATCH(Товары[[#This Row],[SubGroup]],Product_Structure[Subgroup],0)),"")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Row],[SubGroup]],DIY!$B:$C,2,FALSE),0)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3" t="str">
        <f>IFERROR(INDEX(Product_Structure[SuperCategory],MATCH(Товары[[#This Row],[SubGroup]],Product_Structure[Subgroup],0)),"")</f>
        <v>W</v>
      </c>
      <c r="D1600" s="113" t="str">
        <f>IFERROR(INDEX(Product_Structure[SuperCategory Name ENG],MATCH(Товары[[#This Row],[SubGroup]],Product_Structure[Subgroup],0)),"")</f>
        <v>Watering (mobile, sprinkler system&amp;MDS, Ponds)</v>
      </c>
      <c r="E16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0" s="113" t="str">
        <f>IFERROR(INDEX(Product_Structure[Product group],MATCH(Товары[[#This Row],[SubGroup]],Product_Structure[Subgroup],0)),"")</f>
        <v>WSC_C</v>
      </c>
      <c r="G1600" s="113" t="str">
        <f>IFERROR(INDEX(Product_Structure[Product group name ENG],MATCH(Товары[[#This Row],[SubGroup]],Product_Structure[Subgroup],0)),"")</f>
        <v>Watering Systems Controls</v>
      </c>
      <c r="H1600" s="113" t="str">
        <f>IFERROR(INDEX(Product_Structure[Generic Name (long)3],MATCH(Товары[[#This Row],[SubGroup]],Product_Structure[Subgroup],0)),"")</f>
        <v>Таймеры подачи воды</v>
      </c>
      <c r="I1600" s="36">
        <v>9031</v>
      </c>
      <c r="J1600" s="36" t="str">
        <f>IFERROR(INDEX(Product_Structure[Generic Name (long)],MATCH(Товары[[#This Row],[SubGroup]],Product_Structure[Subgroup],0)),"")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Row],[SubGroup]],DIY!$B:$C,2,FALSE),0)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3" t="str">
        <f>IFERROR(INDEX(Product_Structure[SuperCategory],MATCH(Товары[[#This Row],[SubGroup]],Product_Structure[Subgroup],0)),"")</f>
        <v>W</v>
      </c>
      <c r="D1601" s="113" t="str">
        <f>IFERROR(INDEX(Product_Structure[SuperCategory Name ENG],MATCH(Товары[[#This Row],[SubGroup]],Product_Structure[Subgroup],0)),"")</f>
        <v>Watering (mobile, sprinkler system&amp;MDS, Ponds)</v>
      </c>
      <c r="E16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1" s="113" t="str">
        <f>IFERROR(INDEX(Product_Structure[Product group],MATCH(Товары[[#This Row],[SubGroup]],Product_Structure[Subgroup],0)),"")</f>
        <v>WSC_C</v>
      </c>
      <c r="G1601" s="113" t="str">
        <f>IFERROR(INDEX(Product_Structure[Product group name ENG],MATCH(Товары[[#This Row],[SubGroup]],Product_Structure[Subgroup],0)),"")</f>
        <v>Watering Systems Controls</v>
      </c>
      <c r="H1601" s="113" t="str">
        <f>IFERROR(INDEX(Product_Structure[Generic Name (long)3],MATCH(Товары[[#This Row],[SubGroup]],Product_Structure[Subgroup],0)),"")</f>
        <v>Таймеры подачи воды</v>
      </c>
      <c r="I1601" s="36">
        <v>9031</v>
      </c>
      <c r="J1601" s="36" t="str">
        <f>IFERROR(INDEX(Product_Structure[Generic Name (long)],MATCH(Товары[[#This Row],[SubGroup]],Product_Structure[Subgroup],0)),"")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Row],[SubGroup]],DIY!$B:$C,2,FALSE),0)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3" t="str">
        <f>IFERROR(INDEX(Product_Structure[SuperCategory],MATCH(Товары[[#This Row],[SubGroup]],Product_Structure[Subgroup],0)),"")</f>
        <v>W</v>
      </c>
      <c r="D1602" s="113" t="str">
        <f>IFERROR(INDEX(Product_Structure[SuperCategory Name ENG],MATCH(Товары[[#This Row],[SubGroup]],Product_Structure[Subgroup],0)),"")</f>
        <v>Watering (mobile, sprinkler system&amp;MDS, Ponds)</v>
      </c>
      <c r="E16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2" s="113" t="str">
        <f>IFERROR(INDEX(Product_Structure[Product group],MATCH(Товары[[#This Row],[SubGroup]],Product_Structure[Subgroup],0)),"")</f>
        <v>WSC_C</v>
      </c>
      <c r="G1602" s="113" t="str">
        <f>IFERROR(INDEX(Product_Structure[Product group name ENG],MATCH(Товары[[#This Row],[SubGroup]],Product_Structure[Subgroup],0)),"")</f>
        <v>Watering Systems Controls</v>
      </c>
      <c r="H1602" s="113" t="str">
        <f>IFERROR(INDEX(Product_Structure[Generic Name (long)3],MATCH(Товары[[#This Row],[SubGroup]],Product_Structure[Subgroup],0)),"")</f>
        <v>Таймеры подачи воды</v>
      </c>
      <c r="I1602" s="36">
        <v>9031</v>
      </c>
      <c r="J1602" s="36" t="str">
        <f>IFERROR(INDEX(Product_Structure[Generic Name (long)],MATCH(Товары[[#This Row],[SubGroup]],Product_Structure[Subgroup],0)),"")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Row],[SubGroup]],DIY!$B:$C,2,FALSE),0)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3" t="str">
        <f>IFERROR(INDEX(Product_Structure[SuperCategory],MATCH(Товары[[#This Row],[SubGroup]],Product_Structure[Subgroup],0)),"")</f>
        <v>W</v>
      </c>
      <c r="D1603" s="113" t="str">
        <f>IFERROR(INDEX(Product_Structure[SuperCategory Name ENG],MATCH(Товары[[#This Row],[SubGroup]],Product_Structure[Subgroup],0)),"")</f>
        <v>Watering (mobile, sprinkler system&amp;MDS, Ponds)</v>
      </c>
      <c r="E16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3" s="113" t="str">
        <f>IFERROR(INDEX(Product_Structure[Product group],MATCH(Товары[[#This Row],[SubGroup]],Product_Structure[Subgroup],0)),"")</f>
        <v>WSC_C</v>
      </c>
      <c r="G1603" s="113" t="str">
        <f>IFERROR(INDEX(Product_Structure[Product group name ENG],MATCH(Товары[[#This Row],[SubGroup]],Product_Structure[Subgroup],0)),"")</f>
        <v>Watering Systems Controls</v>
      </c>
      <c r="H1603" s="113" t="str">
        <f>IFERROR(INDEX(Product_Structure[Generic Name (long)3],MATCH(Товары[[#This Row],[SubGroup]],Product_Structure[Subgroup],0)),"")</f>
        <v>Таймеры подачи воды</v>
      </c>
      <c r="I1603" s="36">
        <v>9031</v>
      </c>
      <c r="J1603" s="36" t="str">
        <f>IFERROR(INDEX(Product_Structure[Generic Name (long)],MATCH(Товары[[#This Row],[SubGroup]],Product_Structure[Subgroup],0)),"")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Row],[SubGroup]],DIY!$B:$C,2,FALSE),0)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3" t="str">
        <f>IFERROR(INDEX(Product_Structure[SuperCategory],MATCH(Товары[[#This Row],[SubGroup]],Product_Structure[Subgroup],0)),"")</f>
        <v>W</v>
      </c>
      <c r="D1604" s="113" t="str">
        <f>IFERROR(INDEX(Product_Structure[SuperCategory Name ENG],MATCH(Товары[[#This Row],[SubGroup]],Product_Structure[Subgroup],0)),"")</f>
        <v>Watering (mobile, sprinkler system&amp;MDS, Ponds)</v>
      </c>
      <c r="E16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4" s="113" t="str">
        <f>IFERROR(INDEX(Product_Structure[Product group],MATCH(Товары[[#This Row],[SubGroup]],Product_Structure[Subgroup],0)),"")</f>
        <v>WSC_C</v>
      </c>
      <c r="G1604" s="113" t="str">
        <f>IFERROR(INDEX(Product_Structure[Product group name ENG],MATCH(Товары[[#This Row],[SubGroup]],Product_Structure[Subgroup],0)),"")</f>
        <v>Watering Systems Controls</v>
      </c>
      <c r="H1604" s="113" t="str">
        <f>IFERROR(INDEX(Product_Structure[Generic Name (long)3],MATCH(Товары[[#This Row],[SubGroup]],Product_Structure[Subgroup],0)),"")</f>
        <v>Таймеры подачи воды</v>
      </c>
      <c r="I1604" s="36">
        <v>9031</v>
      </c>
      <c r="J1604" s="36" t="str">
        <f>IFERROR(INDEX(Product_Structure[Generic Name (long)],MATCH(Товары[[#This Row],[SubGroup]],Product_Structure[Subgroup],0)),"")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Row],[SubGroup]],DIY!$B:$C,2,FALSE),0)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3" t="str">
        <f>IFERROR(INDEX(Product_Structure[SuperCategory],MATCH(Товары[[#This Row],[SubGroup]],Product_Structure[Subgroup],0)),"")</f>
        <v>W</v>
      </c>
      <c r="D1605" s="113" t="str">
        <f>IFERROR(INDEX(Product_Structure[SuperCategory Name ENG],MATCH(Товары[[#This Row],[SubGroup]],Product_Structure[Subgroup],0)),"")</f>
        <v>Watering (mobile, sprinkler system&amp;MDS, Ponds)</v>
      </c>
      <c r="E16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5" s="113" t="str">
        <f>IFERROR(INDEX(Product_Structure[Product group],MATCH(Товары[[#This Row],[SubGroup]],Product_Structure[Subgroup],0)),"")</f>
        <v>WSC_C</v>
      </c>
      <c r="G1605" s="113" t="str">
        <f>IFERROR(INDEX(Product_Structure[Product group name ENG],MATCH(Товары[[#This Row],[SubGroup]],Product_Structure[Subgroup],0)),"")</f>
        <v>Watering Systems Controls</v>
      </c>
      <c r="H1605" s="113" t="str">
        <f>IFERROR(INDEX(Product_Structure[Generic Name (long)3],MATCH(Товары[[#This Row],[SubGroup]],Product_Structure[Subgroup],0)),"")</f>
        <v>Таймеры подачи воды</v>
      </c>
      <c r="I1605" s="36">
        <v>9031</v>
      </c>
      <c r="J1605" s="36" t="str">
        <f>IFERROR(INDEX(Product_Structure[Generic Name (long)],MATCH(Товары[[#This Row],[SubGroup]],Product_Structure[Subgroup],0)),"")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Row],[SubGroup]],DIY!$B:$C,2,FALSE),0)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3" t="str">
        <f>IFERROR(INDEX(Product_Structure[SuperCategory],MATCH(Товары[[#This Row],[SubGroup]],Product_Structure[Subgroup],0)),"")</f>
        <v>W</v>
      </c>
      <c r="D1606" s="113" t="str">
        <f>IFERROR(INDEX(Product_Structure[SuperCategory Name ENG],MATCH(Товары[[#This Row],[SubGroup]],Product_Structure[Subgroup],0)),"")</f>
        <v>Watering (mobile, sprinkler system&amp;MDS, Ponds)</v>
      </c>
      <c r="E16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6" s="113" t="str">
        <f>IFERROR(INDEX(Product_Structure[Product group],MATCH(Товары[[#This Row],[SubGroup]],Product_Structure[Subgroup],0)),"")</f>
        <v>WSC_C</v>
      </c>
      <c r="G1606" s="113" t="str">
        <f>IFERROR(INDEX(Product_Structure[Product group name ENG],MATCH(Товары[[#This Row],[SubGroup]],Product_Structure[Subgroup],0)),"")</f>
        <v>Watering Systems Controls</v>
      </c>
      <c r="H1606" s="113" t="str">
        <f>IFERROR(INDEX(Product_Structure[Generic Name (long)3],MATCH(Товары[[#This Row],[SubGroup]],Product_Structure[Subgroup],0)),"")</f>
        <v>Таймеры подачи воды</v>
      </c>
      <c r="I1606" s="36">
        <v>9031</v>
      </c>
      <c r="J1606" s="36" t="str">
        <f>IFERROR(INDEX(Product_Structure[Generic Name (long)],MATCH(Товары[[#This Row],[SubGroup]],Product_Structure[Subgroup],0)),"")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Row],[SubGroup]],DIY!$B:$C,2,FALSE),0)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3" t="str">
        <f>IFERROR(INDEX(Product_Structure[SuperCategory],MATCH(Товары[[#This Row],[SubGroup]],Product_Structure[Subgroup],0)),"")</f>
        <v>W</v>
      </c>
      <c r="D1607" s="113" t="str">
        <f>IFERROR(INDEX(Product_Structure[SuperCategory Name ENG],MATCH(Товары[[#This Row],[SubGroup]],Product_Structure[Subgroup],0)),"")</f>
        <v>Watering (mobile, sprinkler system&amp;MDS, Ponds)</v>
      </c>
      <c r="E16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7" s="113" t="str">
        <f>IFERROR(INDEX(Product_Structure[Product group],MATCH(Товары[[#This Row],[SubGroup]],Product_Structure[Subgroup],0)),"")</f>
        <v>WSC_C</v>
      </c>
      <c r="G1607" s="113" t="str">
        <f>IFERROR(INDEX(Product_Structure[Product group name ENG],MATCH(Товары[[#This Row],[SubGroup]],Product_Structure[Subgroup],0)),"")</f>
        <v>Watering Systems Controls</v>
      </c>
      <c r="H1607" s="113" t="str">
        <f>IFERROR(INDEX(Product_Structure[Generic Name (long)3],MATCH(Товары[[#This Row],[SubGroup]],Product_Structure[Subgroup],0)),"")</f>
        <v>Таймеры подачи воды</v>
      </c>
      <c r="I1607" s="36">
        <v>9031</v>
      </c>
      <c r="J1607" s="36" t="str">
        <f>IFERROR(INDEX(Product_Structure[Generic Name (long)],MATCH(Товары[[#This Row],[SubGroup]],Product_Structure[Subgroup],0)),"")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Row],[SubGroup]],DIY!$B:$C,2,FALSE),0)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3" t="str">
        <f>IFERROR(INDEX(Product_Structure[SuperCategory],MATCH(Товары[[#This Row],[SubGroup]],Product_Structure[Subgroup],0)),"")</f>
        <v>W</v>
      </c>
      <c r="D1608" s="113" t="str">
        <f>IFERROR(INDEX(Product_Structure[SuperCategory Name ENG],MATCH(Товары[[#This Row],[SubGroup]],Product_Structure[Subgroup],0)),"")</f>
        <v>Watering (mobile, sprinkler system&amp;MDS, Ponds)</v>
      </c>
      <c r="E16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8" s="113" t="str">
        <f>IFERROR(INDEX(Product_Structure[Product group],MATCH(Товары[[#This Row],[SubGroup]],Product_Structure[Subgroup],0)),"")</f>
        <v>WSC_C</v>
      </c>
      <c r="G1608" s="113" t="str">
        <f>IFERROR(INDEX(Product_Structure[Product group name ENG],MATCH(Товары[[#This Row],[SubGroup]],Product_Structure[Subgroup],0)),"")</f>
        <v>Watering Systems Controls</v>
      </c>
      <c r="H1608" s="113" t="str">
        <f>IFERROR(INDEX(Product_Structure[Generic Name (long)3],MATCH(Товары[[#This Row],[SubGroup]],Product_Structure[Subgroup],0)),"")</f>
        <v>Таймеры подачи воды</v>
      </c>
      <c r="I1608" s="36">
        <v>9031</v>
      </c>
      <c r="J1608" s="36" t="str">
        <f>IFERROR(INDEX(Product_Structure[Generic Name (long)],MATCH(Товары[[#This Row],[SubGroup]],Product_Structure[Subgroup],0)),"")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Row],[SubGroup]],DIY!$B:$C,2,FALSE),0)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3" t="str">
        <f>IFERROR(INDEX(Product_Structure[SuperCategory],MATCH(Товары[[#This Row],[SubGroup]],Product_Structure[Subgroup],0)),"")</f>
        <v>W</v>
      </c>
      <c r="D1609" s="113" t="str">
        <f>IFERROR(INDEX(Product_Structure[SuperCategory Name ENG],MATCH(Товары[[#This Row],[SubGroup]],Product_Structure[Subgroup],0)),"")</f>
        <v>Watering (mobile, sprinkler system&amp;MDS, Ponds)</v>
      </c>
      <c r="E16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09" s="113" t="str">
        <f>IFERROR(INDEX(Product_Structure[Product group],MATCH(Товары[[#This Row],[SubGroup]],Product_Structure[Subgroup],0)),"")</f>
        <v>WSC_C</v>
      </c>
      <c r="G1609" s="113" t="str">
        <f>IFERROR(INDEX(Product_Structure[Product group name ENG],MATCH(Товары[[#This Row],[SubGroup]],Product_Structure[Subgroup],0)),"")</f>
        <v>Watering Systems Controls</v>
      </c>
      <c r="H1609" s="113" t="str">
        <f>IFERROR(INDEX(Product_Structure[Generic Name (long)3],MATCH(Товары[[#This Row],[SubGroup]],Product_Structure[Subgroup],0)),"")</f>
        <v>Таймеры подачи воды</v>
      </c>
      <c r="I1609" s="36">
        <v>9031</v>
      </c>
      <c r="J1609" s="36" t="str">
        <f>IFERROR(INDEX(Product_Structure[Generic Name (long)],MATCH(Товары[[#This Row],[SubGroup]],Product_Structure[Subgroup],0)),"")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Row],[SubGroup]],DIY!$B:$C,2,FALSE),0)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3" t="str">
        <f>IFERROR(INDEX(Product_Structure[SuperCategory],MATCH(Товары[[#This Row],[SubGroup]],Product_Structure[Subgroup],0)),"")</f>
        <v>W</v>
      </c>
      <c r="D1610" s="113" t="str">
        <f>IFERROR(INDEX(Product_Structure[SuperCategory Name ENG],MATCH(Товары[[#This Row],[SubGroup]],Product_Structure[Subgroup],0)),"")</f>
        <v>Watering (mobile, sprinkler system&amp;MDS, Ponds)</v>
      </c>
      <c r="E16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0" s="113" t="str">
        <f>IFERROR(INDEX(Product_Structure[Product group],MATCH(Товары[[#This Row],[SubGroup]],Product_Structure[Subgroup],0)),"")</f>
        <v>WSC_C</v>
      </c>
      <c r="G1610" s="113" t="str">
        <f>IFERROR(INDEX(Product_Structure[Product group name ENG],MATCH(Товары[[#This Row],[SubGroup]],Product_Structure[Subgroup],0)),"")</f>
        <v>Watering Systems Controls</v>
      </c>
      <c r="H1610" s="113" t="str">
        <f>IFERROR(INDEX(Product_Structure[Generic Name (long)3],MATCH(Товары[[#This Row],[SubGroup]],Product_Structure[Subgroup],0)),"")</f>
        <v>Таймеры подачи воды</v>
      </c>
      <c r="I1610" s="36">
        <v>9031</v>
      </c>
      <c r="J1610" s="36" t="str">
        <f>IFERROR(INDEX(Product_Structure[Generic Name (long)],MATCH(Товары[[#This Row],[SubGroup]],Product_Structure[Subgroup],0)),"")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Row],[SubGroup]],DIY!$B:$C,2,FALSE),0)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3" t="str">
        <f>IFERROR(INDEX(Product_Structure[SuperCategory],MATCH(Товары[[#This Row],[SubGroup]],Product_Structure[Subgroup],0)),"")</f>
        <v>W</v>
      </c>
      <c r="D1611" s="113" t="str">
        <f>IFERROR(INDEX(Product_Structure[SuperCategory Name ENG],MATCH(Товары[[#This Row],[SubGroup]],Product_Structure[Subgroup],0)),"")</f>
        <v>Watering (mobile, sprinkler system&amp;MDS, Ponds)</v>
      </c>
      <c r="E16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1" s="113" t="str">
        <f>IFERROR(INDEX(Product_Structure[Product group],MATCH(Товары[[#This Row],[SubGroup]],Product_Structure[Subgroup],0)),"")</f>
        <v>WSC_C</v>
      </c>
      <c r="G1611" s="113" t="str">
        <f>IFERROR(INDEX(Product_Structure[Product group name ENG],MATCH(Товары[[#This Row],[SubGroup]],Product_Structure[Subgroup],0)),"")</f>
        <v>Watering Systems Controls</v>
      </c>
      <c r="H1611" s="113" t="str">
        <f>IFERROR(INDEX(Product_Structure[Generic Name (long)3],MATCH(Товары[[#This Row],[SubGroup]],Product_Structure[Subgroup],0)),"")</f>
        <v>Таймеры подачи воды</v>
      </c>
      <c r="I1611" s="36">
        <v>9031</v>
      </c>
      <c r="J1611" s="36" t="str">
        <f>IFERROR(INDEX(Product_Structure[Generic Name (long)],MATCH(Товары[[#This Row],[SubGroup]],Product_Structure[Subgroup],0)),"")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Row],[SubGroup]],DIY!$B:$C,2,FALSE),0)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3" t="str">
        <f>IFERROR(INDEX(Product_Structure[SuperCategory],MATCH(Товары[[#This Row],[SubGroup]],Product_Structure[Subgroup],0)),"")</f>
        <v>W</v>
      </c>
      <c r="D1612" s="113" t="str">
        <f>IFERROR(INDEX(Product_Structure[SuperCategory Name ENG],MATCH(Товары[[#This Row],[SubGroup]],Product_Structure[Subgroup],0)),"")</f>
        <v>Watering (mobile, sprinkler system&amp;MDS, Ponds)</v>
      </c>
      <c r="E16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2" s="113" t="str">
        <f>IFERROR(INDEX(Product_Structure[Product group],MATCH(Товары[[#This Row],[SubGroup]],Product_Structure[Subgroup],0)),"")</f>
        <v>WSC_C</v>
      </c>
      <c r="G1612" s="113" t="str">
        <f>IFERROR(INDEX(Product_Structure[Product group name ENG],MATCH(Товары[[#This Row],[SubGroup]],Product_Structure[Subgroup],0)),"")</f>
        <v>Watering Systems Controls</v>
      </c>
      <c r="H1612" s="113" t="str">
        <f>IFERROR(INDEX(Product_Structure[Generic Name (long)3],MATCH(Товары[[#This Row],[SubGroup]],Product_Structure[Subgroup],0)),"")</f>
        <v>Таймеры подачи воды</v>
      </c>
      <c r="I1612" s="36">
        <v>9031</v>
      </c>
      <c r="J1612" s="36" t="str">
        <f>IFERROR(INDEX(Product_Structure[Generic Name (long)],MATCH(Товары[[#This Row],[SubGroup]],Product_Structure[Subgroup],0)),"")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Row],[SubGroup]],DIY!$B:$C,2,FALSE),0)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3" t="str">
        <f>IFERROR(INDEX(Product_Structure[SuperCategory],MATCH(Товары[[#This Row],[SubGroup]],Product_Structure[Subgroup],0)),"")</f>
        <v>W</v>
      </c>
      <c r="D1613" s="113" t="str">
        <f>IFERROR(INDEX(Product_Structure[SuperCategory Name ENG],MATCH(Товары[[#This Row],[SubGroup]],Product_Structure[Subgroup],0)),"")</f>
        <v>Watering (mobile, sprinkler system&amp;MDS, Ponds)</v>
      </c>
      <c r="E16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3" s="113" t="str">
        <f>IFERROR(INDEX(Product_Structure[Product group],MATCH(Товары[[#This Row],[SubGroup]],Product_Structure[Subgroup],0)),"")</f>
        <v>WSC_C</v>
      </c>
      <c r="G1613" s="113" t="str">
        <f>IFERROR(INDEX(Product_Structure[Product group name ENG],MATCH(Товары[[#This Row],[SubGroup]],Product_Structure[Subgroup],0)),"")</f>
        <v>Watering Systems Controls</v>
      </c>
      <c r="H1613" s="113" t="str">
        <f>IFERROR(INDEX(Product_Structure[Generic Name (long)3],MATCH(Товары[[#This Row],[SubGroup]],Product_Structure[Subgroup],0)),"")</f>
        <v>Таймеры подачи воды</v>
      </c>
      <c r="I1613" s="36">
        <v>9031</v>
      </c>
      <c r="J1613" s="36" t="str">
        <f>IFERROR(INDEX(Product_Structure[Generic Name (long)],MATCH(Товары[[#This Row],[SubGroup]],Product_Structure[Subgroup],0)),"")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Row],[SubGroup]],DIY!$B:$C,2,FALSE),0)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3" t="str">
        <f>IFERROR(INDEX(Product_Structure[SuperCategory],MATCH(Товары[[#This Row],[SubGroup]],Product_Structure[Subgroup],0)),"")</f>
        <v>W</v>
      </c>
      <c r="D1614" s="113" t="str">
        <f>IFERROR(INDEX(Product_Structure[SuperCategory Name ENG],MATCH(Товары[[#This Row],[SubGroup]],Product_Structure[Subgroup],0)),"")</f>
        <v>Watering (mobile, sprinkler system&amp;MDS, Ponds)</v>
      </c>
      <c r="E16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4" s="113" t="str">
        <f>IFERROR(INDEX(Product_Structure[Product group],MATCH(Товары[[#This Row],[SubGroup]],Product_Structure[Subgroup],0)),"")</f>
        <v>WSC_C</v>
      </c>
      <c r="G1614" s="113" t="str">
        <f>IFERROR(INDEX(Product_Structure[Product group name ENG],MATCH(Товары[[#This Row],[SubGroup]],Product_Structure[Subgroup],0)),"")</f>
        <v>Watering Systems Controls</v>
      </c>
      <c r="H1614" s="113" t="str">
        <f>IFERROR(INDEX(Product_Structure[Generic Name (long)3],MATCH(Товары[[#This Row],[SubGroup]],Product_Structure[Subgroup],0)),"")</f>
        <v>Таймеры подачи воды</v>
      </c>
      <c r="I1614" s="36">
        <v>9031</v>
      </c>
      <c r="J1614" s="36" t="str">
        <f>IFERROR(INDEX(Product_Structure[Generic Name (long)],MATCH(Товары[[#This Row],[SubGroup]],Product_Structure[Subgroup],0)),"")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Row],[SubGroup]],DIY!$B:$C,2,FALSE),0)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3" t="str">
        <f>IFERROR(INDEX(Product_Structure[SuperCategory],MATCH(Товары[[#This Row],[SubGroup]],Product_Structure[Subgroup],0)),"")</f>
        <v>W</v>
      </c>
      <c r="D1615" s="113" t="str">
        <f>IFERROR(INDEX(Product_Structure[SuperCategory Name ENG],MATCH(Товары[[#This Row],[SubGroup]],Product_Structure[Subgroup],0)),"")</f>
        <v>Watering (mobile, sprinkler system&amp;MDS, Ponds)</v>
      </c>
      <c r="E16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5" s="113" t="str">
        <f>IFERROR(INDEX(Product_Structure[Product group],MATCH(Товары[[#This Row],[SubGroup]],Product_Structure[Subgroup],0)),"")</f>
        <v>WSC_C</v>
      </c>
      <c r="G1615" s="113" t="str">
        <f>IFERROR(INDEX(Product_Structure[Product group name ENG],MATCH(Товары[[#This Row],[SubGroup]],Product_Structure[Subgroup],0)),"")</f>
        <v>Watering Systems Controls</v>
      </c>
      <c r="H1615" s="113" t="str">
        <f>IFERROR(INDEX(Product_Structure[Generic Name (long)3],MATCH(Товары[[#This Row],[SubGroup]],Product_Structure[Subgroup],0)),"")</f>
        <v>Таймеры подачи воды</v>
      </c>
      <c r="I1615" s="36">
        <v>9031</v>
      </c>
      <c r="J1615" s="36" t="str">
        <f>IFERROR(INDEX(Product_Structure[Generic Name (long)],MATCH(Товары[[#This Row],[SubGroup]],Product_Structure[Subgroup],0)),"")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Row],[SubGroup]],DIY!$B:$C,2,FALSE),0)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3" t="str">
        <f>IFERROR(INDEX(Product_Structure[SuperCategory],MATCH(Товары[[#This Row],[SubGroup]],Product_Structure[Subgroup],0)),"")</f>
        <v>W</v>
      </c>
      <c r="D1616" s="113" t="str">
        <f>IFERROR(INDEX(Product_Structure[SuperCategory Name ENG],MATCH(Товары[[#This Row],[SubGroup]],Product_Structure[Subgroup],0)),"")</f>
        <v>Watering (mobile, sprinkler system&amp;MDS, Ponds)</v>
      </c>
      <c r="E16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6" s="113" t="str">
        <f>IFERROR(INDEX(Product_Structure[Product group],MATCH(Товары[[#This Row],[SubGroup]],Product_Structure[Subgroup],0)),"")</f>
        <v>WSC_C</v>
      </c>
      <c r="G1616" s="113" t="str">
        <f>IFERROR(INDEX(Product_Structure[Product group name ENG],MATCH(Товары[[#This Row],[SubGroup]],Product_Structure[Subgroup],0)),"")</f>
        <v>Watering Systems Controls</v>
      </c>
      <c r="H1616" s="113" t="str">
        <f>IFERROR(INDEX(Product_Structure[Generic Name (long)3],MATCH(Товары[[#This Row],[SubGroup]],Product_Structure[Subgroup],0)),"")</f>
        <v>Таймеры подачи воды</v>
      </c>
      <c r="I1616" s="36">
        <v>9031</v>
      </c>
      <c r="J1616" s="36" t="str">
        <f>IFERROR(INDEX(Product_Structure[Generic Name (long)],MATCH(Товары[[#This Row],[SubGroup]],Product_Structure[Subgroup],0)),"")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Row],[SubGroup]],DIY!$B:$C,2,FALSE),0)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3" t="str">
        <f>IFERROR(INDEX(Product_Structure[SuperCategory],MATCH(Товары[[#This Row],[SubGroup]],Product_Structure[Subgroup],0)),"")</f>
        <v>W</v>
      </c>
      <c r="D1617" s="113" t="str">
        <f>IFERROR(INDEX(Product_Structure[SuperCategory Name ENG],MATCH(Товары[[#This Row],[SubGroup]],Product_Structure[Subgroup],0)),"")</f>
        <v>Watering (mobile, sprinkler system&amp;MDS, Ponds)</v>
      </c>
      <c r="E16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7" s="113" t="str">
        <f>IFERROR(INDEX(Product_Structure[Product group],MATCH(Товары[[#This Row],[SubGroup]],Product_Structure[Subgroup],0)),"")</f>
        <v>WSC_C</v>
      </c>
      <c r="G1617" s="113" t="str">
        <f>IFERROR(INDEX(Product_Structure[Product group name ENG],MATCH(Товары[[#This Row],[SubGroup]],Product_Structure[Subgroup],0)),"")</f>
        <v>Watering Systems Controls</v>
      </c>
      <c r="H1617" s="113" t="str">
        <f>IFERROR(INDEX(Product_Structure[Generic Name (long)3],MATCH(Товары[[#This Row],[SubGroup]],Product_Structure[Subgroup],0)),"")</f>
        <v>Таймеры подачи воды</v>
      </c>
      <c r="I1617" s="36">
        <v>9031</v>
      </c>
      <c r="J1617" s="36" t="str">
        <f>IFERROR(INDEX(Product_Structure[Generic Name (long)],MATCH(Товары[[#This Row],[SubGroup]],Product_Structure[Subgroup],0)),"")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Row],[SubGroup]],DIY!$B:$C,2,FALSE),0)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3" t="str">
        <f>IFERROR(INDEX(Product_Structure[SuperCategory],MATCH(Товары[[#This Row],[SubGroup]],Product_Structure[Subgroup],0)),"")</f>
        <v>W</v>
      </c>
      <c r="D1618" s="113" t="str">
        <f>IFERROR(INDEX(Product_Structure[SuperCategory Name ENG],MATCH(Товары[[#This Row],[SubGroup]],Product_Structure[Subgroup],0)),"")</f>
        <v>Watering (mobile, sprinkler system&amp;MDS, Ponds)</v>
      </c>
      <c r="E16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8" s="113" t="str">
        <f>IFERROR(INDEX(Product_Structure[Product group],MATCH(Товары[[#This Row],[SubGroup]],Product_Structure[Subgroup],0)),"")</f>
        <v>WSC_C</v>
      </c>
      <c r="G1618" s="113" t="str">
        <f>IFERROR(INDEX(Product_Structure[Product group name ENG],MATCH(Товары[[#This Row],[SubGroup]],Product_Structure[Subgroup],0)),"")</f>
        <v>Watering Systems Controls</v>
      </c>
      <c r="H1618" s="113" t="str">
        <f>IFERROR(INDEX(Product_Structure[Generic Name (long)3],MATCH(Товары[[#This Row],[SubGroup]],Product_Structure[Subgroup],0)),"")</f>
        <v>Таймеры подачи воды</v>
      </c>
      <c r="I1618" s="36">
        <v>9031</v>
      </c>
      <c r="J1618" s="36" t="str">
        <f>IFERROR(INDEX(Product_Structure[Generic Name (long)],MATCH(Товары[[#This Row],[SubGroup]],Product_Structure[Subgroup],0)),"")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Row],[SubGroup]],DIY!$B:$C,2,FALSE),0)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3" t="str">
        <f>IFERROR(INDEX(Product_Structure[SuperCategory],MATCH(Товары[[#This Row],[SubGroup]],Product_Structure[Subgroup],0)),"")</f>
        <v>W</v>
      </c>
      <c r="D1619" s="113" t="str">
        <f>IFERROR(INDEX(Product_Structure[SuperCategory Name ENG],MATCH(Товары[[#This Row],[SubGroup]],Product_Structure[Subgroup],0)),"")</f>
        <v>Watering (mobile, sprinkler system&amp;MDS, Ponds)</v>
      </c>
      <c r="E16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19" s="113" t="str">
        <f>IFERROR(INDEX(Product_Structure[Product group],MATCH(Товары[[#This Row],[SubGroup]],Product_Structure[Subgroup],0)),"")</f>
        <v>WSC_C</v>
      </c>
      <c r="G1619" s="113" t="str">
        <f>IFERROR(INDEX(Product_Structure[Product group name ENG],MATCH(Товары[[#This Row],[SubGroup]],Product_Structure[Subgroup],0)),"")</f>
        <v>Watering Systems Controls</v>
      </c>
      <c r="H1619" s="113" t="str">
        <f>IFERROR(INDEX(Product_Structure[Generic Name (long)3],MATCH(Товары[[#This Row],[SubGroup]],Product_Structure[Subgroup],0)),"")</f>
        <v>Таймеры подачи воды</v>
      </c>
      <c r="I1619" s="36">
        <v>9031</v>
      </c>
      <c r="J1619" s="36" t="str">
        <f>IFERROR(INDEX(Product_Structure[Generic Name (long)],MATCH(Товары[[#This Row],[SubGroup]],Product_Structure[Subgroup],0)),"")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Row],[SubGroup]],DIY!$B:$C,2,FALSE),0)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3" t="str">
        <f>IFERROR(INDEX(Product_Structure[SuperCategory],MATCH(Товары[[#This Row],[SubGroup]],Product_Structure[Subgroup],0)),"")</f>
        <v>W</v>
      </c>
      <c r="D1620" s="113" t="str">
        <f>IFERROR(INDEX(Product_Structure[SuperCategory Name ENG],MATCH(Товары[[#This Row],[SubGroup]],Product_Structure[Subgroup],0)),"")</f>
        <v>Watering (mobile, sprinkler system&amp;MDS, Ponds)</v>
      </c>
      <c r="E16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0" s="113" t="str">
        <f>IFERROR(INDEX(Product_Structure[Product group],MATCH(Товары[[#This Row],[SubGroup]],Product_Structure[Subgroup],0)),"")</f>
        <v>WSC_C</v>
      </c>
      <c r="G1620" s="113" t="str">
        <f>IFERROR(INDEX(Product_Structure[Product group name ENG],MATCH(Товары[[#This Row],[SubGroup]],Product_Structure[Subgroup],0)),"")</f>
        <v>Watering Systems Controls</v>
      </c>
      <c r="H1620" s="113" t="str">
        <f>IFERROR(INDEX(Product_Structure[Generic Name (long)3],MATCH(Товары[[#This Row],[SubGroup]],Product_Structure[Subgroup],0)),"")</f>
        <v>Таймеры подачи воды</v>
      </c>
      <c r="I1620" s="36">
        <v>9031</v>
      </c>
      <c r="J1620" s="36" t="str">
        <f>IFERROR(INDEX(Product_Structure[Generic Name (long)],MATCH(Товары[[#This Row],[SubGroup]],Product_Structure[Subgroup],0)),"")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Row],[SubGroup]],DIY!$B:$C,2,FALSE),0)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3" t="str">
        <f>IFERROR(INDEX(Product_Structure[SuperCategory],MATCH(Товары[[#This Row],[SubGroup]],Product_Structure[Subgroup],0)),"")</f>
        <v>W</v>
      </c>
      <c r="D1621" s="113" t="str">
        <f>IFERROR(INDEX(Product_Structure[SuperCategory Name ENG],MATCH(Товары[[#This Row],[SubGroup]],Product_Structure[Subgroup],0)),"")</f>
        <v>Watering (mobile, sprinkler system&amp;MDS, Ponds)</v>
      </c>
      <c r="E16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1" s="113" t="str">
        <f>IFERROR(INDEX(Product_Structure[Product group],MATCH(Товары[[#This Row],[SubGroup]],Product_Structure[Subgroup],0)),"")</f>
        <v>WSC_C</v>
      </c>
      <c r="G1621" s="113" t="str">
        <f>IFERROR(INDEX(Product_Structure[Product group name ENG],MATCH(Товары[[#This Row],[SubGroup]],Product_Structure[Subgroup],0)),"")</f>
        <v>Watering Systems Controls</v>
      </c>
      <c r="H1621" s="113" t="str">
        <f>IFERROR(INDEX(Product_Structure[Generic Name (long)3],MATCH(Товары[[#This Row],[SubGroup]],Product_Structure[Subgroup],0)),"")</f>
        <v>Таймеры подачи воды</v>
      </c>
      <c r="I1621" s="36">
        <v>9031</v>
      </c>
      <c r="J1621" s="36" t="str">
        <f>IFERROR(INDEX(Product_Structure[Generic Name (long)],MATCH(Товары[[#This Row],[SubGroup]],Product_Structure[Subgroup],0)),"")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Row],[SubGroup]],DIY!$B:$C,2,FALSE),0)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3" t="str">
        <f>IFERROR(INDEX(Product_Structure[SuperCategory],MATCH(Товары[[#This Row],[SubGroup]],Product_Structure[Subgroup],0)),"")</f>
        <v>W</v>
      </c>
      <c r="D1622" s="113" t="str">
        <f>IFERROR(INDEX(Product_Structure[SuperCategory Name ENG],MATCH(Товары[[#This Row],[SubGroup]],Product_Structure[Subgroup],0)),"")</f>
        <v>Watering (mobile, sprinkler system&amp;MDS, Ponds)</v>
      </c>
      <c r="E16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2" s="113" t="str">
        <f>IFERROR(INDEX(Product_Structure[Product group],MATCH(Товары[[#This Row],[SubGroup]],Product_Structure[Subgroup],0)),"")</f>
        <v>WSC_C</v>
      </c>
      <c r="G1622" s="113" t="str">
        <f>IFERROR(INDEX(Product_Structure[Product group name ENG],MATCH(Товары[[#This Row],[SubGroup]],Product_Structure[Subgroup],0)),"")</f>
        <v>Watering Systems Controls</v>
      </c>
      <c r="H1622" s="113" t="str">
        <f>IFERROR(INDEX(Product_Structure[Generic Name (long)3],MATCH(Товары[[#This Row],[SubGroup]],Product_Structure[Subgroup],0)),"")</f>
        <v>Таймеры подачи воды</v>
      </c>
      <c r="I1622" s="36">
        <v>9031</v>
      </c>
      <c r="J1622" s="36" t="str">
        <f>IFERROR(INDEX(Product_Structure[Generic Name (long)],MATCH(Товары[[#This Row],[SubGroup]],Product_Structure[Subgroup],0)),"")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Row],[SubGroup]],DIY!$B:$C,2,FALSE),0)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3" t="str">
        <f>IFERROR(INDEX(Product_Structure[SuperCategory],MATCH(Товары[[#This Row],[SubGroup]],Product_Structure[Subgroup],0)),"")</f>
        <v>W</v>
      </c>
      <c r="D1623" s="113" t="str">
        <f>IFERROR(INDEX(Product_Structure[SuperCategory Name ENG],MATCH(Товары[[#This Row],[SubGroup]],Product_Structure[Subgroup],0)),"")</f>
        <v>Watering (mobile, sprinkler system&amp;MDS, Ponds)</v>
      </c>
      <c r="E16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3" s="113" t="str">
        <f>IFERROR(INDEX(Product_Structure[Product group],MATCH(Товары[[#This Row],[SubGroup]],Product_Structure[Subgroup],0)),"")</f>
        <v>WSC_C</v>
      </c>
      <c r="G1623" s="113" t="str">
        <f>IFERROR(INDEX(Product_Structure[Product group name ENG],MATCH(Товары[[#This Row],[SubGroup]],Product_Structure[Subgroup],0)),"")</f>
        <v>Watering Systems Controls</v>
      </c>
      <c r="H1623" s="113" t="str">
        <f>IFERROR(INDEX(Product_Structure[Generic Name (long)3],MATCH(Товары[[#This Row],[SubGroup]],Product_Structure[Subgroup],0)),"")</f>
        <v>Таймеры подачи воды</v>
      </c>
      <c r="I1623" s="36">
        <v>9031</v>
      </c>
      <c r="J1623" s="36" t="str">
        <f>IFERROR(INDEX(Product_Structure[Generic Name (long)],MATCH(Товары[[#This Row],[SubGroup]],Product_Structure[Subgroup],0)),"")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Row],[SubGroup]],DIY!$B:$C,2,FALSE),0)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3" t="str">
        <f>IFERROR(INDEX(Product_Structure[SuperCategory],MATCH(Товары[[#This Row],[SubGroup]],Product_Structure[Subgroup],0)),"")</f>
        <v>W</v>
      </c>
      <c r="D1624" s="113" t="str">
        <f>IFERROR(INDEX(Product_Structure[SuperCategory Name ENG],MATCH(Товары[[#This Row],[SubGroup]],Product_Structure[Subgroup],0)),"")</f>
        <v>Watering (mobile, sprinkler system&amp;MDS, Ponds)</v>
      </c>
      <c r="E16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4" s="113" t="str">
        <f>IFERROR(INDEX(Product_Structure[Product group],MATCH(Товары[[#This Row],[SubGroup]],Product_Structure[Subgroup],0)),"")</f>
        <v>WSC_C</v>
      </c>
      <c r="G1624" s="113" t="str">
        <f>IFERROR(INDEX(Product_Structure[Product group name ENG],MATCH(Товары[[#This Row],[SubGroup]],Product_Structure[Subgroup],0)),"")</f>
        <v>Watering Systems Controls</v>
      </c>
      <c r="H1624" s="113" t="str">
        <f>IFERROR(INDEX(Product_Structure[Generic Name (long)3],MATCH(Товары[[#This Row],[SubGroup]],Product_Structure[Subgroup],0)),"")</f>
        <v>Таймеры подачи воды</v>
      </c>
      <c r="I1624" s="36">
        <v>9031</v>
      </c>
      <c r="J1624" s="36" t="str">
        <f>IFERROR(INDEX(Product_Structure[Generic Name (long)],MATCH(Товары[[#This Row],[SubGroup]],Product_Structure[Subgroup],0)),"")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Row],[SubGroup]],DIY!$B:$C,2,FALSE),0)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3" t="str">
        <f>IFERROR(INDEX(Product_Structure[SuperCategory],MATCH(Товары[[#This Row],[SubGroup]],Product_Structure[Subgroup],0)),"")</f>
        <v>W</v>
      </c>
      <c r="D1625" s="113" t="str">
        <f>IFERROR(INDEX(Product_Structure[SuperCategory Name ENG],MATCH(Товары[[#This Row],[SubGroup]],Product_Structure[Subgroup],0)),"")</f>
        <v>Watering (mobile, sprinkler system&amp;MDS, Ponds)</v>
      </c>
      <c r="E16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5" s="113" t="str">
        <f>IFERROR(INDEX(Product_Structure[Product group],MATCH(Товары[[#This Row],[SubGroup]],Product_Structure[Subgroup],0)),"")</f>
        <v>WSC_C</v>
      </c>
      <c r="G1625" s="113" t="str">
        <f>IFERROR(INDEX(Product_Structure[Product group name ENG],MATCH(Товары[[#This Row],[SubGroup]],Product_Structure[Subgroup],0)),"")</f>
        <v>Watering Systems Controls</v>
      </c>
      <c r="H1625" s="113" t="str">
        <f>IFERROR(INDEX(Product_Structure[Generic Name (long)3],MATCH(Товары[[#This Row],[SubGroup]],Product_Structure[Subgroup],0)),"")</f>
        <v>Таймеры подачи воды</v>
      </c>
      <c r="I1625" s="36">
        <v>9031</v>
      </c>
      <c r="J1625" s="36" t="str">
        <f>IFERROR(INDEX(Product_Structure[Generic Name (long)],MATCH(Товары[[#This Row],[SubGroup]],Product_Structure[Subgroup],0)),"")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Row],[SubGroup]],DIY!$B:$C,2,FALSE),0)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3" t="str">
        <f>IFERROR(INDEX(Product_Structure[SuperCategory],MATCH(Товары[[#This Row],[SubGroup]],Product_Structure[Subgroup],0)),"")</f>
        <v>W</v>
      </c>
      <c r="D1626" s="113" t="str">
        <f>IFERROR(INDEX(Product_Structure[SuperCategory Name ENG],MATCH(Товары[[#This Row],[SubGroup]],Product_Structure[Subgroup],0)),"")</f>
        <v>Watering (mobile, sprinkler system&amp;MDS, Ponds)</v>
      </c>
      <c r="E16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6" s="113" t="str">
        <f>IFERROR(INDEX(Product_Structure[Product group],MATCH(Товары[[#This Row],[SubGroup]],Product_Structure[Subgroup],0)),"")</f>
        <v>WSC_C</v>
      </c>
      <c r="G1626" s="113" t="str">
        <f>IFERROR(INDEX(Product_Structure[Product group name ENG],MATCH(Товары[[#This Row],[SubGroup]],Product_Structure[Subgroup],0)),"")</f>
        <v>Watering Systems Controls</v>
      </c>
      <c r="H1626" s="113" t="str">
        <f>IFERROR(INDEX(Product_Structure[Generic Name (long)3],MATCH(Товары[[#This Row],[SubGroup]],Product_Structure[Subgroup],0)),"")</f>
        <v>Таймеры подачи воды</v>
      </c>
      <c r="I1626" s="36">
        <v>9031</v>
      </c>
      <c r="J1626" s="36" t="str">
        <f>IFERROR(INDEX(Product_Structure[Generic Name (long)],MATCH(Товары[[#This Row],[SubGroup]],Product_Structure[Subgroup],0)),"")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Row],[SubGroup]],DIY!$B:$C,2,FALSE),0)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3" t="str">
        <f>IFERROR(INDEX(Product_Structure[SuperCategory],MATCH(Товары[[#This Row],[SubGroup]],Product_Structure[Subgroup],0)),"")</f>
        <v>W</v>
      </c>
      <c r="D1627" s="113" t="str">
        <f>IFERROR(INDEX(Product_Structure[SuperCategory Name ENG],MATCH(Товары[[#This Row],[SubGroup]],Product_Structure[Subgroup],0)),"")</f>
        <v>Watering (mobile, sprinkler system&amp;MDS, Ponds)</v>
      </c>
      <c r="E16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7" s="113" t="str">
        <f>IFERROR(INDEX(Product_Structure[Product group],MATCH(Товары[[#This Row],[SubGroup]],Product_Structure[Subgroup],0)),"")</f>
        <v>WSC_C</v>
      </c>
      <c r="G1627" s="113" t="str">
        <f>IFERROR(INDEX(Product_Structure[Product group name ENG],MATCH(Товары[[#This Row],[SubGroup]],Product_Structure[Subgroup],0)),"")</f>
        <v>Watering Systems Controls</v>
      </c>
      <c r="H1627" s="113" t="str">
        <f>IFERROR(INDEX(Product_Structure[Generic Name (long)3],MATCH(Товары[[#This Row],[SubGroup]],Product_Structure[Subgroup],0)),"")</f>
        <v>Таймеры подачи воды</v>
      </c>
      <c r="I1627" s="36">
        <v>9031</v>
      </c>
      <c r="J1627" s="36" t="str">
        <f>IFERROR(INDEX(Product_Structure[Generic Name (long)],MATCH(Товары[[#This Row],[SubGroup]],Product_Structure[Subgroup],0)),"")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Row],[SubGroup]],DIY!$B:$C,2,FALSE),0)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3" t="str">
        <f>IFERROR(INDEX(Product_Structure[SuperCategory],MATCH(Товары[[#This Row],[SubGroup]],Product_Structure[Subgroup],0)),"")</f>
        <v>W</v>
      </c>
      <c r="D1628" s="113" t="str">
        <f>IFERROR(INDEX(Product_Structure[SuperCategory Name ENG],MATCH(Товары[[#This Row],[SubGroup]],Product_Structure[Subgroup],0)),"")</f>
        <v>Watering (mobile, sprinkler system&amp;MDS, Ponds)</v>
      </c>
      <c r="E16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8" s="113" t="str">
        <f>IFERROR(INDEX(Product_Structure[Product group],MATCH(Товары[[#This Row],[SubGroup]],Product_Structure[Subgroup],0)),"")</f>
        <v>WSC_C</v>
      </c>
      <c r="G1628" s="113" t="str">
        <f>IFERROR(INDEX(Product_Structure[Product group name ENG],MATCH(Товары[[#This Row],[SubGroup]],Product_Structure[Subgroup],0)),"")</f>
        <v>Watering Systems Controls</v>
      </c>
      <c r="H1628" s="113" t="str">
        <f>IFERROR(INDEX(Product_Structure[Generic Name (long)3],MATCH(Товары[[#This Row],[SubGroup]],Product_Structure[Subgroup],0)),"")</f>
        <v>Таймеры подачи воды</v>
      </c>
      <c r="I1628" s="36">
        <v>9031</v>
      </c>
      <c r="J1628" s="36" t="str">
        <f>IFERROR(INDEX(Product_Structure[Generic Name (long)],MATCH(Товары[[#This Row],[SubGroup]],Product_Structure[Subgroup],0)),"")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Row],[SubGroup]],DIY!$B:$C,2,FALSE),0)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3" t="str">
        <f>IFERROR(INDEX(Product_Structure[SuperCategory],MATCH(Товары[[#This Row],[SubGroup]],Product_Structure[Subgroup],0)),"")</f>
        <v>W</v>
      </c>
      <c r="D1629" s="113" t="str">
        <f>IFERROR(INDEX(Product_Structure[SuperCategory Name ENG],MATCH(Товары[[#This Row],[SubGroup]],Product_Structure[Subgroup],0)),"")</f>
        <v>Watering (mobile, sprinkler system&amp;MDS, Ponds)</v>
      </c>
      <c r="E16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29" s="113" t="str">
        <f>IFERROR(INDEX(Product_Structure[Product group],MATCH(Товары[[#This Row],[SubGroup]],Product_Structure[Subgroup],0)),"")</f>
        <v>WSC_C</v>
      </c>
      <c r="G1629" s="113" t="str">
        <f>IFERROR(INDEX(Product_Structure[Product group name ENG],MATCH(Товары[[#This Row],[SubGroup]],Product_Structure[Subgroup],0)),"")</f>
        <v>Watering Systems Controls</v>
      </c>
      <c r="H1629" s="113" t="str">
        <f>IFERROR(INDEX(Product_Structure[Generic Name (long)3],MATCH(Товары[[#This Row],[SubGroup]],Product_Structure[Subgroup],0)),"")</f>
        <v>Таймеры подачи воды</v>
      </c>
      <c r="I1629" s="36">
        <v>9031</v>
      </c>
      <c r="J1629" s="36" t="str">
        <f>IFERROR(INDEX(Product_Structure[Generic Name (long)],MATCH(Товары[[#This Row],[SubGroup]],Product_Structure[Subgroup],0)),"")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Row],[SubGroup]],DIY!$B:$C,2,FALSE),0)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3" t="str">
        <f>IFERROR(INDEX(Product_Structure[SuperCategory],MATCH(Товары[[#This Row],[SubGroup]],Product_Structure[Subgroup],0)),"")</f>
        <v>W</v>
      </c>
      <c r="D1630" s="113" t="str">
        <f>IFERROR(INDEX(Product_Structure[SuperCategory Name ENG],MATCH(Товары[[#This Row],[SubGroup]],Product_Structure[Subgroup],0)),"")</f>
        <v>Watering (mobile, sprinkler system&amp;MDS, Ponds)</v>
      </c>
      <c r="E16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0" s="113" t="str">
        <f>IFERROR(INDEX(Product_Structure[Product group],MATCH(Товары[[#This Row],[SubGroup]],Product_Structure[Subgroup],0)),"")</f>
        <v>WSC_C</v>
      </c>
      <c r="G1630" s="113" t="str">
        <f>IFERROR(INDEX(Product_Structure[Product group name ENG],MATCH(Товары[[#This Row],[SubGroup]],Product_Structure[Subgroup],0)),"")</f>
        <v>Watering Systems Controls</v>
      </c>
      <c r="H1630" s="113" t="str">
        <f>IFERROR(INDEX(Product_Structure[Generic Name (long)3],MATCH(Товары[[#This Row],[SubGroup]],Product_Structure[Subgroup],0)),"")</f>
        <v>Таймеры подачи воды</v>
      </c>
      <c r="I1630" s="36">
        <v>9031</v>
      </c>
      <c r="J1630" s="36" t="str">
        <f>IFERROR(INDEX(Product_Structure[Generic Name (long)],MATCH(Товары[[#This Row],[SubGroup]],Product_Structure[Subgroup],0)),"")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Row],[SubGroup]],DIY!$B:$C,2,FALSE),0)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3" t="str">
        <f>IFERROR(INDEX(Product_Structure[SuperCategory],MATCH(Товары[[#This Row],[SubGroup]],Product_Structure[Subgroup],0)),"")</f>
        <v>W</v>
      </c>
      <c r="D1631" s="113" t="str">
        <f>IFERROR(INDEX(Product_Structure[SuperCategory Name ENG],MATCH(Товары[[#This Row],[SubGroup]],Product_Structure[Subgroup],0)),"")</f>
        <v>Watering (mobile, sprinkler system&amp;MDS, Ponds)</v>
      </c>
      <c r="E16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1" s="113" t="str">
        <f>IFERROR(INDEX(Product_Structure[Product group],MATCH(Товары[[#This Row],[SubGroup]],Product_Structure[Subgroup],0)),"")</f>
        <v>WSC_C</v>
      </c>
      <c r="G1631" s="113" t="str">
        <f>IFERROR(INDEX(Product_Structure[Product group name ENG],MATCH(Товары[[#This Row],[SubGroup]],Product_Structure[Subgroup],0)),"")</f>
        <v>Watering Systems Controls</v>
      </c>
      <c r="H1631" s="113" t="str">
        <f>IFERROR(INDEX(Product_Structure[Generic Name (long)3],MATCH(Товары[[#This Row],[SubGroup]],Product_Structure[Subgroup],0)),"")</f>
        <v>Таймеры подачи воды</v>
      </c>
      <c r="I1631" s="36">
        <v>9031</v>
      </c>
      <c r="J1631" s="36" t="str">
        <f>IFERROR(INDEX(Product_Structure[Generic Name (long)],MATCH(Товары[[#This Row],[SubGroup]],Product_Structure[Subgroup],0)),"")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Row],[SubGroup]],DIY!$B:$C,2,FALSE),0)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3" t="str">
        <f>IFERROR(INDEX(Product_Structure[SuperCategory],MATCH(Товары[[#This Row],[SubGroup]],Product_Structure[Subgroup],0)),"")</f>
        <v>W</v>
      </c>
      <c r="D1632" s="113" t="str">
        <f>IFERROR(INDEX(Product_Structure[SuperCategory Name ENG],MATCH(Товары[[#This Row],[SubGroup]],Product_Structure[Subgroup],0)),"")</f>
        <v>Watering (mobile, sprinkler system&amp;MDS, Ponds)</v>
      </c>
      <c r="E16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2" s="113" t="str">
        <f>IFERROR(INDEX(Product_Structure[Product group],MATCH(Товары[[#This Row],[SubGroup]],Product_Structure[Subgroup],0)),"")</f>
        <v>WSS_C</v>
      </c>
      <c r="G1632" s="113" t="str">
        <f>IFERROR(INDEX(Product_Structure[Product group name ENG],MATCH(Товары[[#This Row],[SubGroup]],Product_Structure[Subgroup],0)),"")</f>
        <v>Watering Systems Sprinklersystem, MDS, SP</v>
      </c>
      <c r="H1632" s="113" t="str">
        <f>IFERROR(INDEX(Product_Structure[Generic Name (long)3],MATCH(Товары[[#This Row],[SubGroup]],Product_Structure[Subgroup],0)),"")</f>
        <v>Система микрокапельного полива</v>
      </c>
      <c r="I1632" s="36">
        <v>9033</v>
      </c>
      <c r="J1632" s="36" t="str">
        <f>IFERROR(INDEX(Product_Structure[Generic Name (long)],MATCH(Товары[[#This Row],[SubGroup]],Product_Structure[Subgroup],0)),"")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Row],[SubGroup]],DIY!$B:$C,2,FALSE),0)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3" t="str">
        <f>IFERROR(INDEX(Product_Structure[SuperCategory],MATCH(Товары[[#This Row],[SubGroup]],Product_Structure[Subgroup],0)),"")</f>
        <v>W</v>
      </c>
      <c r="D1633" s="113" t="str">
        <f>IFERROR(INDEX(Product_Structure[SuperCategory Name ENG],MATCH(Товары[[#This Row],[SubGroup]],Product_Structure[Subgroup],0)),"")</f>
        <v>Watering (mobile, sprinkler system&amp;MDS, Ponds)</v>
      </c>
      <c r="E16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3" s="113" t="str">
        <f>IFERROR(INDEX(Product_Structure[Product group],MATCH(Товары[[#This Row],[SubGroup]],Product_Structure[Subgroup],0)),"")</f>
        <v>WSS_C</v>
      </c>
      <c r="G1633" s="113" t="str">
        <f>IFERROR(INDEX(Product_Structure[Product group name ENG],MATCH(Товары[[#This Row],[SubGroup]],Product_Structure[Subgroup],0)),"")</f>
        <v>Watering Systems Sprinklersystem, MDS, SP</v>
      </c>
      <c r="H1633" s="113" t="str">
        <f>IFERROR(INDEX(Product_Structure[Generic Name (long)3],MATCH(Товары[[#This Row],[SubGroup]],Product_Structure[Subgroup],0)),"")</f>
        <v>Система микрокапельного полива</v>
      </c>
      <c r="I1633" s="36">
        <v>9033</v>
      </c>
      <c r="J1633" s="36" t="str">
        <f>IFERROR(INDEX(Product_Structure[Generic Name (long)],MATCH(Товары[[#This Row],[SubGroup]],Product_Structure[Subgroup],0)),"")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Row],[SubGroup]],DIY!$B:$C,2,FALSE),0)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3" t="str">
        <f>IFERROR(INDEX(Product_Structure[SuperCategory],MATCH(Товары[[#This Row],[SubGroup]],Product_Structure[Subgroup],0)),"")</f>
        <v>W</v>
      </c>
      <c r="D1634" s="113" t="str">
        <f>IFERROR(INDEX(Product_Structure[SuperCategory Name ENG],MATCH(Товары[[#This Row],[SubGroup]],Product_Structure[Subgroup],0)),"")</f>
        <v>Watering (mobile, sprinkler system&amp;MDS, Ponds)</v>
      </c>
      <c r="E16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4" s="113" t="str">
        <f>IFERROR(INDEX(Product_Structure[Product group],MATCH(Товары[[#This Row],[SubGroup]],Product_Structure[Subgroup],0)),"")</f>
        <v>WSS_C</v>
      </c>
      <c r="G1634" s="113" t="str">
        <f>IFERROR(INDEX(Product_Structure[Product group name ENG],MATCH(Товары[[#This Row],[SubGroup]],Product_Structure[Subgroup],0)),"")</f>
        <v>Watering Systems Sprinklersystem, MDS, SP</v>
      </c>
      <c r="H1634" s="113" t="str">
        <f>IFERROR(INDEX(Product_Structure[Generic Name (long)3],MATCH(Товары[[#This Row],[SubGroup]],Product_Structure[Subgroup],0)),"")</f>
        <v>Система микрокапельного полива</v>
      </c>
      <c r="I1634" s="36">
        <v>9033</v>
      </c>
      <c r="J1634" s="36" t="str">
        <f>IFERROR(INDEX(Product_Structure[Generic Name (long)],MATCH(Товары[[#This Row],[SubGroup]],Product_Structure[Subgroup],0)),"")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Row],[SubGroup]],DIY!$B:$C,2,FALSE),0)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3" t="str">
        <f>IFERROR(INDEX(Product_Structure[SuperCategory],MATCH(Товары[[#This Row],[SubGroup]],Product_Structure[Subgroup],0)),"")</f>
        <v>W</v>
      </c>
      <c r="D1635" s="113" t="str">
        <f>IFERROR(INDEX(Product_Structure[SuperCategory Name ENG],MATCH(Товары[[#This Row],[SubGroup]],Product_Structure[Subgroup],0)),"")</f>
        <v>Watering (mobile, sprinkler system&amp;MDS, Ponds)</v>
      </c>
      <c r="E16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5" s="113" t="str">
        <f>IFERROR(INDEX(Product_Structure[Product group],MATCH(Товары[[#This Row],[SubGroup]],Product_Structure[Subgroup],0)),"")</f>
        <v>WSS_C</v>
      </c>
      <c r="G1635" s="113" t="str">
        <f>IFERROR(INDEX(Product_Structure[Product group name ENG],MATCH(Товары[[#This Row],[SubGroup]],Product_Structure[Subgroup],0)),"")</f>
        <v>Watering Systems Sprinklersystem, MDS, SP</v>
      </c>
      <c r="H1635" s="113" t="str">
        <f>IFERROR(INDEX(Product_Structure[Generic Name (long)3],MATCH(Товары[[#This Row],[SubGroup]],Product_Structure[Subgroup],0)),"")</f>
        <v>Система микрокапельного полива</v>
      </c>
      <c r="I1635" s="36">
        <v>9033</v>
      </c>
      <c r="J1635" s="36" t="str">
        <f>IFERROR(INDEX(Product_Structure[Generic Name (long)],MATCH(Товары[[#This Row],[SubGroup]],Product_Structure[Subgroup],0)),"")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Row],[SubGroup]],DIY!$B:$C,2,FALSE),0)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3" t="str">
        <f>IFERROR(INDEX(Product_Structure[SuperCategory],MATCH(Товары[[#This Row],[SubGroup]],Product_Structure[Subgroup],0)),"")</f>
        <v>W</v>
      </c>
      <c r="D1636" s="113" t="str">
        <f>IFERROR(INDEX(Product_Structure[SuperCategory Name ENG],MATCH(Товары[[#This Row],[SubGroup]],Product_Structure[Subgroup],0)),"")</f>
        <v>Watering (mobile, sprinkler system&amp;MDS, Ponds)</v>
      </c>
      <c r="E16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6" s="113" t="str">
        <f>IFERROR(INDEX(Product_Structure[Product group],MATCH(Товары[[#This Row],[SubGroup]],Product_Structure[Subgroup],0)),"")</f>
        <v>WSS_C</v>
      </c>
      <c r="G1636" s="113" t="str">
        <f>IFERROR(INDEX(Product_Structure[Product group name ENG],MATCH(Товары[[#This Row],[SubGroup]],Product_Structure[Subgroup],0)),"")</f>
        <v>Watering Systems Sprinklersystem, MDS, SP</v>
      </c>
      <c r="H1636" s="113" t="str">
        <f>IFERROR(INDEX(Product_Structure[Generic Name (long)3],MATCH(Товары[[#This Row],[SubGroup]],Product_Structure[Subgroup],0)),"")</f>
        <v>Система микрокапельного полива</v>
      </c>
      <c r="I1636" s="36">
        <v>9033</v>
      </c>
      <c r="J1636" s="36" t="str">
        <f>IFERROR(INDEX(Product_Structure[Generic Name (long)],MATCH(Товары[[#This Row],[SubGroup]],Product_Structure[Subgroup],0)),"")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Row],[SubGroup]],DIY!$B:$C,2,FALSE),0)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3" t="str">
        <f>IFERROR(INDEX(Product_Structure[SuperCategory],MATCH(Товары[[#This Row],[SubGroup]],Product_Structure[Subgroup],0)),"")</f>
        <v>W</v>
      </c>
      <c r="D1637" s="113" t="str">
        <f>IFERROR(INDEX(Product_Structure[SuperCategory Name ENG],MATCH(Товары[[#This Row],[SubGroup]],Product_Structure[Subgroup],0)),"")</f>
        <v>Watering (mobile, sprinkler system&amp;MDS, Ponds)</v>
      </c>
      <c r="E16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7" s="113" t="str">
        <f>IFERROR(INDEX(Product_Structure[Product group],MATCH(Товары[[#This Row],[SubGroup]],Product_Structure[Subgroup],0)),"")</f>
        <v>WSS_C</v>
      </c>
      <c r="G1637" s="113" t="str">
        <f>IFERROR(INDEX(Product_Structure[Product group name ENG],MATCH(Товары[[#This Row],[SubGroup]],Product_Structure[Subgroup],0)),"")</f>
        <v>Watering Systems Sprinklersystem, MDS, SP</v>
      </c>
      <c r="H1637" s="113" t="str">
        <f>IFERROR(INDEX(Product_Structure[Generic Name (long)3],MATCH(Товары[[#This Row],[SubGroup]],Product_Structure[Subgroup],0)),"")</f>
        <v>Система микрокапельного полива</v>
      </c>
      <c r="I1637" s="36">
        <v>9033</v>
      </c>
      <c r="J1637" s="36" t="str">
        <f>IFERROR(INDEX(Product_Structure[Generic Name (long)],MATCH(Товары[[#This Row],[SubGroup]],Product_Structure[Subgroup],0)),"")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Row],[SubGroup]],DIY!$B:$C,2,FALSE),0)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3" t="str">
        <f>IFERROR(INDEX(Product_Structure[SuperCategory],MATCH(Товары[[#This Row],[SubGroup]],Product_Structure[Subgroup],0)),"")</f>
        <v>W</v>
      </c>
      <c r="D1638" s="113" t="str">
        <f>IFERROR(INDEX(Product_Structure[SuperCategory Name ENG],MATCH(Товары[[#This Row],[SubGroup]],Product_Structure[Subgroup],0)),"")</f>
        <v>Watering (mobile, sprinkler system&amp;MDS, Ponds)</v>
      </c>
      <c r="E16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8" s="113" t="str">
        <f>IFERROR(INDEX(Product_Structure[Product group],MATCH(Товары[[#This Row],[SubGroup]],Product_Structure[Subgroup],0)),"")</f>
        <v>WSS_C</v>
      </c>
      <c r="G1638" s="113" t="str">
        <f>IFERROR(INDEX(Product_Structure[Product group name ENG],MATCH(Товары[[#This Row],[SubGroup]],Product_Structure[Subgroup],0)),"")</f>
        <v>Watering Systems Sprinklersystem, MDS, SP</v>
      </c>
      <c r="H1638" s="113" t="str">
        <f>IFERROR(INDEX(Product_Structure[Generic Name (long)3],MATCH(Товары[[#This Row],[SubGroup]],Product_Structure[Subgroup],0)),"")</f>
        <v>Система микрокапельного полива</v>
      </c>
      <c r="I1638" s="36">
        <v>9033</v>
      </c>
      <c r="J1638" s="36" t="str">
        <f>IFERROR(INDEX(Product_Structure[Generic Name (long)],MATCH(Товары[[#This Row],[SubGroup]],Product_Structure[Subgroup],0)),"")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Row],[SubGroup]],DIY!$B:$C,2,FALSE),0)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3" t="str">
        <f>IFERROR(INDEX(Product_Structure[SuperCategory],MATCH(Товары[[#This Row],[SubGroup]],Product_Structure[Subgroup],0)),"")</f>
        <v>W</v>
      </c>
      <c r="D1639" s="113" t="str">
        <f>IFERROR(INDEX(Product_Structure[SuperCategory Name ENG],MATCH(Товары[[#This Row],[SubGroup]],Product_Structure[Subgroup],0)),"")</f>
        <v>Watering (mobile, sprinkler system&amp;MDS, Ponds)</v>
      </c>
      <c r="E16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39" s="113" t="str">
        <f>IFERROR(INDEX(Product_Structure[Product group],MATCH(Товары[[#This Row],[SubGroup]],Product_Structure[Subgroup],0)),"")</f>
        <v>WSS_C</v>
      </c>
      <c r="G1639" s="113" t="str">
        <f>IFERROR(INDEX(Product_Structure[Product group name ENG],MATCH(Товары[[#This Row],[SubGroup]],Product_Structure[Subgroup],0)),"")</f>
        <v>Watering Systems Sprinklersystem, MDS, SP</v>
      </c>
      <c r="H1639" s="113" t="str">
        <f>IFERROR(INDEX(Product_Structure[Generic Name (long)3],MATCH(Товары[[#This Row],[SubGroup]],Product_Structure[Subgroup],0)),"")</f>
        <v>Система микрокапельного полива</v>
      </c>
      <c r="I1639" s="36">
        <v>9033</v>
      </c>
      <c r="J1639" s="36" t="str">
        <f>IFERROR(INDEX(Product_Structure[Generic Name (long)],MATCH(Товары[[#This Row],[SubGroup]],Product_Structure[Subgroup],0)),"")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Row],[SubGroup]],DIY!$B:$C,2,FALSE),0)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3" t="str">
        <f>IFERROR(INDEX(Product_Structure[SuperCategory],MATCH(Товары[[#This Row],[SubGroup]],Product_Structure[Subgroup],0)),"")</f>
        <v>W</v>
      </c>
      <c r="D1640" s="113" t="str">
        <f>IFERROR(INDEX(Product_Structure[SuperCategory Name ENG],MATCH(Товары[[#This Row],[SubGroup]],Product_Structure[Subgroup],0)),"")</f>
        <v>Watering (mobile, sprinkler system&amp;MDS, Ponds)</v>
      </c>
      <c r="E16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0" s="113" t="str">
        <f>IFERROR(INDEX(Product_Structure[Product group],MATCH(Товары[[#This Row],[SubGroup]],Product_Structure[Subgroup],0)),"")</f>
        <v>WSS_C</v>
      </c>
      <c r="G1640" s="113" t="str">
        <f>IFERROR(INDEX(Product_Structure[Product group name ENG],MATCH(Товары[[#This Row],[SubGroup]],Product_Structure[Subgroup],0)),"")</f>
        <v>Watering Systems Sprinklersystem, MDS, SP</v>
      </c>
      <c r="H1640" s="113" t="str">
        <f>IFERROR(INDEX(Product_Structure[Generic Name (long)3],MATCH(Товары[[#This Row],[SubGroup]],Product_Structure[Subgroup],0)),"")</f>
        <v>Система микрокапельного полива</v>
      </c>
      <c r="I1640" s="36">
        <v>9033</v>
      </c>
      <c r="J1640" s="36" t="str">
        <f>IFERROR(INDEX(Product_Structure[Generic Name (long)],MATCH(Товары[[#This Row],[SubGroup]],Product_Structure[Subgroup],0)),"")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Row],[SubGroup]],DIY!$B:$C,2,FALSE),0)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3" t="str">
        <f>IFERROR(INDEX(Product_Structure[SuperCategory],MATCH(Товары[[#This Row],[SubGroup]],Product_Structure[Subgroup],0)),"")</f>
        <v>W</v>
      </c>
      <c r="D1641" s="113" t="str">
        <f>IFERROR(INDEX(Product_Structure[SuperCategory Name ENG],MATCH(Товары[[#This Row],[SubGroup]],Product_Structure[Subgroup],0)),"")</f>
        <v>Watering (mobile, sprinkler system&amp;MDS, Ponds)</v>
      </c>
      <c r="E16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1" s="113" t="str">
        <f>IFERROR(INDEX(Product_Structure[Product group],MATCH(Товары[[#This Row],[SubGroup]],Product_Structure[Subgroup],0)),"")</f>
        <v>WSS_C</v>
      </c>
      <c r="G1641" s="113" t="str">
        <f>IFERROR(INDEX(Product_Structure[Product group name ENG],MATCH(Товары[[#This Row],[SubGroup]],Product_Structure[Subgroup],0)),"")</f>
        <v>Watering Systems Sprinklersystem, MDS, SP</v>
      </c>
      <c r="H1641" s="113" t="str">
        <f>IFERROR(INDEX(Product_Structure[Generic Name (long)3],MATCH(Товары[[#This Row],[SubGroup]],Product_Structure[Subgroup],0)),"")</f>
        <v>Система микрокапельного полива</v>
      </c>
      <c r="I1641" s="36">
        <v>9033</v>
      </c>
      <c r="J1641" s="36" t="str">
        <f>IFERROR(INDEX(Product_Structure[Generic Name (long)],MATCH(Товары[[#This Row],[SubGroup]],Product_Structure[Subgroup],0)),"")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Row],[SubGroup]],DIY!$B:$C,2,FALSE),0)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3" t="str">
        <f>IFERROR(INDEX(Product_Structure[SuperCategory],MATCH(Товары[[#This Row],[SubGroup]],Product_Structure[Subgroup],0)),"")</f>
        <v>W</v>
      </c>
      <c r="D1642" s="113" t="str">
        <f>IFERROR(INDEX(Product_Structure[SuperCategory Name ENG],MATCH(Товары[[#This Row],[SubGroup]],Product_Structure[Subgroup],0)),"")</f>
        <v>Watering (mobile, sprinkler system&amp;MDS, Ponds)</v>
      </c>
      <c r="E16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2" s="113" t="str">
        <f>IFERROR(INDEX(Product_Structure[Product group],MATCH(Товары[[#This Row],[SubGroup]],Product_Structure[Subgroup],0)),"")</f>
        <v>WSS_C</v>
      </c>
      <c r="G1642" s="113" t="str">
        <f>IFERROR(INDEX(Product_Structure[Product group name ENG],MATCH(Товары[[#This Row],[SubGroup]],Product_Structure[Subgroup],0)),"")</f>
        <v>Watering Systems Sprinklersystem, MDS, SP</v>
      </c>
      <c r="H1642" s="113" t="str">
        <f>IFERROR(INDEX(Product_Structure[Generic Name (long)3],MATCH(Товары[[#This Row],[SubGroup]],Product_Structure[Subgroup],0)),"")</f>
        <v>Система микрокапельного полива</v>
      </c>
      <c r="I1642" s="36">
        <v>9033</v>
      </c>
      <c r="J1642" s="36" t="str">
        <f>IFERROR(INDEX(Product_Structure[Generic Name (long)],MATCH(Товары[[#This Row],[SubGroup]],Product_Structure[Subgroup],0)),"")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Row],[SubGroup]],DIY!$B:$C,2,FALSE),0)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3" t="str">
        <f>IFERROR(INDEX(Product_Structure[SuperCategory],MATCH(Товары[[#This Row],[SubGroup]],Product_Structure[Subgroup],0)),"")</f>
        <v>W</v>
      </c>
      <c r="D1643" s="113" t="str">
        <f>IFERROR(INDEX(Product_Structure[SuperCategory Name ENG],MATCH(Товары[[#This Row],[SubGroup]],Product_Structure[Subgroup],0)),"")</f>
        <v>Watering (mobile, sprinkler system&amp;MDS, Ponds)</v>
      </c>
      <c r="E16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3" s="113" t="str">
        <f>IFERROR(INDEX(Product_Structure[Product group],MATCH(Товары[[#This Row],[SubGroup]],Product_Structure[Subgroup],0)),"")</f>
        <v>WSS_C</v>
      </c>
      <c r="G1643" s="113" t="str">
        <f>IFERROR(INDEX(Product_Structure[Product group name ENG],MATCH(Товары[[#This Row],[SubGroup]],Product_Structure[Subgroup],0)),"")</f>
        <v>Watering Systems Sprinklersystem, MDS, SP</v>
      </c>
      <c r="H1643" s="113" t="str">
        <f>IFERROR(INDEX(Product_Structure[Generic Name (long)3],MATCH(Товары[[#This Row],[SubGroup]],Product_Structure[Subgroup],0)),"")</f>
        <v>Система микрокапельного полива</v>
      </c>
      <c r="I1643" s="36">
        <v>9033</v>
      </c>
      <c r="J1643" s="36" t="str">
        <f>IFERROR(INDEX(Product_Structure[Generic Name (long)],MATCH(Товары[[#This Row],[SubGroup]],Product_Structure[Subgroup],0)),"")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Row],[SubGroup]],DIY!$B:$C,2,FALSE),0)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3" t="str">
        <f>IFERROR(INDEX(Product_Structure[SuperCategory],MATCH(Товары[[#This Row],[SubGroup]],Product_Structure[Subgroup],0)),"")</f>
        <v>W</v>
      </c>
      <c r="D1644" s="113" t="str">
        <f>IFERROR(INDEX(Product_Structure[SuperCategory Name ENG],MATCH(Товары[[#This Row],[SubGroup]],Product_Structure[Subgroup],0)),"")</f>
        <v>Watering (mobile, sprinkler system&amp;MDS, Ponds)</v>
      </c>
      <c r="E16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4" s="113" t="str">
        <f>IFERROR(INDEX(Product_Structure[Product group],MATCH(Товары[[#This Row],[SubGroup]],Product_Structure[Subgroup],0)),"")</f>
        <v>WSS_C</v>
      </c>
      <c r="G1644" s="113" t="str">
        <f>IFERROR(INDEX(Product_Structure[Product group name ENG],MATCH(Товары[[#This Row],[SubGroup]],Product_Structure[Subgroup],0)),"")</f>
        <v>Watering Systems Sprinklersystem, MDS, SP</v>
      </c>
      <c r="H1644" s="113" t="str">
        <f>IFERROR(INDEX(Product_Structure[Generic Name (long)3],MATCH(Товары[[#This Row],[SubGroup]],Product_Structure[Subgroup],0)),"")</f>
        <v>Система микрокапельного полива</v>
      </c>
      <c r="I1644" s="36">
        <v>9033</v>
      </c>
      <c r="J1644" s="36" t="str">
        <f>IFERROR(INDEX(Product_Structure[Generic Name (long)],MATCH(Товары[[#This Row],[SubGroup]],Product_Structure[Subgroup],0)),"")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Row],[SubGroup]],DIY!$B:$C,2,FALSE),0)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3" t="str">
        <f>IFERROR(INDEX(Product_Structure[SuperCategory],MATCH(Товары[[#This Row],[SubGroup]],Product_Structure[Subgroup],0)),"")</f>
        <v>W</v>
      </c>
      <c r="D1645" s="113" t="str">
        <f>IFERROR(INDEX(Product_Structure[SuperCategory Name ENG],MATCH(Товары[[#This Row],[SubGroup]],Product_Structure[Subgroup],0)),"")</f>
        <v>Watering (mobile, sprinkler system&amp;MDS, Ponds)</v>
      </c>
      <c r="E16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5" s="113" t="str">
        <f>IFERROR(INDEX(Product_Structure[Product group],MATCH(Товары[[#This Row],[SubGroup]],Product_Structure[Subgroup],0)),"")</f>
        <v>WSC_C</v>
      </c>
      <c r="G1645" s="113" t="str">
        <f>IFERROR(INDEX(Product_Structure[Product group name ENG],MATCH(Товары[[#This Row],[SubGroup]],Product_Structure[Subgroup],0)),"")</f>
        <v>Watering Systems Controls</v>
      </c>
      <c r="H1645" s="113" t="str">
        <f>IFERROR(INDEX(Product_Structure[Generic Name (long)3],MATCH(Товары[[#This Row],[SubGroup]],Product_Structure[Subgroup],0)),"")</f>
        <v>Таймеры подачи воды</v>
      </c>
      <c r="I1645" s="36">
        <v>9031</v>
      </c>
      <c r="J1645" s="36" t="str">
        <f>IFERROR(INDEX(Product_Structure[Generic Name (long)],MATCH(Товары[[#This Row],[SubGroup]],Product_Structure[Subgroup],0)),"")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Row],[SubGroup]],DIY!$B:$C,2,FALSE),0)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3" t="str">
        <f>IFERROR(INDEX(Product_Structure[SuperCategory],MATCH(Товары[[#This Row],[SubGroup]],Product_Structure[Subgroup],0)),"")</f>
        <v>W</v>
      </c>
      <c r="D1646" s="113" t="str">
        <f>IFERROR(INDEX(Product_Structure[SuperCategory Name ENG],MATCH(Товары[[#This Row],[SubGroup]],Product_Structure[Subgroup],0)),"")</f>
        <v>Watering (mobile, sprinkler system&amp;MDS, Ponds)</v>
      </c>
      <c r="E16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6" s="113" t="str">
        <f>IFERROR(INDEX(Product_Structure[Product group],MATCH(Товары[[#This Row],[SubGroup]],Product_Structure[Subgroup],0)),"")</f>
        <v>WSC_C</v>
      </c>
      <c r="G1646" s="113" t="str">
        <f>IFERROR(INDEX(Product_Structure[Product group name ENG],MATCH(Товары[[#This Row],[SubGroup]],Product_Structure[Subgroup],0)),"")</f>
        <v>Watering Systems Controls</v>
      </c>
      <c r="H1646" s="113" t="str">
        <f>IFERROR(INDEX(Product_Structure[Generic Name (long)3],MATCH(Товары[[#This Row],[SubGroup]],Product_Structure[Subgroup],0)),"")</f>
        <v>Таймеры подачи воды</v>
      </c>
      <c r="I1646" s="36">
        <v>9031</v>
      </c>
      <c r="J1646" s="36" t="str">
        <f>IFERROR(INDEX(Product_Structure[Generic Name (long)],MATCH(Товары[[#This Row],[SubGroup]],Product_Structure[Subgroup],0)),"")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Row],[SubGroup]],DIY!$B:$C,2,FALSE),0)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3" t="str">
        <f>IFERROR(INDEX(Product_Structure[SuperCategory],MATCH(Товары[[#This Row],[SubGroup]],Product_Structure[Subgroup],0)),"")</f>
        <v>W</v>
      </c>
      <c r="D1647" s="113" t="str">
        <f>IFERROR(INDEX(Product_Structure[SuperCategory Name ENG],MATCH(Товары[[#This Row],[SubGroup]],Product_Structure[Subgroup],0)),"")</f>
        <v>Watering (mobile, sprinkler system&amp;MDS, Ponds)</v>
      </c>
      <c r="E16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7" s="113" t="str">
        <f>IFERROR(INDEX(Product_Structure[Product group],MATCH(Товары[[#This Row],[SubGroup]],Product_Structure[Subgroup],0)),"")</f>
        <v>WSC_C</v>
      </c>
      <c r="G1647" s="113" t="str">
        <f>IFERROR(INDEX(Product_Structure[Product group name ENG],MATCH(Товары[[#This Row],[SubGroup]],Product_Structure[Subgroup],0)),"")</f>
        <v>Watering Systems Controls</v>
      </c>
      <c r="H1647" s="113" t="str">
        <f>IFERROR(INDEX(Product_Structure[Generic Name (long)3],MATCH(Товары[[#This Row],[SubGroup]],Product_Structure[Subgroup],0)),"")</f>
        <v>Таймеры подачи воды</v>
      </c>
      <c r="I1647" s="36">
        <v>9031</v>
      </c>
      <c r="J1647" s="36" t="str">
        <f>IFERROR(INDEX(Product_Structure[Generic Name (long)],MATCH(Товары[[#This Row],[SubGroup]],Product_Structure[Subgroup],0)),"")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Row],[SubGroup]],DIY!$B:$C,2,FALSE),0)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3" t="str">
        <f>IFERROR(INDEX(Product_Structure[SuperCategory],MATCH(Товары[[#This Row],[SubGroup]],Product_Structure[Subgroup],0)),"")</f>
        <v>W</v>
      </c>
      <c r="D1648" s="113" t="str">
        <f>IFERROR(INDEX(Product_Structure[SuperCategory Name ENG],MATCH(Товары[[#This Row],[SubGroup]],Product_Structure[Subgroup],0)),"")</f>
        <v>Watering (mobile, sprinkler system&amp;MDS, Ponds)</v>
      </c>
      <c r="E16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8" s="113" t="str">
        <f>IFERROR(INDEX(Product_Structure[Product group],MATCH(Товары[[#This Row],[SubGroup]],Product_Structure[Subgroup],0)),"")</f>
        <v>WSC_C</v>
      </c>
      <c r="G1648" s="113" t="str">
        <f>IFERROR(INDEX(Product_Structure[Product group name ENG],MATCH(Товары[[#This Row],[SubGroup]],Product_Structure[Subgroup],0)),"")</f>
        <v>Watering Systems Controls</v>
      </c>
      <c r="H1648" s="113" t="str">
        <f>IFERROR(INDEX(Product_Structure[Generic Name (long)3],MATCH(Товары[[#This Row],[SubGroup]],Product_Structure[Subgroup],0)),"")</f>
        <v>Таймеры подачи воды</v>
      </c>
      <c r="I1648" s="36">
        <v>9031</v>
      </c>
      <c r="J1648" s="36" t="str">
        <f>IFERROR(INDEX(Product_Structure[Generic Name (long)],MATCH(Товары[[#This Row],[SubGroup]],Product_Structure[Subgroup],0)),"")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Row],[SubGroup]],DIY!$B:$C,2,FALSE),0)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3" t="str">
        <f>IFERROR(INDEX(Product_Structure[SuperCategory],MATCH(Товары[[#This Row],[SubGroup]],Product_Structure[Subgroup],0)),"")</f>
        <v>W</v>
      </c>
      <c r="D1649" s="113" t="str">
        <f>IFERROR(INDEX(Product_Structure[SuperCategory Name ENG],MATCH(Товары[[#This Row],[SubGroup]],Product_Structure[Subgroup],0)),"")</f>
        <v>Watering (mobile, sprinkler system&amp;MDS, Ponds)</v>
      </c>
      <c r="E16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49" s="113" t="str">
        <f>IFERROR(INDEX(Product_Structure[Product group],MATCH(Товары[[#This Row],[SubGroup]],Product_Structure[Subgroup],0)),"")</f>
        <v>WSC_C</v>
      </c>
      <c r="G1649" s="113" t="str">
        <f>IFERROR(INDEX(Product_Structure[Product group name ENG],MATCH(Товары[[#This Row],[SubGroup]],Product_Structure[Subgroup],0)),"")</f>
        <v>Watering Systems Controls</v>
      </c>
      <c r="H1649" s="113" t="str">
        <f>IFERROR(INDEX(Product_Structure[Generic Name (long)3],MATCH(Товары[[#This Row],[SubGroup]],Product_Structure[Subgroup],0)),"")</f>
        <v>Таймеры подачи воды</v>
      </c>
      <c r="I1649" s="36">
        <v>9031</v>
      </c>
      <c r="J1649" s="36" t="str">
        <f>IFERROR(INDEX(Product_Structure[Generic Name (long)],MATCH(Товары[[#This Row],[SubGroup]],Product_Structure[Subgroup],0)),"")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Row],[SubGroup]],DIY!$B:$C,2,FALSE),0)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3" t="str">
        <f>IFERROR(INDEX(Product_Structure[SuperCategory],MATCH(Товары[[#This Row],[SubGroup]],Product_Structure[Subgroup],0)),"")</f>
        <v>W</v>
      </c>
      <c r="D1650" s="113" t="str">
        <f>IFERROR(INDEX(Product_Structure[SuperCategory Name ENG],MATCH(Товары[[#This Row],[SubGroup]],Product_Structure[Subgroup],0)),"")</f>
        <v>Watering (mobile, sprinkler system&amp;MDS, Ponds)</v>
      </c>
      <c r="E16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0" s="113" t="str">
        <f>IFERROR(INDEX(Product_Structure[Product group],MATCH(Товары[[#This Row],[SubGroup]],Product_Structure[Subgroup],0)),"")</f>
        <v>WSC_C</v>
      </c>
      <c r="G1650" s="113" t="str">
        <f>IFERROR(INDEX(Product_Structure[Product group name ENG],MATCH(Товары[[#This Row],[SubGroup]],Product_Structure[Subgroup],0)),"")</f>
        <v>Watering Systems Controls</v>
      </c>
      <c r="H1650" s="113" t="str">
        <f>IFERROR(INDEX(Product_Structure[Generic Name (long)3],MATCH(Товары[[#This Row],[SubGroup]],Product_Structure[Subgroup],0)),"")</f>
        <v>Таймеры подачи воды</v>
      </c>
      <c r="I1650" s="36">
        <v>9031</v>
      </c>
      <c r="J1650" s="36" t="str">
        <f>IFERROR(INDEX(Product_Structure[Generic Name (long)],MATCH(Товары[[#This Row],[SubGroup]],Product_Structure[Subgroup],0)),"")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Row],[SubGroup]],DIY!$B:$C,2,FALSE),0)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3" t="str">
        <f>IFERROR(INDEX(Product_Structure[SuperCategory],MATCH(Товары[[#This Row],[SubGroup]],Product_Structure[Subgroup],0)),"")</f>
        <v>W</v>
      </c>
      <c r="D1651" s="113" t="str">
        <f>IFERROR(INDEX(Product_Structure[SuperCategory Name ENG],MATCH(Товары[[#This Row],[SubGroup]],Product_Structure[Subgroup],0)),"")</f>
        <v>Watering (mobile, sprinkler system&amp;MDS, Ponds)</v>
      </c>
      <c r="E16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1" s="113" t="str">
        <f>IFERROR(INDEX(Product_Structure[Product group],MATCH(Товары[[#This Row],[SubGroup]],Product_Structure[Subgroup],0)),"")</f>
        <v>WSC_C</v>
      </c>
      <c r="G1651" s="113" t="str">
        <f>IFERROR(INDEX(Product_Structure[Product group name ENG],MATCH(Товары[[#This Row],[SubGroup]],Product_Structure[Subgroup],0)),"")</f>
        <v>Watering Systems Controls</v>
      </c>
      <c r="H1651" s="113" t="str">
        <f>IFERROR(INDEX(Product_Structure[Generic Name (long)3],MATCH(Товары[[#This Row],[SubGroup]],Product_Structure[Subgroup],0)),"")</f>
        <v>Таймеры подачи воды</v>
      </c>
      <c r="I1651" s="36">
        <v>9031</v>
      </c>
      <c r="J1651" s="36" t="str">
        <f>IFERROR(INDEX(Product_Structure[Generic Name (long)],MATCH(Товары[[#This Row],[SubGroup]],Product_Structure[Subgroup],0)),"")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Row],[SubGroup]],DIY!$B:$C,2,FALSE),0)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3" t="str">
        <f>IFERROR(INDEX(Product_Structure[SuperCategory],MATCH(Товары[[#This Row],[SubGroup]],Product_Structure[Subgroup],0)),"")</f>
        <v>W</v>
      </c>
      <c r="D1652" s="113" t="str">
        <f>IFERROR(INDEX(Product_Structure[SuperCategory Name ENG],MATCH(Товары[[#This Row],[SubGroup]],Product_Structure[Subgroup],0)),"")</f>
        <v>Watering (mobile, sprinkler system&amp;MDS, Ponds)</v>
      </c>
      <c r="E16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2" s="113" t="str">
        <f>IFERROR(INDEX(Product_Structure[Product group],MATCH(Товары[[#This Row],[SubGroup]],Product_Structure[Subgroup],0)),"")</f>
        <v>WSS_C</v>
      </c>
      <c r="G1652" s="113" t="str">
        <f>IFERROR(INDEX(Product_Structure[Product group name ENG],MATCH(Товары[[#This Row],[SubGroup]],Product_Structure[Subgroup],0)),"")</f>
        <v>Watering Systems Sprinklersystem, MDS, SP</v>
      </c>
      <c r="H1652" s="113" t="str">
        <f>IFERROR(INDEX(Product_Structure[Generic Name (long)3],MATCH(Товары[[#This Row],[SubGroup]],Product_Structure[Subgroup],0)),"")</f>
        <v>Система подземного полива</v>
      </c>
      <c r="I1652" s="36">
        <v>9032</v>
      </c>
      <c r="J1652" s="36" t="str">
        <f>IFERROR(INDEX(Product_Structure[Generic Name (long)],MATCH(Товары[[#This Row],[SubGroup]],Product_Structure[Subgroup],0)),"")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Row],[SubGroup]],DIY!$B:$C,2,FALSE),0)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3" t="str">
        <f>IFERROR(INDEX(Product_Structure[SuperCategory],MATCH(Товары[[#This Row],[SubGroup]],Product_Structure[Subgroup],0)),"")</f>
        <v>W</v>
      </c>
      <c r="D1653" s="113" t="str">
        <f>IFERROR(INDEX(Product_Structure[SuperCategory Name ENG],MATCH(Товары[[#This Row],[SubGroup]],Product_Structure[Subgroup],0)),"")</f>
        <v>Watering (mobile, sprinkler system&amp;MDS, Ponds)</v>
      </c>
      <c r="E16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3" s="113" t="str">
        <f>IFERROR(INDEX(Product_Structure[Product group],MATCH(Товары[[#This Row],[SubGroup]],Product_Structure[Subgroup],0)),"")</f>
        <v>WSS_C</v>
      </c>
      <c r="G1653" s="113" t="str">
        <f>IFERROR(INDEX(Product_Structure[Product group name ENG],MATCH(Товары[[#This Row],[SubGroup]],Product_Structure[Subgroup],0)),"")</f>
        <v>Watering Systems Sprinklersystem, MDS, SP</v>
      </c>
      <c r="H1653" s="113" t="str">
        <f>IFERROR(INDEX(Product_Structure[Generic Name (long)3],MATCH(Товары[[#This Row],[SubGroup]],Product_Structure[Subgroup],0)),"")</f>
        <v>Система подземного полива</v>
      </c>
      <c r="I1653" s="36">
        <v>9032</v>
      </c>
      <c r="J1653" s="36" t="str">
        <f>IFERROR(INDEX(Product_Structure[Generic Name (long)],MATCH(Товары[[#This Row],[SubGroup]],Product_Structure[Subgroup],0)),"")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Row],[SubGroup]],DIY!$B:$C,2,FALSE),0)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3" t="str">
        <f>IFERROR(INDEX(Product_Structure[SuperCategory],MATCH(Товары[[#This Row],[SubGroup]],Product_Structure[Subgroup],0)),"")</f>
        <v>W</v>
      </c>
      <c r="D1654" s="113" t="str">
        <f>IFERROR(INDEX(Product_Structure[SuperCategory Name ENG],MATCH(Товары[[#This Row],[SubGroup]],Product_Structure[Subgroup],0)),"")</f>
        <v>Watering (mobile, sprinkler system&amp;MDS, Ponds)</v>
      </c>
      <c r="E16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4" s="113" t="str">
        <f>IFERROR(INDEX(Product_Structure[Product group],MATCH(Товары[[#This Row],[SubGroup]],Product_Structure[Subgroup],0)),"")</f>
        <v>WSS_C</v>
      </c>
      <c r="G1654" s="113" t="str">
        <f>IFERROR(INDEX(Product_Structure[Product group name ENG],MATCH(Товары[[#This Row],[SubGroup]],Product_Structure[Subgroup],0)),"")</f>
        <v>Watering Systems Sprinklersystem, MDS, SP</v>
      </c>
      <c r="H1654" s="113" t="str">
        <f>IFERROR(INDEX(Product_Structure[Generic Name (long)3],MATCH(Товары[[#This Row],[SubGroup]],Product_Structure[Subgroup],0)),"")</f>
        <v>Система подземного полива</v>
      </c>
      <c r="I1654" s="36">
        <v>9032</v>
      </c>
      <c r="J1654" s="36" t="str">
        <f>IFERROR(INDEX(Product_Structure[Generic Name (long)],MATCH(Товары[[#This Row],[SubGroup]],Product_Structure[Subgroup],0)),"")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Row],[SubGroup]],DIY!$B:$C,2,FALSE),0)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3" t="str">
        <f>IFERROR(INDEX(Product_Structure[SuperCategory],MATCH(Товары[[#This Row],[SubGroup]],Product_Structure[Subgroup],0)),"")</f>
        <v>W</v>
      </c>
      <c r="D1655" s="113" t="str">
        <f>IFERROR(INDEX(Product_Structure[SuperCategory Name ENG],MATCH(Товары[[#This Row],[SubGroup]],Product_Structure[Subgroup],0)),"")</f>
        <v>Watering (mobile, sprinkler system&amp;MDS, Ponds)</v>
      </c>
      <c r="E16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5" s="113" t="str">
        <f>IFERROR(INDEX(Product_Structure[Product group],MATCH(Товары[[#This Row],[SubGroup]],Product_Structure[Subgroup],0)),"")</f>
        <v>WSS_C</v>
      </c>
      <c r="G1655" s="113" t="str">
        <f>IFERROR(INDEX(Product_Structure[Product group name ENG],MATCH(Товары[[#This Row],[SubGroup]],Product_Structure[Subgroup],0)),"")</f>
        <v>Watering Systems Sprinklersystem, MDS, SP</v>
      </c>
      <c r="H1655" s="113" t="str">
        <f>IFERROR(INDEX(Product_Structure[Generic Name (long)3],MATCH(Товары[[#This Row],[SubGroup]],Product_Structure[Subgroup],0)),"")</f>
        <v>Система подземного полива</v>
      </c>
      <c r="I1655" s="36">
        <v>9032</v>
      </c>
      <c r="J1655" s="36" t="str">
        <f>IFERROR(INDEX(Product_Structure[Generic Name (long)],MATCH(Товары[[#This Row],[SubGroup]],Product_Structure[Subgroup],0)),"")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Row],[SubGroup]],DIY!$B:$C,2,FALSE),0)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3" t="str">
        <f>IFERROR(INDEX(Product_Structure[SuperCategory],MATCH(Товары[[#This Row],[SubGroup]],Product_Structure[Subgroup],0)),"")</f>
        <v>W</v>
      </c>
      <c r="D1656" s="113" t="str">
        <f>IFERROR(INDEX(Product_Structure[SuperCategory Name ENG],MATCH(Товары[[#This Row],[SubGroup]],Product_Structure[Subgroup],0)),"")</f>
        <v>Watering (mobile, sprinkler system&amp;MDS, Ponds)</v>
      </c>
      <c r="E16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6" s="113" t="str">
        <f>IFERROR(INDEX(Product_Structure[Product group],MATCH(Товары[[#This Row],[SubGroup]],Product_Structure[Subgroup],0)),"")</f>
        <v>WSS_C</v>
      </c>
      <c r="G1656" s="113" t="str">
        <f>IFERROR(INDEX(Product_Structure[Product group name ENG],MATCH(Товары[[#This Row],[SubGroup]],Product_Structure[Subgroup],0)),"")</f>
        <v>Watering Systems Sprinklersystem, MDS, SP</v>
      </c>
      <c r="H1656" s="113" t="str">
        <f>IFERROR(INDEX(Product_Structure[Generic Name (long)3],MATCH(Товары[[#This Row],[SubGroup]],Product_Structure[Subgroup],0)),"")</f>
        <v>Система подземного полива</v>
      </c>
      <c r="I1656" s="36">
        <v>9032</v>
      </c>
      <c r="J1656" s="36" t="str">
        <f>IFERROR(INDEX(Product_Structure[Generic Name (long)],MATCH(Товары[[#This Row],[SubGroup]],Product_Structure[Subgroup],0)),"")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Row],[SubGroup]],DIY!$B:$C,2,FALSE),0)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3" t="str">
        <f>IFERROR(INDEX(Product_Structure[SuperCategory],MATCH(Товары[[#This Row],[SubGroup]],Product_Structure[Subgroup],0)),"")</f>
        <v>W</v>
      </c>
      <c r="D1657" s="113" t="str">
        <f>IFERROR(INDEX(Product_Structure[SuperCategory Name ENG],MATCH(Товары[[#This Row],[SubGroup]],Product_Structure[Subgroup],0)),"")</f>
        <v>Watering (mobile, sprinkler system&amp;MDS, Ponds)</v>
      </c>
      <c r="E16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7" s="113" t="str">
        <f>IFERROR(INDEX(Product_Structure[Product group],MATCH(Товары[[#This Row],[SubGroup]],Product_Structure[Subgroup],0)),"")</f>
        <v>WSS_C</v>
      </c>
      <c r="G1657" s="113" t="str">
        <f>IFERROR(INDEX(Product_Structure[Product group name ENG],MATCH(Товары[[#This Row],[SubGroup]],Product_Structure[Subgroup],0)),"")</f>
        <v>Watering Systems Sprinklersystem, MDS, SP</v>
      </c>
      <c r="H1657" s="113" t="str">
        <f>IFERROR(INDEX(Product_Structure[Generic Name (long)3],MATCH(Товары[[#This Row],[SubGroup]],Product_Structure[Subgroup],0)),"")</f>
        <v>Система подземного полива</v>
      </c>
      <c r="I1657" s="36">
        <v>9032</v>
      </c>
      <c r="J1657" s="36" t="str">
        <f>IFERROR(INDEX(Product_Structure[Generic Name (long)],MATCH(Товары[[#This Row],[SubGroup]],Product_Structure[Subgroup],0)),"")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Row],[SubGroup]],DIY!$B:$C,2,FALSE),0)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3" t="str">
        <f>IFERROR(INDEX(Product_Structure[SuperCategory],MATCH(Товары[[#This Row],[SubGroup]],Product_Structure[Subgroup],0)),"")</f>
        <v>W</v>
      </c>
      <c r="D1658" s="113" t="str">
        <f>IFERROR(INDEX(Product_Structure[SuperCategory Name ENG],MATCH(Товары[[#This Row],[SubGroup]],Product_Structure[Subgroup],0)),"")</f>
        <v>Watering (mobile, sprinkler system&amp;MDS, Ponds)</v>
      </c>
      <c r="E16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8" s="113" t="str">
        <f>IFERROR(INDEX(Product_Structure[Product group],MATCH(Товары[[#This Row],[SubGroup]],Product_Structure[Subgroup],0)),"")</f>
        <v>WSS_C</v>
      </c>
      <c r="G1658" s="113" t="str">
        <f>IFERROR(INDEX(Product_Structure[Product group name ENG],MATCH(Товары[[#This Row],[SubGroup]],Product_Structure[Subgroup],0)),"")</f>
        <v>Watering Systems Sprinklersystem, MDS, SP</v>
      </c>
      <c r="H1658" s="113" t="str">
        <f>IFERROR(INDEX(Product_Structure[Generic Name (long)3],MATCH(Товары[[#This Row],[SubGroup]],Product_Structure[Subgroup],0)),"")</f>
        <v>Система подземного полива</v>
      </c>
      <c r="I1658" s="36">
        <v>9032</v>
      </c>
      <c r="J1658" s="36" t="str">
        <f>IFERROR(INDEX(Product_Structure[Generic Name (long)],MATCH(Товары[[#This Row],[SubGroup]],Product_Structure[Subgroup],0)),"")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Row],[SubGroup]],DIY!$B:$C,2,FALSE),0)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3" t="str">
        <f>IFERROR(INDEX(Product_Structure[SuperCategory],MATCH(Товары[[#This Row],[SubGroup]],Product_Structure[Subgroup],0)),"")</f>
        <v>W</v>
      </c>
      <c r="D1659" s="113" t="str">
        <f>IFERROR(INDEX(Product_Structure[SuperCategory Name ENG],MATCH(Товары[[#This Row],[SubGroup]],Product_Structure[Subgroup],0)),"")</f>
        <v>Watering (mobile, sprinkler system&amp;MDS, Ponds)</v>
      </c>
      <c r="E16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59" s="113" t="str">
        <f>IFERROR(INDEX(Product_Structure[Product group],MATCH(Товары[[#This Row],[SubGroup]],Product_Structure[Subgroup],0)),"")</f>
        <v>WSS_C</v>
      </c>
      <c r="G1659" s="113" t="str">
        <f>IFERROR(INDEX(Product_Structure[Product group name ENG],MATCH(Товары[[#This Row],[SubGroup]],Product_Structure[Subgroup],0)),"")</f>
        <v>Watering Systems Sprinklersystem, MDS, SP</v>
      </c>
      <c r="H1659" s="113" t="str">
        <f>IFERROR(INDEX(Product_Structure[Generic Name (long)3],MATCH(Товары[[#This Row],[SubGroup]],Product_Structure[Subgroup],0)),"")</f>
        <v>Система подземного полива</v>
      </c>
      <c r="I1659" s="36">
        <v>9032</v>
      </c>
      <c r="J1659" s="36" t="str">
        <f>IFERROR(INDEX(Product_Structure[Generic Name (long)],MATCH(Товары[[#This Row],[SubGroup]],Product_Structure[Subgroup],0)),"")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Row],[SubGroup]],DIY!$B:$C,2,FALSE),0)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3" t="str">
        <f>IFERROR(INDEX(Product_Structure[SuperCategory],MATCH(Товары[[#This Row],[SubGroup]],Product_Structure[Subgroup],0)),"")</f>
        <v>W</v>
      </c>
      <c r="D1660" s="113" t="str">
        <f>IFERROR(INDEX(Product_Structure[SuperCategory Name ENG],MATCH(Товары[[#This Row],[SubGroup]],Product_Structure[Subgroup],0)),"")</f>
        <v>Watering (mobile, sprinkler system&amp;MDS, Ponds)</v>
      </c>
      <c r="E16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0" s="113" t="str">
        <f>IFERROR(INDEX(Product_Structure[Product group],MATCH(Товары[[#This Row],[SubGroup]],Product_Structure[Subgroup],0)),"")</f>
        <v>WSS_C</v>
      </c>
      <c r="G1660" s="113" t="str">
        <f>IFERROR(INDEX(Product_Structure[Product group name ENG],MATCH(Товары[[#This Row],[SubGroup]],Product_Structure[Subgroup],0)),"")</f>
        <v>Watering Systems Sprinklersystem, MDS, SP</v>
      </c>
      <c r="H1660" s="113" t="str">
        <f>IFERROR(INDEX(Product_Structure[Generic Name (long)3],MATCH(Товары[[#This Row],[SubGroup]],Product_Structure[Subgroup],0)),"")</f>
        <v>Система подземного полива</v>
      </c>
      <c r="I1660" s="36">
        <v>9032</v>
      </c>
      <c r="J1660" s="36" t="str">
        <f>IFERROR(INDEX(Product_Structure[Generic Name (long)],MATCH(Товары[[#This Row],[SubGroup]],Product_Structure[Subgroup],0)),"")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Row],[SubGroup]],DIY!$B:$C,2,FALSE),0)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3" t="str">
        <f>IFERROR(INDEX(Product_Structure[SuperCategory],MATCH(Товары[[#This Row],[SubGroup]],Product_Structure[Subgroup],0)),"")</f>
        <v>W</v>
      </c>
      <c r="D1661" s="113" t="str">
        <f>IFERROR(INDEX(Product_Structure[SuperCategory Name ENG],MATCH(Товары[[#This Row],[SubGroup]],Product_Structure[Subgroup],0)),"")</f>
        <v>Watering (mobile, sprinkler system&amp;MDS, Ponds)</v>
      </c>
      <c r="E16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1" s="113" t="str">
        <f>IFERROR(INDEX(Product_Structure[Product group],MATCH(Товары[[#This Row],[SubGroup]],Product_Structure[Subgroup],0)),"")</f>
        <v>WSS_C</v>
      </c>
      <c r="G1661" s="113" t="str">
        <f>IFERROR(INDEX(Product_Structure[Product group name ENG],MATCH(Товары[[#This Row],[SubGroup]],Product_Structure[Subgroup],0)),"")</f>
        <v>Watering Systems Sprinklersystem, MDS, SP</v>
      </c>
      <c r="H1661" s="113" t="str">
        <f>IFERROR(INDEX(Product_Structure[Generic Name (long)3],MATCH(Товары[[#This Row],[SubGroup]],Product_Structure[Subgroup],0)),"")</f>
        <v>Система подземного полива</v>
      </c>
      <c r="I1661" s="36">
        <v>9032</v>
      </c>
      <c r="J1661" s="36" t="str">
        <f>IFERROR(INDEX(Product_Structure[Generic Name (long)],MATCH(Товары[[#This Row],[SubGroup]],Product_Structure[Subgroup],0)),"")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Row],[SubGroup]],DIY!$B:$C,2,FALSE),0)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3" t="str">
        <f>IFERROR(INDEX(Product_Structure[SuperCategory],MATCH(Товары[[#This Row],[SubGroup]],Product_Structure[Subgroup],0)),"")</f>
        <v>W</v>
      </c>
      <c r="D1662" s="113" t="str">
        <f>IFERROR(INDEX(Product_Structure[SuperCategory Name ENG],MATCH(Товары[[#This Row],[SubGroup]],Product_Structure[Subgroup],0)),"")</f>
        <v>Watering (mobile, sprinkler system&amp;MDS, Ponds)</v>
      </c>
      <c r="E16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2" s="113" t="str">
        <f>IFERROR(INDEX(Product_Structure[Product group],MATCH(Товары[[#This Row],[SubGroup]],Product_Structure[Subgroup],0)),"")</f>
        <v>WSS_C</v>
      </c>
      <c r="G1662" s="113" t="str">
        <f>IFERROR(INDEX(Product_Structure[Product group name ENG],MATCH(Товары[[#This Row],[SubGroup]],Product_Structure[Subgroup],0)),"")</f>
        <v>Watering Systems Sprinklersystem, MDS, SP</v>
      </c>
      <c r="H1662" s="113" t="str">
        <f>IFERROR(INDEX(Product_Structure[Generic Name (long)3],MATCH(Товары[[#This Row],[SubGroup]],Product_Structure[Subgroup],0)),"")</f>
        <v>Система микрокапельного полива</v>
      </c>
      <c r="I1662" s="36">
        <v>9033</v>
      </c>
      <c r="J1662" s="36" t="str">
        <f>IFERROR(INDEX(Product_Structure[Generic Name (long)],MATCH(Товары[[#This Row],[SubGroup]],Product_Structure[Subgroup],0)),"")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Row],[SubGroup]],DIY!$B:$C,2,FALSE),0)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3" t="str">
        <f>IFERROR(INDEX(Product_Structure[SuperCategory],MATCH(Товары[[#This Row],[SubGroup]],Product_Structure[Subgroup],0)),"")</f>
        <v>W</v>
      </c>
      <c r="D1663" s="113" t="str">
        <f>IFERROR(INDEX(Product_Structure[SuperCategory Name ENG],MATCH(Товары[[#This Row],[SubGroup]],Product_Structure[Subgroup],0)),"")</f>
        <v>Watering (mobile, sprinkler system&amp;MDS, Ponds)</v>
      </c>
      <c r="E16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3" s="113" t="str">
        <f>IFERROR(INDEX(Product_Structure[Product group],MATCH(Товары[[#This Row],[SubGroup]],Product_Structure[Subgroup],0)),"")</f>
        <v>WSS_C</v>
      </c>
      <c r="G1663" s="113" t="str">
        <f>IFERROR(INDEX(Product_Structure[Product group name ENG],MATCH(Товары[[#This Row],[SubGroup]],Product_Structure[Subgroup],0)),"")</f>
        <v>Watering Systems Sprinklersystem, MDS, SP</v>
      </c>
      <c r="H1663" s="113" t="str">
        <f>IFERROR(INDEX(Product_Structure[Generic Name (long)3],MATCH(Товары[[#This Row],[SubGroup]],Product_Structure[Subgroup],0)),"")</f>
        <v>Система микрокапельного полива</v>
      </c>
      <c r="I1663" s="36">
        <v>9033</v>
      </c>
      <c r="J1663" s="36" t="str">
        <f>IFERROR(INDEX(Product_Structure[Generic Name (long)],MATCH(Товары[[#This Row],[SubGroup]],Product_Structure[Subgroup],0)),"")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Row],[SubGroup]],DIY!$B:$C,2,FALSE),0)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3" t="str">
        <f>IFERROR(INDEX(Product_Structure[SuperCategory],MATCH(Товары[[#This Row],[SubGroup]],Product_Structure[Subgroup],0)),"")</f>
        <v>W</v>
      </c>
      <c r="D1664" s="113" t="str">
        <f>IFERROR(INDEX(Product_Structure[SuperCategory Name ENG],MATCH(Товары[[#This Row],[SubGroup]],Product_Structure[Subgroup],0)),"")</f>
        <v>Watering (mobile, sprinkler system&amp;MDS, Ponds)</v>
      </c>
      <c r="E16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4" s="113" t="str">
        <f>IFERROR(INDEX(Product_Structure[Product group],MATCH(Товары[[#This Row],[SubGroup]],Product_Structure[Subgroup],0)),"")</f>
        <v>WSS_C</v>
      </c>
      <c r="G1664" s="113" t="str">
        <f>IFERROR(INDEX(Product_Structure[Product group name ENG],MATCH(Товары[[#This Row],[SubGroup]],Product_Structure[Subgroup],0)),"")</f>
        <v>Watering Systems Sprinklersystem, MDS, SP</v>
      </c>
      <c r="H1664" s="113" t="str">
        <f>IFERROR(INDEX(Product_Structure[Generic Name (long)3],MATCH(Товары[[#This Row],[SubGroup]],Product_Structure[Subgroup],0)),"")</f>
        <v>Система микрокапельного полива</v>
      </c>
      <c r="I1664" s="36">
        <v>9033</v>
      </c>
      <c r="J1664" s="36" t="str">
        <f>IFERROR(INDEX(Product_Structure[Generic Name (long)],MATCH(Товары[[#This Row],[SubGroup]],Product_Structure[Subgroup],0)),"")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Row],[SubGroup]],DIY!$B:$C,2,FALSE),0)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3" t="str">
        <f>IFERROR(INDEX(Product_Structure[SuperCategory],MATCH(Товары[[#This Row],[SubGroup]],Product_Structure[Subgroup],0)),"")</f>
        <v>W</v>
      </c>
      <c r="D1665" s="113" t="str">
        <f>IFERROR(INDEX(Product_Structure[SuperCategory Name ENG],MATCH(Товары[[#This Row],[SubGroup]],Product_Structure[Subgroup],0)),"")</f>
        <v>Watering (mobile, sprinkler system&amp;MDS, Ponds)</v>
      </c>
      <c r="E16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5" s="113" t="str">
        <f>IFERROR(INDEX(Product_Structure[Product group],MATCH(Товары[[#This Row],[SubGroup]],Product_Structure[Subgroup],0)),"")</f>
        <v>WSS_C</v>
      </c>
      <c r="G1665" s="113" t="str">
        <f>IFERROR(INDEX(Product_Structure[Product group name ENG],MATCH(Товары[[#This Row],[SubGroup]],Product_Structure[Subgroup],0)),"")</f>
        <v>Watering Systems Sprinklersystem, MDS, SP</v>
      </c>
      <c r="H1665" s="113" t="str">
        <f>IFERROR(INDEX(Product_Structure[Generic Name (long)3],MATCH(Товары[[#This Row],[SubGroup]],Product_Structure[Subgroup],0)),"")</f>
        <v>Система микрокапельного полива</v>
      </c>
      <c r="I1665" s="36">
        <v>9033</v>
      </c>
      <c r="J1665" s="36" t="str">
        <f>IFERROR(INDEX(Product_Structure[Generic Name (long)],MATCH(Товары[[#This Row],[SubGroup]],Product_Structure[Subgroup],0)),"")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Row],[SubGroup]],DIY!$B:$C,2,FALSE),0)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3" t="str">
        <f>IFERROR(INDEX(Product_Structure[SuperCategory],MATCH(Товары[[#This Row],[SubGroup]],Product_Structure[Subgroup],0)),"")</f>
        <v>W</v>
      </c>
      <c r="D1666" s="113" t="str">
        <f>IFERROR(INDEX(Product_Structure[SuperCategory Name ENG],MATCH(Товары[[#This Row],[SubGroup]],Product_Structure[Subgroup],0)),"")</f>
        <v>Watering (mobile, sprinkler system&amp;MDS, Ponds)</v>
      </c>
      <c r="E16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6" s="113" t="str">
        <f>IFERROR(INDEX(Product_Structure[Product group],MATCH(Товары[[#This Row],[SubGroup]],Product_Structure[Subgroup],0)),"")</f>
        <v>WSS_C</v>
      </c>
      <c r="G1666" s="113" t="str">
        <f>IFERROR(INDEX(Product_Structure[Product group name ENG],MATCH(Товары[[#This Row],[SubGroup]],Product_Structure[Subgroup],0)),"")</f>
        <v>Watering Systems Sprinklersystem, MDS, SP</v>
      </c>
      <c r="H1666" s="113" t="str">
        <f>IFERROR(INDEX(Product_Structure[Generic Name (long)3],MATCH(Товары[[#This Row],[SubGroup]],Product_Structure[Subgroup],0)),"")</f>
        <v>Система микрокапельного полива</v>
      </c>
      <c r="I1666" s="36">
        <v>9033</v>
      </c>
      <c r="J1666" s="36" t="str">
        <f>IFERROR(INDEX(Product_Structure[Generic Name (long)],MATCH(Товары[[#This Row],[SubGroup]],Product_Structure[Subgroup],0)),"")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Row],[SubGroup]],DIY!$B:$C,2,FALSE),0)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3" t="str">
        <f>IFERROR(INDEX(Product_Structure[SuperCategory],MATCH(Товары[[#This Row],[SubGroup]],Product_Structure[Subgroup],0)),"")</f>
        <v>W</v>
      </c>
      <c r="D1667" s="113" t="str">
        <f>IFERROR(INDEX(Product_Structure[SuperCategory Name ENG],MATCH(Товары[[#This Row],[SubGroup]],Product_Structure[Subgroup],0)),"")</f>
        <v>Watering (mobile, sprinkler system&amp;MDS, Ponds)</v>
      </c>
      <c r="E16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7" s="113" t="str">
        <f>IFERROR(INDEX(Product_Structure[Product group],MATCH(Товары[[#This Row],[SubGroup]],Product_Structure[Subgroup],0)),"")</f>
        <v>WSS_C</v>
      </c>
      <c r="G1667" s="113" t="str">
        <f>IFERROR(INDEX(Product_Structure[Product group name ENG],MATCH(Товары[[#This Row],[SubGroup]],Product_Structure[Subgroup],0)),"")</f>
        <v>Watering Systems Sprinklersystem, MDS, SP</v>
      </c>
      <c r="H1667" s="113" t="str">
        <f>IFERROR(INDEX(Product_Structure[Generic Name (long)3],MATCH(Товары[[#This Row],[SubGroup]],Product_Structure[Subgroup],0)),"")</f>
        <v>Система микрокапельного полива</v>
      </c>
      <c r="I1667" s="36">
        <v>9033</v>
      </c>
      <c r="J1667" s="36" t="str">
        <f>IFERROR(INDEX(Product_Structure[Generic Name (long)],MATCH(Товары[[#This Row],[SubGroup]],Product_Structure[Subgroup],0)),"")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Row],[SubGroup]],DIY!$B:$C,2,FALSE),0)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3" t="str">
        <f>IFERROR(INDEX(Product_Structure[SuperCategory],MATCH(Товары[[#This Row],[SubGroup]],Product_Structure[Subgroup],0)),"")</f>
        <v>W</v>
      </c>
      <c r="D1668" s="113" t="str">
        <f>IFERROR(INDEX(Product_Structure[SuperCategory Name ENG],MATCH(Товары[[#This Row],[SubGroup]],Product_Structure[Subgroup],0)),"")</f>
        <v>Watering (mobile, sprinkler system&amp;MDS, Ponds)</v>
      </c>
      <c r="E16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8" s="113" t="str">
        <f>IFERROR(INDEX(Product_Structure[Product group],MATCH(Товары[[#This Row],[SubGroup]],Product_Structure[Subgroup],0)),"")</f>
        <v>WSS_C</v>
      </c>
      <c r="G1668" s="113" t="str">
        <f>IFERROR(INDEX(Product_Structure[Product group name ENG],MATCH(Товары[[#This Row],[SubGroup]],Product_Structure[Subgroup],0)),"")</f>
        <v>Watering Systems Sprinklersystem, MDS, SP</v>
      </c>
      <c r="H1668" s="113" t="str">
        <f>IFERROR(INDEX(Product_Structure[Generic Name (long)3],MATCH(Товары[[#This Row],[SubGroup]],Product_Structure[Subgroup],0)),"")</f>
        <v>Система микрокапельного полива</v>
      </c>
      <c r="I1668" s="36">
        <v>9033</v>
      </c>
      <c r="J1668" s="36" t="str">
        <f>IFERROR(INDEX(Product_Structure[Generic Name (long)],MATCH(Товары[[#This Row],[SubGroup]],Product_Structure[Subgroup],0)),"")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Row],[SubGroup]],DIY!$B:$C,2,FALSE),0)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3" t="str">
        <f>IFERROR(INDEX(Product_Structure[SuperCategory],MATCH(Товары[[#This Row],[SubGroup]],Product_Structure[Subgroup],0)),"")</f>
        <v>W</v>
      </c>
      <c r="D1669" s="113" t="str">
        <f>IFERROR(INDEX(Product_Structure[SuperCategory Name ENG],MATCH(Товары[[#This Row],[SubGroup]],Product_Structure[Subgroup],0)),"")</f>
        <v>Watering (mobile, sprinkler system&amp;MDS, Ponds)</v>
      </c>
      <c r="E16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69" s="113" t="str">
        <f>IFERROR(INDEX(Product_Structure[Product group],MATCH(Товары[[#This Row],[SubGroup]],Product_Structure[Subgroup],0)),"")</f>
        <v>WSS_C</v>
      </c>
      <c r="G1669" s="113" t="str">
        <f>IFERROR(INDEX(Product_Structure[Product group name ENG],MATCH(Товары[[#This Row],[SubGroup]],Product_Structure[Subgroup],0)),"")</f>
        <v>Watering Systems Sprinklersystem, MDS, SP</v>
      </c>
      <c r="H1669" s="113" t="str">
        <f>IFERROR(INDEX(Product_Structure[Generic Name (long)3],MATCH(Товары[[#This Row],[SubGroup]],Product_Structure[Subgroup],0)),"")</f>
        <v>Система микрокапельного полива</v>
      </c>
      <c r="I1669" s="36">
        <v>9033</v>
      </c>
      <c r="J1669" s="36" t="str">
        <f>IFERROR(INDEX(Product_Structure[Generic Name (long)],MATCH(Товары[[#This Row],[SubGroup]],Product_Structure[Subgroup],0)),"")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Row],[SubGroup]],DIY!$B:$C,2,FALSE),0)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3" t="str">
        <f>IFERROR(INDEX(Product_Structure[SuperCategory],MATCH(Товары[[#This Row],[SubGroup]],Product_Structure[Subgroup],0)),"")</f>
        <v>W</v>
      </c>
      <c r="D1670" s="113" t="str">
        <f>IFERROR(INDEX(Product_Structure[SuperCategory Name ENG],MATCH(Товары[[#This Row],[SubGroup]],Product_Structure[Subgroup],0)),"")</f>
        <v>Watering (mobile, sprinkler system&amp;MDS, Ponds)</v>
      </c>
      <c r="E16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0" s="113" t="str">
        <f>IFERROR(INDEX(Product_Structure[Product group],MATCH(Товары[[#This Row],[SubGroup]],Product_Structure[Subgroup],0)),"")</f>
        <v>WSS_C</v>
      </c>
      <c r="G1670" s="113" t="str">
        <f>IFERROR(INDEX(Product_Structure[Product group name ENG],MATCH(Товары[[#This Row],[SubGroup]],Product_Structure[Subgroup],0)),"")</f>
        <v>Watering Systems Sprinklersystem, MDS, SP</v>
      </c>
      <c r="H1670" s="113" t="str">
        <f>IFERROR(INDEX(Product_Structure[Generic Name (long)3],MATCH(Товары[[#This Row],[SubGroup]],Product_Structure[Subgroup],0)),"")</f>
        <v>Система микрокапельного полива</v>
      </c>
      <c r="I1670" s="36">
        <v>9033</v>
      </c>
      <c r="J1670" s="36" t="str">
        <f>IFERROR(INDEX(Product_Structure[Generic Name (long)],MATCH(Товары[[#This Row],[SubGroup]],Product_Structure[Subgroup],0)),"")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Row],[SubGroup]],DIY!$B:$C,2,FALSE),0)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3" t="str">
        <f>IFERROR(INDEX(Product_Structure[SuperCategory],MATCH(Товары[[#This Row],[SubGroup]],Product_Structure[Subgroup],0)),"")</f>
        <v>W</v>
      </c>
      <c r="D1671" s="113" t="str">
        <f>IFERROR(INDEX(Product_Structure[SuperCategory Name ENG],MATCH(Товары[[#This Row],[SubGroup]],Product_Structure[Subgroup],0)),"")</f>
        <v>Watering (mobile, sprinkler system&amp;MDS, Ponds)</v>
      </c>
      <c r="E16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1" s="113" t="str">
        <f>IFERROR(INDEX(Product_Structure[Product group],MATCH(Товары[[#This Row],[SubGroup]],Product_Structure[Subgroup],0)),"")</f>
        <v>WSS_C</v>
      </c>
      <c r="G1671" s="113" t="str">
        <f>IFERROR(INDEX(Product_Structure[Product group name ENG],MATCH(Товары[[#This Row],[SubGroup]],Product_Structure[Subgroup],0)),"")</f>
        <v>Watering Systems Sprinklersystem, MDS, SP</v>
      </c>
      <c r="H1671" s="113" t="str">
        <f>IFERROR(INDEX(Product_Structure[Generic Name (long)3],MATCH(Товары[[#This Row],[SubGroup]],Product_Structure[Subgroup],0)),"")</f>
        <v>Система подземного полива</v>
      </c>
      <c r="I1671" s="36">
        <v>9032</v>
      </c>
      <c r="J1671" s="36" t="str">
        <f>IFERROR(INDEX(Product_Structure[Generic Name (long)],MATCH(Товары[[#This Row],[SubGroup]],Product_Structure[Subgroup],0)),"")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Row],[SubGroup]],DIY!$B:$C,2,FALSE),0)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3" t="str">
        <f>IFERROR(INDEX(Product_Structure[SuperCategory],MATCH(Товары[[#This Row],[SubGroup]],Product_Structure[Subgroup],0)),"")</f>
        <v>W</v>
      </c>
      <c r="D1672" s="113" t="str">
        <f>IFERROR(INDEX(Product_Structure[SuperCategory Name ENG],MATCH(Товары[[#This Row],[SubGroup]],Product_Structure[Subgroup],0)),"")</f>
        <v>Watering (mobile, sprinkler system&amp;MDS, Ponds)</v>
      </c>
      <c r="E16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2" s="113" t="str">
        <f>IFERROR(INDEX(Product_Structure[Product group],MATCH(Товары[[#This Row],[SubGroup]],Product_Structure[Subgroup],0)),"")</f>
        <v>WSS_C</v>
      </c>
      <c r="G1672" s="113" t="str">
        <f>IFERROR(INDEX(Product_Structure[Product group name ENG],MATCH(Товары[[#This Row],[SubGroup]],Product_Structure[Subgroup],0)),"")</f>
        <v>Watering Systems Sprinklersystem, MDS, SP</v>
      </c>
      <c r="H1672" s="113" t="str">
        <f>IFERROR(INDEX(Product_Structure[Generic Name (long)3],MATCH(Товары[[#This Row],[SubGroup]],Product_Structure[Subgroup],0)),"")</f>
        <v>Система подземного полива</v>
      </c>
      <c r="I1672" s="36">
        <v>9032</v>
      </c>
      <c r="J1672" s="36" t="str">
        <f>IFERROR(INDEX(Product_Structure[Generic Name (long)],MATCH(Товары[[#This Row],[SubGroup]],Product_Structure[Subgroup],0)),"")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Row],[SubGroup]],DIY!$B:$C,2,FALSE),0)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3" t="str">
        <f>IFERROR(INDEX(Product_Structure[SuperCategory],MATCH(Товары[[#This Row],[SubGroup]],Product_Structure[Subgroup],0)),"")</f>
        <v>W</v>
      </c>
      <c r="D1673" s="113" t="str">
        <f>IFERROR(INDEX(Product_Structure[SuperCategory Name ENG],MATCH(Товары[[#This Row],[SubGroup]],Product_Structure[Subgroup],0)),"")</f>
        <v>Watering (mobile, sprinkler system&amp;MDS, Ponds)</v>
      </c>
      <c r="E16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3" s="113" t="str">
        <f>IFERROR(INDEX(Product_Structure[Product group],MATCH(Товары[[#This Row],[SubGroup]],Product_Structure[Subgroup],0)),"")</f>
        <v>WSS_C</v>
      </c>
      <c r="G1673" s="113" t="str">
        <f>IFERROR(INDEX(Product_Structure[Product group name ENG],MATCH(Товары[[#This Row],[SubGroup]],Product_Structure[Subgroup],0)),"")</f>
        <v>Watering Systems Sprinklersystem, MDS, SP</v>
      </c>
      <c r="H1673" s="113" t="str">
        <f>IFERROR(INDEX(Product_Structure[Generic Name (long)3],MATCH(Товары[[#This Row],[SubGroup]],Product_Structure[Subgroup],0)),"")</f>
        <v>Система подземного полива</v>
      </c>
      <c r="I1673" s="36">
        <v>9032</v>
      </c>
      <c r="J1673" s="36" t="str">
        <f>IFERROR(INDEX(Product_Structure[Generic Name (long)],MATCH(Товары[[#This Row],[SubGroup]],Product_Structure[Subgroup],0)),"")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Row],[SubGroup]],DIY!$B:$C,2,FALSE),0)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3" t="str">
        <f>IFERROR(INDEX(Product_Structure[SuperCategory],MATCH(Товары[[#This Row],[SubGroup]],Product_Structure[Subgroup],0)),"")</f>
        <v>W</v>
      </c>
      <c r="D1674" s="113" t="str">
        <f>IFERROR(INDEX(Product_Structure[SuperCategory Name ENG],MATCH(Товары[[#This Row],[SubGroup]],Product_Structure[Subgroup],0)),"")</f>
        <v>Watering (mobile, sprinkler system&amp;MDS, Ponds)</v>
      </c>
      <c r="E16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4" s="113" t="str">
        <f>IFERROR(INDEX(Product_Structure[Product group],MATCH(Товары[[#This Row],[SubGroup]],Product_Structure[Subgroup],0)),"")</f>
        <v>WSS_C</v>
      </c>
      <c r="G1674" s="113" t="str">
        <f>IFERROR(INDEX(Product_Structure[Product group name ENG],MATCH(Товары[[#This Row],[SubGroup]],Product_Structure[Subgroup],0)),"")</f>
        <v>Watering Systems Sprinklersystem, MDS, SP</v>
      </c>
      <c r="H1674" s="113" t="str">
        <f>IFERROR(INDEX(Product_Structure[Generic Name (long)3],MATCH(Товары[[#This Row],[SubGroup]],Product_Structure[Subgroup],0)),"")</f>
        <v>Система подземного полива</v>
      </c>
      <c r="I1674" s="36">
        <v>9032</v>
      </c>
      <c r="J1674" s="36" t="str">
        <f>IFERROR(INDEX(Product_Structure[Generic Name (long)],MATCH(Товары[[#This Row],[SubGroup]],Product_Structure[Subgroup],0)),"")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Row],[SubGroup]],DIY!$B:$C,2,FALSE),0)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3" t="str">
        <f>IFERROR(INDEX(Product_Structure[SuperCategory],MATCH(Товары[[#This Row],[SubGroup]],Product_Structure[Subgroup],0)),"")</f>
        <v>W</v>
      </c>
      <c r="D1675" s="113" t="str">
        <f>IFERROR(INDEX(Product_Structure[SuperCategory Name ENG],MATCH(Товары[[#This Row],[SubGroup]],Product_Structure[Subgroup],0)),"")</f>
        <v>Watering (mobile, sprinkler system&amp;MDS, Ponds)</v>
      </c>
      <c r="E16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5" s="113" t="str">
        <f>IFERROR(INDEX(Product_Structure[Product group],MATCH(Товары[[#This Row],[SubGroup]],Product_Structure[Subgroup],0)),"")</f>
        <v>WSS_C</v>
      </c>
      <c r="G1675" s="113" t="str">
        <f>IFERROR(INDEX(Product_Structure[Product group name ENG],MATCH(Товары[[#This Row],[SubGroup]],Product_Structure[Subgroup],0)),"")</f>
        <v>Watering Systems Sprinklersystem, MDS, SP</v>
      </c>
      <c r="H1675" s="113" t="str">
        <f>IFERROR(INDEX(Product_Structure[Generic Name (long)3],MATCH(Товары[[#This Row],[SubGroup]],Product_Structure[Subgroup],0)),"")</f>
        <v>Система подземного полива</v>
      </c>
      <c r="I1675" s="36">
        <v>9032</v>
      </c>
      <c r="J1675" s="36" t="str">
        <f>IFERROR(INDEX(Product_Structure[Generic Name (long)],MATCH(Товары[[#This Row],[SubGroup]],Product_Structure[Subgroup],0)),"")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Row],[SubGroup]],DIY!$B:$C,2,FALSE),0)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3" t="str">
        <f>IFERROR(INDEX(Product_Structure[SuperCategory],MATCH(Товары[[#This Row],[SubGroup]],Product_Structure[Subgroup],0)),"")</f>
        <v>W</v>
      </c>
      <c r="D1676" s="113" t="str">
        <f>IFERROR(INDEX(Product_Structure[SuperCategory Name ENG],MATCH(Товары[[#This Row],[SubGroup]],Product_Structure[Subgroup],0)),"")</f>
        <v>Watering (mobile, sprinkler system&amp;MDS, Ponds)</v>
      </c>
      <c r="E16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6" s="113" t="str">
        <f>IFERROR(INDEX(Product_Structure[Product group],MATCH(Товары[[#This Row],[SubGroup]],Product_Structure[Subgroup],0)),"")</f>
        <v>WSS_C</v>
      </c>
      <c r="G1676" s="113" t="str">
        <f>IFERROR(INDEX(Product_Structure[Product group name ENG],MATCH(Товары[[#This Row],[SubGroup]],Product_Structure[Subgroup],0)),"")</f>
        <v>Watering Systems Sprinklersystem, MDS, SP</v>
      </c>
      <c r="H1676" s="113" t="str">
        <f>IFERROR(INDEX(Product_Structure[Generic Name (long)3],MATCH(Товары[[#This Row],[SubGroup]],Product_Structure[Subgroup],0)),"")</f>
        <v>Система подземного полива</v>
      </c>
      <c r="I1676" s="36">
        <v>9032</v>
      </c>
      <c r="J1676" s="36" t="str">
        <f>IFERROR(INDEX(Product_Structure[Generic Name (long)],MATCH(Товары[[#This Row],[SubGroup]],Product_Structure[Subgroup],0)),"")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Row],[SubGroup]],DIY!$B:$C,2,FALSE),0)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3" t="str">
        <f>IFERROR(INDEX(Product_Structure[SuperCategory],MATCH(Товары[[#This Row],[SubGroup]],Product_Structure[Subgroup],0)),"")</f>
        <v>W</v>
      </c>
      <c r="D1677" s="113" t="str">
        <f>IFERROR(INDEX(Product_Structure[SuperCategory Name ENG],MATCH(Товары[[#This Row],[SubGroup]],Product_Structure[Subgroup],0)),"")</f>
        <v>Watering (mobile, sprinkler system&amp;MDS, Ponds)</v>
      </c>
      <c r="E16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7" s="113" t="str">
        <f>IFERROR(INDEX(Product_Structure[Product group],MATCH(Товары[[#This Row],[SubGroup]],Product_Structure[Subgroup],0)),"")</f>
        <v>WSS_C</v>
      </c>
      <c r="G1677" s="113" t="str">
        <f>IFERROR(INDEX(Product_Structure[Product group name ENG],MATCH(Товары[[#This Row],[SubGroup]],Product_Structure[Subgroup],0)),"")</f>
        <v>Watering Systems Sprinklersystem, MDS, SP</v>
      </c>
      <c r="H1677" s="113" t="str">
        <f>IFERROR(INDEX(Product_Structure[Generic Name (long)3],MATCH(Товары[[#This Row],[SubGroup]],Product_Structure[Subgroup],0)),"")</f>
        <v>Система подземного полива</v>
      </c>
      <c r="I1677" s="36">
        <v>9032</v>
      </c>
      <c r="J1677" s="36" t="str">
        <f>IFERROR(INDEX(Product_Structure[Generic Name (long)],MATCH(Товары[[#This Row],[SubGroup]],Product_Structure[Subgroup],0)),"")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Row],[SubGroup]],DIY!$B:$C,2,FALSE),0)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3" t="str">
        <f>IFERROR(INDEX(Product_Structure[SuperCategory],MATCH(Товары[[#This Row],[SubGroup]],Product_Structure[Subgroup],0)),"")</f>
        <v>W</v>
      </c>
      <c r="D1678" s="113" t="str">
        <f>IFERROR(INDEX(Product_Structure[SuperCategory Name ENG],MATCH(Товары[[#This Row],[SubGroup]],Product_Structure[Subgroup],0)),"")</f>
        <v>Watering (mobile, sprinkler system&amp;MDS, Ponds)</v>
      </c>
      <c r="E16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8" s="113" t="str">
        <f>IFERROR(INDEX(Product_Structure[Product group],MATCH(Товары[[#This Row],[SubGroup]],Product_Structure[Subgroup],0)),"")</f>
        <v>WSS_C</v>
      </c>
      <c r="G1678" s="113" t="str">
        <f>IFERROR(INDEX(Product_Structure[Product group name ENG],MATCH(Товары[[#This Row],[SubGroup]],Product_Structure[Subgroup],0)),"")</f>
        <v>Watering Systems Sprinklersystem, MDS, SP</v>
      </c>
      <c r="H1678" s="113" t="str">
        <f>IFERROR(INDEX(Product_Structure[Generic Name (long)3],MATCH(Товары[[#This Row],[SubGroup]],Product_Structure[Subgroup],0)),"")</f>
        <v>Система подземного полива</v>
      </c>
      <c r="I1678" s="36">
        <v>9032</v>
      </c>
      <c r="J1678" s="36" t="str">
        <f>IFERROR(INDEX(Product_Structure[Generic Name (long)],MATCH(Товары[[#This Row],[SubGroup]],Product_Structure[Subgroup],0)),"")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Row],[SubGroup]],DIY!$B:$C,2,FALSE),0)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3" t="str">
        <f>IFERROR(INDEX(Product_Structure[SuperCategory],MATCH(Товары[[#This Row],[SubGroup]],Product_Structure[Subgroup],0)),"")</f>
        <v>W</v>
      </c>
      <c r="D1679" s="113" t="str">
        <f>IFERROR(INDEX(Product_Structure[SuperCategory Name ENG],MATCH(Товары[[#This Row],[SubGroup]],Product_Structure[Subgroup],0)),"")</f>
        <v>Watering (mobile, sprinkler system&amp;MDS, Ponds)</v>
      </c>
      <c r="E16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79" s="113" t="str">
        <f>IFERROR(INDEX(Product_Structure[Product group],MATCH(Товары[[#This Row],[SubGroup]],Product_Structure[Subgroup],0)),"")</f>
        <v>WSS_C</v>
      </c>
      <c r="G1679" s="113" t="str">
        <f>IFERROR(INDEX(Product_Structure[Product group name ENG],MATCH(Товары[[#This Row],[SubGroup]],Product_Structure[Subgroup],0)),"")</f>
        <v>Watering Systems Sprinklersystem, MDS, SP</v>
      </c>
      <c r="H1679" s="113" t="str">
        <f>IFERROR(INDEX(Product_Structure[Generic Name (long)3],MATCH(Товары[[#This Row],[SubGroup]],Product_Structure[Subgroup],0)),"")</f>
        <v>Система подземного полива</v>
      </c>
      <c r="I1679" s="36">
        <v>9032</v>
      </c>
      <c r="J1679" s="36" t="str">
        <f>IFERROR(INDEX(Product_Structure[Generic Name (long)],MATCH(Товары[[#This Row],[SubGroup]],Product_Structure[Subgroup],0)),"")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Row],[SubGroup]],DIY!$B:$C,2,FALSE),0)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3" t="str">
        <f>IFERROR(INDEX(Product_Structure[SuperCategory],MATCH(Товары[[#This Row],[SubGroup]],Product_Structure[Subgroup],0)),"")</f>
        <v>W</v>
      </c>
      <c r="D1680" s="113" t="str">
        <f>IFERROR(INDEX(Product_Structure[SuperCategory Name ENG],MATCH(Товары[[#This Row],[SubGroup]],Product_Structure[Subgroup],0)),"")</f>
        <v>Watering (mobile, sprinkler system&amp;MDS, Ponds)</v>
      </c>
      <c r="E16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0" s="113" t="str">
        <f>IFERROR(INDEX(Product_Structure[Product group],MATCH(Товары[[#This Row],[SubGroup]],Product_Structure[Subgroup],0)),"")</f>
        <v>WSS_C</v>
      </c>
      <c r="G1680" s="113" t="str">
        <f>IFERROR(INDEX(Product_Structure[Product group name ENG],MATCH(Товары[[#This Row],[SubGroup]],Product_Structure[Subgroup],0)),"")</f>
        <v>Watering Systems Sprinklersystem, MDS, SP</v>
      </c>
      <c r="H1680" s="113" t="str">
        <f>IFERROR(INDEX(Product_Structure[Generic Name (long)3],MATCH(Товары[[#This Row],[SubGroup]],Product_Structure[Subgroup],0)),"")</f>
        <v>Система подземного полива</v>
      </c>
      <c r="I1680" s="36">
        <v>9032</v>
      </c>
      <c r="J1680" s="36" t="str">
        <f>IFERROR(INDEX(Product_Structure[Generic Name (long)],MATCH(Товары[[#This Row],[SubGroup]],Product_Structure[Subgroup],0)),"")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Row],[SubGroup]],DIY!$B:$C,2,FALSE),0)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3" t="str">
        <f>IFERROR(INDEX(Product_Structure[SuperCategory],MATCH(Товары[[#This Row],[SubGroup]],Product_Structure[Subgroup],0)),"")</f>
        <v>W</v>
      </c>
      <c r="D1681" s="113" t="str">
        <f>IFERROR(INDEX(Product_Structure[SuperCategory Name ENG],MATCH(Товары[[#This Row],[SubGroup]],Product_Structure[Subgroup],0)),"")</f>
        <v>Watering (mobile, sprinkler system&amp;MDS, Ponds)</v>
      </c>
      <c r="E16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1" s="113" t="str">
        <f>IFERROR(INDEX(Product_Structure[Product group],MATCH(Товары[[#This Row],[SubGroup]],Product_Structure[Subgroup],0)),"")</f>
        <v>WSS_C</v>
      </c>
      <c r="G1681" s="113" t="str">
        <f>IFERROR(INDEX(Product_Structure[Product group name ENG],MATCH(Товары[[#This Row],[SubGroup]],Product_Structure[Subgroup],0)),"")</f>
        <v>Watering Systems Sprinklersystem, MDS, SP</v>
      </c>
      <c r="H1681" s="113" t="str">
        <f>IFERROR(INDEX(Product_Structure[Generic Name (long)3],MATCH(Товары[[#This Row],[SubGroup]],Product_Structure[Subgroup],0)),"")</f>
        <v>Система подземного полива</v>
      </c>
      <c r="I1681" s="36">
        <v>9032</v>
      </c>
      <c r="J1681" s="36" t="str">
        <f>IFERROR(INDEX(Product_Structure[Generic Name (long)],MATCH(Товары[[#This Row],[SubGroup]],Product_Structure[Subgroup],0)),"")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Row],[SubGroup]],DIY!$B:$C,2,FALSE),0)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3" t="str">
        <f>IFERROR(INDEX(Product_Structure[SuperCategory],MATCH(Товары[[#This Row],[SubGroup]],Product_Structure[Subgroup],0)),"")</f>
        <v>W</v>
      </c>
      <c r="D1682" s="113" t="str">
        <f>IFERROR(INDEX(Product_Structure[SuperCategory Name ENG],MATCH(Товары[[#This Row],[SubGroup]],Product_Structure[Subgroup],0)),"")</f>
        <v>Watering (mobile, sprinkler system&amp;MDS, Ponds)</v>
      </c>
      <c r="E16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2" s="113" t="str">
        <f>IFERROR(INDEX(Product_Structure[Product group],MATCH(Товары[[#This Row],[SubGroup]],Product_Structure[Subgroup],0)),"")</f>
        <v>WSS_C</v>
      </c>
      <c r="G1682" s="113" t="str">
        <f>IFERROR(INDEX(Product_Structure[Product group name ENG],MATCH(Товары[[#This Row],[SubGroup]],Product_Structure[Subgroup],0)),"")</f>
        <v>Watering Systems Sprinklersystem, MDS, SP</v>
      </c>
      <c r="H1682" s="113" t="str">
        <f>IFERROR(INDEX(Product_Structure[Generic Name (long)3],MATCH(Товары[[#This Row],[SubGroup]],Product_Structure[Subgroup],0)),"")</f>
        <v>Система подземного полива</v>
      </c>
      <c r="I1682" s="36">
        <v>9032</v>
      </c>
      <c r="J1682" s="36" t="str">
        <f>IFERROR(INDEX(Product_Structure[Generic Name (long)],MATCH(Товары[[#This Row],[SubGroup]],Product_Structure[Subgroup],0)),"")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Row],[SubGroup]],DIY!$B:$C,2,FALSE),0)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3" t="str">
        <f>IFERROR(INDEX(Product_Structure[SuperCategory],MATCH(Товары[[#This Row],[SubGroup]],Product_Structure[Subgroup],0)),"")</f>
        <v>W</v>
      </c>
      <c r="D1683" s="113" t="str">
        <f>IFERROR(INDEX(Product_Structure[SuperCategory Name ENG],MATCH(Товары[[#This Row],[SubGroup]],Product_Structure[Subgroup],0)),"")</f>
        <v>Watering (mobile, sprinkler system&amp;MDS, Ponds)</v>
      </c>
      <c r="E16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3" s="113" t="str">
        <f>IFERROR(INDEX(Product_Structure[Product group],MATCH(Товары[[#This Row],[SubGroup]],Product_Structure[Subgroup],0)),"")</f>
        <v>WSS_C</v>
      </c>
      <c r="G1683" s="113" t="str">
        <f>IFERROR(INDEX(Product_Structure[Product group name ENG],MATCH(Товары[[#This Row],[SubGroup]],Product_Structure[Subgroup],0)),"")</f>
        <v>Watering Systems Sprinklersystem, MDS, SP</v>
      </c>
      <c r="H1683" s="113" t="str">
        <f>IFERROR(INDEX(Product_Structure[Generic Name (long)3],MATCH(Товары[[#This Row],[SubGroup]],Product_Structure[Subgroup],0)),"")</f>
        <v>Система подземного полива</v>
      </c>
      <c r="I1683" s="36">
        <v>9032</v>
      </c>
      <c r="J1683" s="36" t="str">
        <f>IFERROR(INDEX(Product_Structure[Generic Name (long)],MATCH(Товары[[#This Row],[SubGroup]],Product_Structure[Subgroup],0)),"")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Row],[SubGroup]],DIY!$B:$C,2,FALSE),0)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3" t="str">
        <f>IFERROR(INDEX(Product_Structure[SuperCategory],MATCH(Товары[[#This Row],[SubGroup]],Product_Structure[Subgroup],0)),"")</f>
        <v>W</v>
      </c>
      <c r="D1684" s="113" t="str">
        <f>IFERROR(INDEX(Product_Structure[SuperCategory Name ENG],MATCH(Товары[[#This Row],[SubGroup]],Product_Structure[Subgroup],0)),"")</f>
        <v>Watering (mobile, sprinkler system&amp;MDS, Ponds)</v>
      </c>
      <c r="E16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4" s="113" t="str">
        <f>IFERROR(INDEX(Product_Structure[Product group],MATCH(Товары[[#This Row],[SubGroup]],Product_Structure[Subgroup],0)),"")</f>
        <v>WSS_C</v>
      </c>
      <c r="G1684" s="113" t="str">
        <f>IFERROR(INDEX(Product_Structure[Product group name ENG],MATCH(Товары[[#This Row],[SubGroup]],Product_Structure[Subgroup],0)),"")</f>
        <v>Watering Systems Sprinklersystem, MDS, SP</v>
      </c>
      <c r="H1684" s="113" t="str">
        <f>IFERROR(INDEX(Product_Structure[Generic Name (long)3],MATCH(Товары[[#This Row],[SubGroup]],Product_Structure[Subgroup],0)),"")</f>
        <v>Система подземного полива</v>
      </c>
      <c r="I1684" s="36">
        <v>9032</v>
      </c>
      <c r="J1684" s="36" t="str">
        <f>IFERROR(INDEX(Product_Structure[Generic Name (long)],MATCH(Товары[[#This Row],[SubGroup]],Product_Structure[Subgroup],0)),"")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Row],[SubGroup]],DIY!$B:$C,2,FALSE),0)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3" t="str">
        <f>IFERROR(INDEX(Product_Structure[SuperCategory],MATCH(Товары[[#This Row],[SubGroup]],Product_Structure[Subgroup],0)),"")</f>
        <v>W</v>
      </c>
      <c r="D1685" s="113" t="str">
        <f>IFERROR(INDEX(Product_Structure[SuperCategory Name ENG],MATCH(Товары[[#This Row],[SubGroup]],Product_Structure[Subgroup],0)),"")</f>
        <v>Watering (mobile, sprinkler system&amp;MDS, Ponds)</v>
      </c>
      <c r="E16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5" s="113" t="str">
        <f>IFERROR(INDEX(Product_Structure[Product group],MATCH(Товары[[#This Row],[SubGroup]],Product_Structure[Subgroup],0)),"")</f>
        <v>WSS_C</v>
      </c>
      <c r="G1685" s="113" t="str">
        <f>IFERROR(INDEX(Product_Structure[Product group name ENG],MATCH(Товары[[#This Row],[SubGroup]],Product_Structure[Subgroup],0)),"")</f>
        <v>Watering Systems Sprinklersystem, MDS, SP</v>
      </c>
      <c r="H1685" s="113" t="str">
        <f>IFERROR(INDEX(Product_Structure[Generic Name (long)3],MATCH(Товары[[#This Row],[SubGroup]],Product_Structure[Subgroup],0)),"")</f>
        <v>Система подземного полива</v>
      </c>
      <c r="I1685" s="36">
        <v>9032</v>
      </c>
      <c r="J1685" s="36" t="str">
        <f>IFERROR(INDEX(Product_Structure[Generic Name (long)],MATCH(Товары[[#This Row],[SubGroup]],Product_Structure[Subgroup],0)),"")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Row],[SubGroup]],DIY!$B:$C,2,FALSE),0)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3" t="str">
        <f>IFERROR(INDEX(Product_Structure[SuperCategory],MATCH(Товары[[#This Row],[SubGroup]],Product_Structure[Subgroup],0)),"")</f>
        <v>W</v>
      </c>
      <c r="D1686" s="113" t="str">
        <f>IFERROR(INDEX(Product_Structure[SuperCategory Name ENG],MATCH(Товары[[#This Row],[SubGroup]],Product_Structure[Subgroup],0)),"")</f>
        <v>Watering (mobile, sprinkler system&amp;MDS, Ponds)</v>
      </c>
      <c r="E16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6" s="113" t="str">
        <f>IFERROR(INDEX(Product_Structure[Product group],MATCH(Товары[[#This Row],[SubGroup]],Product_Structure[Subgroup],0)),"")</f>
        <v>WSS_C</v>
      </c>
      <c r="G1686" s="113" t="str">
        <f>IFERROR(INDEX(Product_Structure[Product group name ENG],MATCH(Товары[[#This Row],[SubGroup]],Product_Structure[Subgroup],0)),"")</f>
        <v>Watering Systems Sprinklersystem, MDS, SP</v>
      </c>
      <c r="H1686" s="113" t="str">
        <f>IFERROR(INDEX(Product_Structure[Generic Name (long)3],MATCH(Товары[[#This Row],[SubGroup]],Product_Structure[Subgroup],0)),"")</f>
        <v>Система подземного полива</v>
      </c>
      <c r="I1686" s="36">
        <v>9032</v>
      </c>
      <c r="J1686" s="36" t="str">
        <f>IFERROR(INDEX(Product_Structure[Generic Name (long)],MATCH(Товары[[#This Row],[SubGroup]],Product_Structure[Subgroup],0)),"")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Row],[SubGroup]],DIY!$B:$C,2,FALSE),0)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3" t="str">
        <f>IFERROR(INDEX(Product_Structure[SuperCategory],MATCH(Товары[[#This Row],[SubGroup]],Product_Structure[Subgroup],0)),"")</f>
        <v>W</v>
      </c>
      <c r="D1687" s="113" t="str">
        <f>IFERROR(INDEX(Product_Structure[SuperCategory Name ENG],MATCH(Товары[[#This Row],[SubGroup]],Product_Structure[Subgroup],0)),"")</f>
        <v>Watering (mobile, sprinkler system&amp;MDS, Ponds)</v>
      </c>
      <c r="E16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7" s="113" t="str">
        <f>IFERROR(INDEX(Product_Structure[Product group],MATCH(Товары[[#This Row],[SubGroup]],Product_Structure[Subgroup],0)),"")</f>
        <v>WSS_C</v>
      </c>
      <c r="G1687" s="113" t="str">
        <f>IFERROR(INDEX(Product_Structure[Product group name ENG],MATCH(Товары[[#This Row],[SubGroup]],Product_Structure[Subgroup],0)),"")</f>
        <v>Watering Systems Sprinklersystem, MDS, SP</v>
      </c>
      <c r="H1687" s="113" t="str">
        <f>IFERROR(INDEX(Product_Structure[Generic Name (long)3],MATCH(Товары[[#This Row],[SubGroup]],Product_Structure[Subgroup],0)),"")</f>
        <v>Система подземного полива</v>
      </c>
      <c r="I1687" s="36">
        <v>9032</v>
      </c>
      <c r="J1687" s="36" t="str">
        <f>IFERROR(INDEX(Product_Structure[Generic Name (long)],MATCH(Товары[[#This Row],[SubGroup]],Product_Structure[Subgroup],0)),"")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Row],[SubGroup]],DIY!$B:$C,2,FALSE),0)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3" t="str">
        <f>IFERROR(INDEX(Product_Structure[SuperCategory],MATCH(Товары[[#This Row],[SubGroup]],Product_Structure[Subgroup],0)),"")</f>
        <v>W</v>
      </c>
      <c r="D1688" s="113" t="str">
        <f>IFERROR(INDEX(Product_Structure[SuperCategory Name ENG],MATCH(Товары[[#This Row],[SubGroup]],Product_Structure[Subgroup],0)),"")</f>
        <v>Watering (mobile, sprinkler system&amp;MDS, Ponds)</v>
      </c>
      <c r="E16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8" s="113" t="str">
        <f>IFERROR(INDEX(Product_Structure[Product group],MATCH(Товары[[#This Row],[SubGroup]],Product_Structure[Subgroup],0)),"")</f>
        <v>WSS_C</v>
      </c>
      <c r="G1688" s="113" t="str">
        <f>IFERROR(INDEX(Product_Structure[Product group name ENG],MATCH(Товары[[#This Row],[SubGroup]],Product_Structure[Subgroup],0)),"")</f>
        <v>Watering Systems Sprinklersystem, MDS, SP</v>
      </c>
      <c r="H1688" s="113" t="str">
        <f>IFERROR(INDEX(Product_Structure[Generic Name (long)3],MATCH(Товары[[#This Row],[SubGroup]],Product_Structure[Subgroup],0)),"")</f>
        <v>Система подземного полива</v>
      </c>
      <c r="I1688" s="36">
        <v>9032</v>
      </c>
      <c r="J1688" s="36" t="str">
        <f>IFERROR(INDEX(Product_Structure[Generic Name (long)],MATCH(Товары[[#This Row],[SubGroup]],Product_Structure[Subgroup],0)),"")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Row],[SubGroup]],DIY!$B:$C,2,FALSE),0)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3" t="str">
        <f>IFERROR(INDEX(Product_Structure[SuperCategory],MATCH(Товары[[#This Row],[SubGroup]],Product_Structure[Subgroup],0)),"")</f>
        <v>W</v>
      </c>
      <c r="D1689" s="113" t="str">
        <f>IFERROR(INDEX(Product_Structure[SuperCategory Name ENG],MATCH(Товары[[#This Row],[SubGroup]],Product_Structure[Subgroup],0)),"")</f>
        <v>Watering (mobile, sprinkler system&amp;MDS, Ponds)</v>
      </c>
      <c r="E16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89" s="113" t="str">
        <f>IFERROR(INDEX(Product_Structure[Product group],MATCH(Товары[[#This Row],[SubGroup]],Product_Structure[Subgroup],0)),"")</f>
        <v>WSS_C</v>
      </c>
      <c r="G1689" s="113" t="str">
        <f>IFERROR(INDEX(Product_Structure[Product group name ENG],MATCH(Товары[[#This Row],[SubGroup]],Product_Structure[Subgroup],0)),"")</f>
        <v>Watering Systems Sprinklersystem, MDS, SP</v>
      </c>
      <c r="H1689" s="113" t="str">
        <f>IFERROR(INDEX(Product_Structure[Generic Name (long)3],MATCH(Товары[[#This Row],[SubGroup]],Product_Structure[Subgroup],0)),"")</f>
        <v>Система подземного полива</v>
      </c>
      <c r="I1689" s="36">
        <v>9032</v>
      </c>
      <c r="J1689" s="36" t="str">
        <f>IFERROR(INDEX(Product_Structure[Generic Name (long)],MATCH(Товары[[#This Row],[SubGroup]],Product_Structure[Subgroup],0)),"")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Row],[SubGroup]],DIY!$B:$C,2,FALSE),0)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3" t="str">
        <f>IFERROR(INDEX(Product_Structure[SuperCategory],MATCH(Товары[[#This Row],[SubGroup]],Product_Structure[Subgroup],0)),"")</f>
        <v>W</v>
      </c>
      <c r="D1690" s="113" t="str">
        <f>IFERROR(INDEX(Product_Structure[SuperCategory Name ENG],MATCH(Товары[[#This Row],[SubGroup]],Product_Structure[Subgroup],0)),"")</f>
        <v>Watering (mobile, sprinkler system&amp;MDS, Ponds)</v>
      </c>
      <c r="E16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0" s="113" t="str">
        <f>IFERROR(INDEX(Product_Structure[Product group],MATCH(Товары[[#This Row],[SubGroup]],Product_Structure[Subgroup],0)),"")</f>
        <v>WSS_C</v>
      </c>
      <c r="G1690" s="113" t="str">
        <f>IFERROR(INDEX(Product_Structure[Product group name ENG],MATCH(Товары[[#This Row],[SubGroup]],Product_Structure[Subgroup],0)),"")</f>
        <v>Watering Systems Sprinklersystem, MDS, SP</v>
      </c>
      <c r="H1690" s="113" t="str">
        <f>IFERROR(INDEX(Product_Structure[Generic Name (long)3],MATCH(Товары[[#This Row],[SubGroup]],Product_Structure[Subgroup],0)),"")</f>
        <v>Система подземного полива</v>
      </c>
      <c r="I1690" s="36">
        <v>9032</v>
      </c>
      <c r="J1690" s="36" t="str">
        <f>IFERROR(INDEX(Product_Structure[Generic Name (long)],MATCH(Товары[[#This Row],[SubGroup]],Product_Structure[Subgroup],0)),"")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Row],[SubGroup]],DIY!$B:$C,2,FALSE),0)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3" t="str">
        <f>IFERROR(INDEX(Product_Structure[SuperCategory],MATCH(Товары[[#This Row],[SubGroup]],Product_Structure[Subgroup],0)),"")</f>
        <v>W</v>
      </c>
      <c r="D1691" s="113" t="str">
        <f>IFERROR(INDEX(Product_Structure[SuperCategory Name ENG],MATCH(Товары[[#This Row],[SubGroup]],Product_Structure[Subgroup],0)),"")</f>
        <v>Watering (mobile, sprinkler system&amp;MDS, Ponds)</v>
      </c>
      <c r="E16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1" s="113" t="str">
        <f>IFERROR(INDEX(Product_Structure[Product group],MATCH(Товары[[#This Row],[SubGroup]],Product_Structure[Subgroup],0)),"")</f>
        <v>WSS_C</v>
      </c>
      <c r="G1691" s="113" t="str">
        <f>IFERROR(INDEX(Product_Structure[Product group name ENG],MATCH(Товары[[#This Row],[SubGroup]],Product_Structure[Subgroup],0)),"")</f>
        <v>Watering Systems Sprinklersystem, MDS, SP</v>
      </c>
      <c r="H1691" s="113" t="str">
        <f>IFERROR(INDEX(Product_Structure[Generic Name (long)3],MATCH(Товары[[#This Row],[SubGroup]],Product_Structure[Subgroup],0)),"")</f>
        <v>Система подземного полива</v>
      </c>
      <c r="I1691" s="36">
        <v>9032</v>
      </c>
      <c r="J1691" s="36" t="str">
        <f>IFERROR(INDEX(Product_Structure[Generic Name (long)],MATCH(Товары[[#This Row],[SubGroup]],Product_Structure[Subgroup],0)),"")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Row],[SubGroup]],DIY!$B:$C,2,FALSE),0)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3" t="str">
        <f>IFERROR(INDEX(Product_Structure[SuperCategory],MATCH(Товары[[#This Row],[SubGroup]],Product_Structure[Subgroup],0)),"")</f>
        <v>W</v>
      </c>
      <c r="D1692" s="113" t="str">
        <f>IFERROR(INDEX(Product_Structure[SuperCategory Name ENG],MATCH(Товары[[#This Row],[SubGroup]],Product_Structure[Subgroup],0)),"")</f>
        <v>Watering (mobile, sprinkler system&amp;MDS, Ponds)</v>
      </c>
      <c r="E16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2" s="113" t="str">
        <f>IFERROR(INDEX(Product_Structure[Product group],MATCH(Товары[[#This Row],[SubGroup]],Product_Structure[Subgroup],0)),"")</f>
        <v>WSS_C</v>
      </c>
      <c r="G1692" s="113" t="str">
        <f>IFERROR(INDEX(Product_Structure[Product group name ENG],MATCH(Товары[[#This Row],[SubGroup]],Product_Structure[Subgroup],0)),"")</f>
        <v>Watering Systems Sprinklersystem, MDS, SP</v>
      </c>
      <c r="H1692" s="113" t="str">
        <f>IFERROR(INDEX(Product_Structure[Generic Name (long)3],MATCH(Товары[[#This Row],[SubGroup]],Product_Structure[Subgroup],0)),"")</f>
        <v>Система подземного полива</v>
      </c>
      <c r="I1692" s="36">
        <v>9032</v>
      </c>
      <c r="J1692" s="36" t="str">
        <f>IFERROR(INDEX(Product_Structure[Generic Name (long)],MATCH(Товары[[#This Row],[SubGroup]],Product_Structure[Subgroup],0)),"")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Row],[SubGroup]],DIY!$B:$C,2,FALSE),0)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3" t="str">
        <f>IFERROR(INDEX(Product_Structure[SuperCategory],MATCH(Товары[[#This Row],[SubGroup]],Product_Structure[Subgroup],0)),"")</f>
        <v>W</v>
      </c>
      <c r="D1693" s="113" t="str">
        <f>IFERROR(INDEX(Product_Structure[SuperCategory Name ENG],MATCH(Товары[[#This Row],[SubGroup]],Product_Structure[Subgroup],0)),"")</f>
        <v>Watering (mobile, sprinkler system&amp;MDS, Ponds)</v>
      </c>
      <c r="E16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3" s="113" t="str">
        <f>IFERROR(INDEX(Product_Structure[Product group],MATCH(Товары[[#This Row],[SubGroup]],Product_Structure[Subgroup],0)),"")</f>
        <v>WSS_C</v>
      </c>
      <c r="G1693" s="113" t="str">
        <f>IFERROR(INDEX(Product_Structure[Product group name ENG],MATCH(Товары[[#This Row],[SubGroup]],Product_Structure[Subgroup],0)),"")</f>
        <v>Watering Systems Sprinklersystem, MDS, SP</v>
      </c>
      <c r="H1693" s="113" t="str">
        <f>IFERROR(INDEX(Product_Structure[Generic Name (long)3],MATCH(Товары[[#This Row],[SubGroup]],Product_Structure[Subgroup],0)),"")</f>
        <v>Система подземного полива</v>
      </c>
      <c r="I1693" s="36">
        <v>9032</v>
      </c>
      <c r="J1693" s="36" t="str">
        <f>IFERROR(INDEX(Product_Structure[Generic Name (long)],MATCH(Товары[[#This Row],[SubGroup]],Product_Structure[Subgroup],0)),"")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Row],[SubGroup]],DIY!$B:$C,2,FALSE),0)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3" t="str">
        <f>IFERROR(INDEX(Product_Structure[SuperCategory],MATCH(Товары[[#This Row],[SubGroup]],Product_Structure[Subgroup],0)),"")</f>
        <v>W</v>
      </c>
      <c r="D1694" s="113" t="str">
        <f>IFERROR(INDEX(Product_Structure[SuperCategory Name ENG],MATCH(Товары[[#This Row],[SubGroup]],Product_Structure[Subgroup],0)),"")</f>
        <v>Watering (mobile, sprinkler system&amp;MDS, Ponds)</v>
      </c>
      <c r="E16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4" s="113" t="str">
        <f>IFERROR(INDEX(Product_Structure[Product group],MATCH(Товары[[#This Row],[SubGroup]],Product_Structure[Subgroup],0)),"")</f>
        <v>WSS_C</v>
      </c>
      <c r="G1694" s="113" t="str">
        <f>IFERROR(INDEX(Product_Structure[Product group name ENG],MATCH(Товары[[#This Row],[SubGroup]],Product_Structure[Subgroup],0)),"")</f>
        <v>Watering Systems Sprinklersystem, MDS, SP</v>
      </c>
      <c r="H1694" s="113" t="str">
        <f>IFERROR(INDEX(Product_Structure[Generic Name (long)3],MATCH(Товары[[#This Row],[SubGroup]],Product_Structure[Subgroup],0)),"")</f>
        <v>Система подземного полива</v>
      </c>
      <c r="I1694" s="36">
        <v>9032</v>
      </c>
      <c r="J1694" s="36" t="str">
        <f>IFERROR(INDEX(Product_Structure[Generic Name (long)],MATCH(Товары[[#This Row],[SubGroup]],Product_Structure[Subgroup],0)),"")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Row],[SubGroup]],DIY!$B:$C,2,FALSE),0)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3" t="str">
        <f>IFERROR(INDEX(Product_Structure[SuperCategory],MATCH(Товары[[#This Row],[SubGroup]],Product_Structure[Subgroup],0)),"")</f>
        <v>W</v>
      </c>
      <c r="D1695" s="113" t="str">
        <f>IFERROR(INDEX(Product_Structure[SuperCategory Name ENG],MATCH(Товары[[#This Row],[SubGroup]],Product_Structure[Subgroup],0)),"")</f>
        <v>Watering (mobile, sprinkler system&amp;MDS, Ponds)</v>
      </c>
      <c r="E16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5" s="113" t="str">
        <f>IFERROR(INDEX(Product_Structure[Product group],MATCH(Товары[[#This Row],[SubGroup]],Product_Structure[Subgroup],0)),"")</f>
        <v>WSS_C</v>
      </c>
      <c r="G1695" s="113" t="str">
        <f>IFERROR(INDEX(Product_Structure[Product group name ENG],MATCH(Товары[[#This Row],[SubGroup]],Product_Structure[Subgroup],0)),"")</f>
        <v>Watering Systems Sprinklersystem, MDS, SP</v>
      </c>
      <c r="H1695" s="113" t="str">
        <f>IFERROR(INDEX(Product_Structure[Generic Name (long)3],MATCH(Товары[[#This Row],[SubGroup]],Product_Structure[Subgroup],0)),"")</f>
        <v>Система подземного полива</v>
      </c>
      <c r="I1695" s="36">
        <v>9032</v>
      </c>
      <c r="J1695" s="36" t="str">
        <f>IFERROR(INDEX(Product_Structure[Generic Name (long)],MATCH(Товары[[#This Row],[SubGroup]],Product_Structure[Subgroup],0)),"")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Row],[SubGroup]],DIY!$B:$C,2,FALSE),0)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3" t="str">
        <f>IFERROR(INDEX(Product_Structure[SuperCategory],MATCH(Товары[[#This Row],[SubGroup]],Product_Structure[Subgroup],0)),"")</f>
        <v>W</v>
      </c>
      <c r="D1696" s="113" t="str">
        <f>IFERROR(INDEX(Product_Structure[SuperCategory Name ENG],MATCH(Товары[[#This Row],[SubGroup]],Product_Structure[Subgroup],0)),"")</f>
        <v>Watering (mobile, sprinkler system&amp;MDS, Ponds)</v>
      </c>
      <c r="E16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6" s="113" t="str">
        <f>IFERROR(INDEX(Product_Structure[Product group],MATCH(Товары[[#This Row],[SubGroup]],Product_Structure[Subgroup],0)),"")</f>
        <v>WSS_C</v>
      </c>
      <c r="G1696" s="113" t="str">
        <f>IFERROR(INDEX(Product_Structure[Product group name ENG],MATCH(Товары[[#This Row],[SubGroup]],Product_Structure[Subgroup],0)),"")</f>
        <v>Watering Systems Sprinklersystem, MDS, SP</v>
      </c>
      <c r="H1696" s="113" t="str">
        <f>IFERROR(INDEX(Product_Structure[Generic Name (long)3],MATCH(Товары[[#This Row],[SubGroup]],Product_Structure[Subgroup],0)),"")</f>
        <v>Система подземного полива</v>
      </c>
      <c r="I1696" s="36">
        <v>9032</v>
      </c>
      <c r="J1696" s="36" t="str">
        <f>IFERROR(INDEX(Product_Structure[Generic Name (long)],MATCH(Товары[[#This Row],[SubGroup]],Product_Structure[Subgroup],0)),"")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Row],[SubGroup]],DIY!$B:$C,2,FALSE),0)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3" t="str">
        <f>IFERROR(INDEX(Product_Structure[SuperCategory],MATCH(Товары[[#This Row],[SubGroup]],Product_Structure[Subgroup],0)),"")</f>
        <v>W</v>
      </c>
      <c r="D1697" s="113" t="str">
        <f>IFERROR(INDEX(Product_Structure[SuperCategory Name ENG],MATCH(Товары[[#This Row],[SubGroup]],Product_Structure[Subgroup],0)),"")</f>
        <v>Watering (mobile, sprinkler system&amp;MDS, Ponds)</v>
      </c>
      <c r="E16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7" s="113" t="str">
        <f>IFERROR(INDEX(Product_Structure[Product group],MATCH(Товары[[#This Row],[SubGroup]],Product_Structure[Subgroup],0)),"")</f>
        <v>WSS_C</v>
      </c>
      <c r="G1697" s="113" t="str">
        <f>IFERROR(INDEX(Product_Structure[Product group name ENG],MATCH(Товары[[#This Row],[SubGroup]],Product_Structure[Subgroup],0)),"")</f>
        <v>Watering Systems Sprinklersystem, MDS, SP</v>
      </c>
      <c r="H1697" s="113" t="str">
        <f>IFERROR(INDEX(Product_Structure[Generic Name (long)3],MATCH(Товары[[#This Row],[SubGroup]],Product_Structure[Subgroup],0)),"")</f>
        <v>Система подземного полива</v>
      </c>
      <c r="I1697" s="36">
        <v>9032</v>
      </c>
      <c r="J1697" s="36" t="str">
        <f>IFERROR(INDEX(Product_Structure[Generic Name (long)],MATCH(Товары[[#This Row],[SubGroup]],Product_Structure[Subgroup],0)),"")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Row],[SubGroup]],DIY!$B:$C,2,FALSE),0)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3" t="str">
        <f>IFERROR(INDEX(Product_Structure[SuperCategory],MATCH(Товары[[#This Row],[SubGroup]],Product_Structure[Subgroup],0)),"")</f>
        <v>W</v>
      </c>
      <c r="D1698" s="113" t="str">
        <f>IFERROR(INDEX(Product_Structure[SuperCategory Name ENG],MATCH(Товары[[#This Row],[SubGroup]],Product_Structure[Subgroup],0)),"")</f>
        <v>Watering (mobile, sprinkler system&amp;MDS, Ponds)</v>
      </c>
      <c r="E16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8" s="113" t="str">
        <f>IFERROR(INDEX(Product_Structure[Product group],MATCH(Товары[[#This Row],[SubGroup]],Product_Structure[Subgroup],0)),"")</f>
        <v>WSS_C</v>
      </c>
      <c r="G1698" s="113" t="str">
        <f>IFERROR(INDEX(Product_Structure[Product group name ENG],MATCH(Товары[[#This Row],[SubGroup]],Product_Structure[Subgroup],0)),"")</f>
        <v>Watering Systems Sprinklersystem, MDS, SP</v>
      </c>
      <c r="H1698" s="113" t="str">
        <f>IFERROR(INDEX(Product_Structure[Generic Name (long)3],MATCH(Товары[[#This Row],[SubGroup]],Product_Structure[Subgroup],0)),"")</f>
        <v>Система подземного полива</v>
      </c>
      <c r="I1698" s="36">
        <v>9032</v>
      </c>
      <c r="J1698" s="36" t="str">
        <f>IFERROR(INDEX(Product_Structure[Generic Name (long)],MATCH(Товары[[#This Row],[SubGroup]],Product_Structure[Subgroup],0)),"")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Row],[SubGroup]],DIY!$B:$C,2,FALSE),0)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3" t="str">
        <f>IFERROR(INDEX(Product_Structure[SuperCategory],MATCH(Товары[[#This Row],[SubGroup]],Product_Structure[Subgroup],0)),"")</f>
        <v>W</v>
      </c>
      <c r="D1699" s="113" t="str">
        <f>IFERROR(INDEX(Product_Structure[SuperCategory Name ENG],MATCH(Товары[[#This Row],[SubGroup]],Product_Structure[Subgroup],0)),"")</f>
        <v>Watering (mobile, sprinkler system&amp;MDS, Ponds)</v>
      </c>
      <c r="E16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699" s="113" t="str">
        <f>IFERROR(INDEX(Product_Structure[Product group],MATCH(Товары[[#This Row],[SubGroup]],Product_Structure[Subgroup],0)),"")</f>
        <v>WSS_C</v>
      </c>
      <c r="G1699" s="113" t="str">
        <f>IFERROR(INDEX(Product_Structure[Product group name ENG],MATCH(Товары[[#This Row],[SubGroup]],Product_Structure[Subgroup],0)),"")</f>
        <v>Watering Systems Sprinklersystem, MDS, SP</v>
      </c>
      <c r="H1699" s="113" t="str">
        <f>IFERROR(INDEX(Product_Structure[Generic Name (long)3],MATCH(Товары[[#This Row],[SubGroup]],Product_Structure[Subgroup],0)),"")</f>
        <v>Система подземного полива</v>
      </c>
      <c r="I1699" s="36">
        <v>9032</v>
      </c>
      <c r="J1699" s="36" t="str">
        <f>IFERROR(INDEX(Product_Structure[Generic Name (long)],MATCH(Товары[[#This Row],[SubGroup]],Product_Structure[Subgroup],0)),"")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Row],[SubGroup]],DIY!$B:$C,2,FALSE),0)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3" t="str">
        <f>IFERROR(INDEX(Product_Structure[SuperCategory],MATCH(Товары[[#This Row],[SubGroup]],Product_Structure[Subgroup],0)),"")</f>
        <v>W</v>
      </c>
      <c r="D1700" s="113" t="str">
        <f>IFERROR(INDEX(Product_Structure[SuperCategory Name ENG],MATCH(Товары[[#This Row],[SubGroup]],Product_Structure[Subgroup],0)),"")</f>
        <v>Watering (mobile, sprinkler system&amp;MDS, Ponds)</v>
      </c>
      <c r="E17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0" s="113" t="str">
        <f>IFERROR(INDEX(Product_Structure[Product group],MATCH(Товары[[#This Row],[SubGroup]],Product_Structure[Subgroup],0)),"")</f>
        <v>WSS_C</v>
      </c>
      <c r="G1700" s="113" t="str">
        <f>IFERROR(INDEX(Product_Structure[Product group name ENG],MATCH(Товары[[#This Row],[SubGroup]],Product_Structure[Subgroup],0)),"")</f>
        <v>Watering Systems Sprinklersystem, MDS, SP</v>
      </c>
      <c r="H1700" s="113" t="str">
        <f>IFERROR(INDEX(Product_Structure[Generic Name (long)3],MATCH(Товары[[#This Row],[SubGroup]],Product_Structure[Subgroup],0)),"")</f>
        <v>Система подземного полива</v>
      </c>
      <c r="I1700" s="36">
        <v>9032</v>
      </c>
      <c r="J1700" s="36" t="str">
        <f>IFERROR(INDEX(Product_Structure[Generic Name (long)],MATCH(Товары[[#This Row],[SubGroup]],Product_Structure[Subgroup],0)),"")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Row],[SubGroup]],DIY!$B:$C,2,FALSE),0)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3" t="str">
        <f>IFERROR(INDEX(Product_Structure[SuperCategory],MATCH(Товары[[#This Row],[SubGroup]],Product_Structure[Subgroup],0)),"")</f>
        <v>W</v>
      </c>
      <c r="D1701" s="113" t="str">
        <f>IFERROR(INDEX(Product_Structure[SuperCategory Name ENG],MATCH(Товары[[#This Row],[SubGroup]],Product_Structure[Subgroup],0)),"")</f>
        <v>Watering (mobile, sprinkler system&amp;MDS, Ponds)</v>
      </c>
      <c r="E17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1" s="113" t="str">
        <f>IFERROR(INDEX(Product_Structure[Product group],MATCH(Товары[[#This Row],[SubGroup]],Product_Structure[Subgroup],0)),"")</f>
        <v>WSS_C</v>
      </c>
      <c r="G1701" s="113" t="str">
        <f>IFERROR(INDEX(Product_Structure[Product group name ENG],MATCH(Товары[[#This Row],[SubGroup]],Product_Structure[Subgroup],0)),"")</f>
        <v>Watering Systems Sprinklersystem, MDS, SP</v>
      </c>
      <c r="H1701" s="113" t="str">
        <f>IFERROR(INDEX(Product_Structure[Generic Name (long)3],MATCH(Товары[[#This Row],[SubGroup]],Product_Structure[Subgroup],0)),"")</f>
        <v>Система подземного полива</v>
      </c>
      <c r="I1701" s="36">
        <v>9032</v>
      </c>
      <c r="J1701" s="36" t="str">
        <f>IFERROR(INDEX(Product_Structure[Generic Name (long)],MATCH(Товары[[#This Row],[SubGroup]],Product_Structure[Subgroup],0)),"")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Row],[SubGroup]],DIY!$B:$C,2,FALSE),0)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3" t="str">
        <f>IFERROR(INDEX(Product_Structure[SuperCategory],MATCH(Товары[[#This Row],[SubGroup]],Product_Structure[Subgroup],0)),"")</f>
        <v>W</v>
      </c>
      <c r="D1702" s="113" t="str">
        <f>IFERROR(INDEX(Product_Structure[SuperCategory Name ENG],MATCH(Товары[[#This Row],[SubGroup]],Product_Structure[Subgroup],0)),"")</f>
        <v>Watering (mobile, sprinkler system&amp;MDS, Ponds)</v>
      </c>
      <c r="E17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2" s="113" t="str">
        <f>IFERROR(INDEX(Product_Structure[Product group],MATCH(Товары[[#This Row],[SubGroup]],Product_Structure[Subgroup],0)),"")</f>
        <v>WSS_C</v>
      </c>
      <c r="G1702" s="113" t="str">
        <f>IFERROR(INDEX(Product_Structure[Product group name ENG],MATCH(Товары[[#This Row],[SubGroup]],Product_Structure[Subgroup],0)),"")</f>
        <v>Watering Systems Sprinklersystem, MDS, SP</v>
      </c>
      <c r="H1702" s="113" t="str">
        <f>IFERROR(INDEX(Product_Structure[Generic Name (long)3],MATCH(Товары[[#This Row],[SubGroup]],Product_Structure[Subgroup],0)),"")</f>
        <v>Система подземного полива</v>
      </c>
      <c r="I1702" s="36">
        <v>9032</v>
      </c>
      <c r="J1702" s="36" t="str">
        <f>IFERROR(INDEX(Product_Structure[Generic Name (long)],MATCH(Товары[[#This Row],[SubGroup]],Product_Structure[Subgroup],0)),"")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Row],[SubGroup]],DIY!$B:$C,2,FALSE),0)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3" t="str">
        <f>IFERROR(INDEX(Product_Structure[SuperCategory],MATCH(Товары[[#This Row],[SubGroup]],Product_Structure[Subgroup],0)),"")</f>
        <v>W</v>
      </c>
      <c r="D1703" s="113" t="str">
        <f>IFERROR(INDEX(Product_Structure[SuperCategory Name ENG],MATCH(Товары[[#This Row],[SubGroup]],Product_Structure[Subgroup],0)),"")</f>
        <v>Watering (mobile, sprinkler system&amp;MDS, Ponds)</v>
      </c>
      <c r="E17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3" s="113" t="str">
        <f>IFERROR(INDEX(Product_Structure[Product group],MATCH(Товары[[#This Row],[SubGroup]],Product_Structure[Subgroup],0)),"")</f>
        <v>WSS_C</v>
      </c>
      <c r="G1703" s="113" t="str">
        <f>IFERROR(INDEX(Product_Structure[Product group name ENG],MATCH(Товары[[#This Row],[SubGroup]],Product_Structure[Subgroup],0)),"")</f>
        <v>Watering Systems Sprinklersystem, MDS, SP</v>
      </c>
      <c r="H1703" s="113" t="str">
        <f>IFERROR(INDEX(Product_Structure[Generic Name (long)3],MATCH(Товары[[#This Row],[SubGroup]],Product_Structure[Subgroup],0)),"")</f>
        <v>Система подземного полива</v>
      </c>
      <c r="I1703" s="36">
        <v>9032</v>
      </c>
      <c r="J1703" s="36" t="str">
        <f>IFERROR(INDEX(Product_Structure[Generic Name (long)],MATCH(Товары[[#This Row],[SubGroup]],Product_Structure[Subgroup],0)),"")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Row],[SubGroup]],DIY!$B:$C,2,FALSE),0)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3" t="str">
        <f>IFERROR(INDEX(Product_Structure[SuperCategory],MATCH(Товары[[#This Row],[SubGroup]],Product_Structure[Subgroup],0)),"")</f>
        <v>W</v>
      </c>
      <c r="D1704" s="113" t="str">
        <f>IFERROR(INDEX(Product_Structure[SuperCategory Name ENG],MATCH(Товары[[#This Row],[SubGroup]],Product_Structure[Subgroup],0)),"")</f>
        <v>Watering (mobile, sprinkler system&amp;MDS, Ponds)</v>
      </c>
      <c r="E17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4" s="113" t="str">
        <f>IFERROR(INDEX(Product_Structure[Product group],MATCH(Товары[[#This Row],[SubGroup]],Product_Structure[Subgroup],0)),"")</f>
        <v>WSS_C</v>
      </c>
      <c r="G1704" s="113" t="str">
        <f>IFERROR(INDEX(Product_Structure[Product group name ENG],MATCH(Товары[[#This Row],[SubGroup]],Product_Structure[Subgroup],0)),"")</f>
        <v>Watering Systems Sprinklersystem, MDS, SP</v>
      </c>
      <c r="H1704" s="113" t="str">
        <f>IFERROR(INDEX(Product_Structure[Generic Name (long)3],MATCH(Товары[[#This Row],[SubGroup]],Product_Structure[Subgroup],0)),"")</f>
        <v>Система подземного полива</v>
      </c>
      <c r="I1704" s="36">
        <v>9032</v>
      </c>
      <c r="J1704" s="36" t="str">
        <f>IFERROR(INDEX(Product_Structure[Generic Name (long)],MATCH(Товары[[#This Row],[SubGroup]],Product_Structure[Subgroup],0)),"")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Row],[SubGroup]],DIY!$B:$C,2,FALSE),0)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3" t="str">
        <f>IFERROR(INDEX(Product_Structure[SuperCategory],MATCH(Товары[[#This Row],[SubGroup]],Product_Structure[Subgroup],0)),"")</f>
        <v>W</v>
      </c>
      <c r="D1705" s="113" t="str">
        <f>IFERROR(INDEX(Product_Structure[SuperCategory Name ENG],MATCH(Товары[[#This Row],[SubGroup]],Product_Structure[Subgroup],0)),"")</f>
        <v>Watering (mobile, sprinkler system&amp;MDS, Ponds)</v>
      </c>
      <c r="E17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5" s="113" t="str">
        <f>IFERROR(INDEX(Product_Structure[Product group],MATCH(Товары[[#This Row],[SubGroup]],Product_Structure[Subgroup],0)),"")</f>
        <v>WSS_C</v>
      </c>
      <c r="G1705" s="113" t="str">
        <f>IFERROR(INDEX(Product_Structure[Product group name ENG],MATCH(Товары[[#This Row],[SubGroup]],Product_Structure[Subgroup],0)),"")</f>
        <v>Watering Systems Sprinklersystem, MDS, SP</v>
      </c>
      <c r="H1705" s="113" t="str">
        <f>IFERROR(INDEX(Product_Structure[Generic Name (long)3],MATCH(Товары[[#This Row],[SubGroup]],Product_Structure[Subgroup],0)),"")</f>
        <v>Система подземного полива</v>
      </c>
      <c r="I1705" s="36">
        <v>9032</v>
      </c>
      <c r="J1705" s="36" t="str">
        <f>IFERROR(INDEX(Product_Structure[Generic Name (long)],MATCH(Товары[[#This Row],[SubGroup]],Product_Structure[Subgroup],0)),"")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Row],[SubGroup]],DIY!$B:$C,2,FALSE),0)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3" t="str">
        <f>IFERROR(INDEX(Product_Structure[SuperCategory],MATCH(Товары[[#This Row],[SubGroup]],Product_Structure[Subgroup],0)),"")</f>
        <v>W</v>
      </c>
      <c r="D1706" s="113" t="str">
        <f>IFERROR(INDEX(Product_Structure[SuperCategory Name ENG],MATCH(Товары[[#This Row],[SubGroup]],Product_Structure[Subgroup],0)),"")</f>
        <v>Watering (mobile, sprinkler system&amp;MDS, Ponds)</v>
      </c>
      <c r="E17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6" s="113" t="str">
        <f>IFERROR(INDEX(Product_Structure[Product group],MATCH(Товары[[#This Row],[SubGroup]],Product_Structure[Subgroup],0)),"")</f>
        <v>WSS_C</v>
      </c>
      <c r="G1706" s="113" t="str">
        <f>IFERROR(INDEX(Product_Structure[Product group name ENG],MATCH(Товары[[#This Row],[SubGroup]],Product_Structure[Subgroup],0)),"")</f>
        <v>Watering Systems Sprinklersystem, MDS, SP</v>
      </c>
      <c r="H1706" s="113" t="str">
        <f>IFERROR(INDEX(Product_Structure[Generic Name (long)3],MATCH(Товары[[#This Row],[SubGroup]],Product_Structure[Subgroup],0)),"")</f>
        <v>Система подземного полива</v>
      </c>
      <c r="I1706" s="36">
        <v>9032</v>
      </c>
      <c r="J1706" s="36" t="str">
        <f>IFERROR(INDEX(Product_Structure[Generic Name (long)],MATCH(Товары[[#This Row],[SubGroup]],Product_Structure[Subgroup],0)),"")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Row],[SubGroup]],DIY!$B:$C,2,FALSE),0)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3" t="str">
        <f>IFERROR(INDEX(Product_Structure[SuperCategory],MATCH(Товары[[#This Row],[SubGroup]],Product_Structure[Subgroup],0)),"")</f>
        <v>W</v>
      </c>
      <c r="D1707" s="113" t="str">
        <f>IFERROR(INDEX(Product_Structure[SuperCategory Name ENG],MATCH(Товары[[#This Row],[SubGroup]],Product_Structure[Subgroup],0)),"")</f>
        <v>Watering (mobile, sprinkler system&amp;MDS, Ponds)</v>
      </c>
      <c r="E17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7" s="113" t="str">
        <f>IFERROR(INDEX(Product_Structure[Product group],MATCH(Товары[[#This Row],[SubGroup]],Product_Structure[Subgroup],0)),"")</f>
        <v>WSS_C</v>
      </c>
      <c r="G1707" s="113" t="str">
        <f>IFERROR(INDEX(Product_Structure[Product group name ENG],MATCH(Товары[[#This Row],[SubGroup]],Product_Structure[Subgroup],0)),"")</f>
        <v>Watering Systems Sprinklersystem, MDS, SP</v>
      </c>
      <c r="H1707" s="113" t="str">
        <f>IFERROR(INDEX(Product_Structure[Generic Name (long)3],MATCH(Товары[[#This Row],[SubGroup]],Product_Structure[Subgroup],0)),"")</f>
        <v>Система подземного полива</v>
      </c>
      <c r="I1707" s="36">
        <v>9032</v>
      </c>
      <c r="J1707" s="36" t="str">
        <f>IFERROR(INDEX(Product_Structure[Generic Name (long)],MATCH(Товары[[#This Row],[SubGroup]],Product_Structure[Subgroup],0)),"")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Row],[SubGroup]],DIY!$B:$C,2,FALSE),0)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3" t="str">
        <f>IFERROR(INDEX(Product_Structure[SuperCategory],MATCH(Товары[[#This Row],[SubGroup]],Product_Structure[Subgroup],0)),"")</f>
        <v>W</v>
      </c>
      <c r="D1708" s="113" t="str">
        <f>IFERROR(INDEX(Product_Structure[SuperCategory Name ENG],MATCH(Товары[[#This Row],[SubGroup]],Product_Structure[Subgroup],0)),"")</f>
        <v>Watering (mobile, sprinkler system&amp;MDS, Ponds)</v>
      </c>
      <c r="E17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8" s="113" t="str">
        <f>IFERROR(INDEX(Product_Structure[Product group],MATCH(Товары[[#This Row],[SubGroup]],Product_Structure[Subgroup],0)),"")</f>
        <v>WSS_C</v>
      </c>
      <c r="G1708" s="113" t="str">
        <f>IFERROR(INDEX(Product_Structure[Product group name ENG],MATCH(Товары[[#This Row],[SubGroup]],Product_Structure[Subgroup],0)),"")</f>
        <v>Watering Systems Sprinklersystem, MDS, SP</v>
      </c>
      <c r="H1708" s="113" t="str">
        <f>IFERROR(INDEX(Product_Structure[Generic Name (long)3],MATCH(Товары[[#This Row],[SubGroup]],Product_Structure[Subgroup],0)),"")</f>
        <v>Система подземного полива</v>
      </c>
      <c r="I1708" s="36">
        <v>9032</v>
      </c>
      <c r="J1708" s="36" t="str">
        <f>IFERROR(INDEX(Product_Structure[Generic Name (long)],MATCH(Товары[[#This Row],[SubGroup]],Product_Structure[Subgroup],0)),"")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Row],[SubGroup]],DIY!$B:$C,2,FALSE),0)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3" t="str">
        <f>IFERROR(INDEX(Product_Structure[SuperCategory],MATCH(Товары[[#This Row],[SubGroup]],Product_Structure[Subgroup],0)),"")</f>
        <v>W</v>
      </c>
      <c r="D1709" s="113" t="str">
        <f>IFERROR(INDEX(Product_Structure[SuperCategory Name ENG],MATCH(Товары[[#This Row],[SubGroup]],Product_Structure[Subgroup],0)),"")</f>
        <v>Watering (mobile, sprinkler system&amp;MDS, Ponds)</v>
      </c>
      <c r="E17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09" s="113" t="str">
        <f>IFERROR(INDEX(Product_Structure[Product group],MATCH(Товары[[#This Row],[SubGroup]],Product_Structure[Subgroup],0)),"")</f>
        <v>WSS_C</v>
      </c>
      <c r="G1709" s="113" t="str">
        <f>IFERROR(INDEX(Product_Structure[Product group name ENG],MATCH(Товары[[#This Row],[SubGroup]],Product_Structure[Subgroup],0)),"")</f>
        <v>Watering Systems Sprinklersystem, MDS, SP</v>
      </c>
      <c r="H1709" s="113" t="str">
        <f>IFERROR(INDEX(Product_Structure[Generic Name (long)3],MATCH(Товары[[#This Row],[SubGroup]],Product_Structure[Subgroup],0)),"")</f>
        <v>Система подземного полива</v>
      </c>
      <c r="I1709" s="36">
        <v>9032</v>
      </c>
      <c r="J1709" s="36" t="str">
        <f>IFERROR(INDEX(Product_Structure[Generic Name (long)],MATCH(Товары[[#This Row],[SubGroup]],Product_Structure[Subgroup],0)),"")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Row],[SubGroup]],DIY!$B:$C,2,FALSE),0)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3" t="str">
        <f>IFERROR(INDEX(Product_Structure[SuperCategory],MATCH(Товары[[#This Row],[SubGroup]],Product_Structure[Subgroup],0)),"")</f>
        <v>W</v>
      </c>
      <c r="D1710" s="113" t="str">
        <f>IFERROR(INDEX(Product_Structure[SuperCategory Name ENG],MATCH(Товары[[#This Row],[SubGroup]],Product_Structure[Subgroup],0)),"")</f>
        <v>Watering (mobile, sprinkler system&amp;MDS, Ponds)</v>
      </c>
      <c r="E17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0" s="113" t="str">
        <f>IFERROR(INDEX(Product_Structure[Product group],MATCH(Товары[[#This Row],[SubGroup]],Product_Structure[Subgroup],0)),"")</f>
        <v>WSS_C</v>
      </c>
      <c r="G1710" s="113" t="str">
        <f>IFERROR(INDEX(Product_Structure[Product group name ENG],MATCH(Товары[[#This Row],[SubGroup]],Product_Structure[Subgroup],0)),"")</f>
        <v>Watering Systems Sprinklersystem, MDS, SP</v>
      </c>
      <c r="H1710" s="113" t="str">
        <f>IFERROR(INDEX(Product_Structure[Generic Name (long)3],MATCH(Товары[[#This Row],[SubGroup]],Product_Structure[Subgroup],0)),"")</f>
        <v>Система подземного полива</v>
      </c>
      <c r="I1710" s="36">
        <v>9032</v>
      </c>
      <c r="J1710" s="36" t="str">
        <f>IFERROR(INDEX(Product_Structure[Generic Name (long)],MATCH(Товары[[#This Row],[SubGroup]],Product_Structure[Subgroup],0)),"")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Row],[SubGroup]],DIY!$B:$C,2,FALSE),0)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3" t="str">
        <f>IFERROR(INDEX(Product_Structure[SuperCategory],MATCH(Товары[[#This Row],[SubGroup]],Product_Structure[Subgroup],0)),"")</f>
        <v>W</v>
      </c>
      <c r="D1711" s="113" t="str">
        <f>IFERROR(INDEX(Product_Structure[SuperCategory Name ENG],MATCH(Товары[[#This Row],[SubGroup]],Product_Structure[Subgroup],0)),"")</f>
        <v>Watering (mobile, sprinkler system&amp;MDS, Ponds)</v>
      </c>
      <c r="E17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1" s="113" t="str">
        <f>IFERROR(INDEX(Product_Structure[Product group],MATCH(Товары[[#This Row],[SubGroup]],Product_Structure[Subgroup],0)),"")</f>
        <v>WSS_C</v>
      </c>
      <c r="G1711" s="113" t="str">
        <f>IFERROR(INDEX(Product_Structure[Product group name ENG],MATCH(Товары[[#This Row],[SubGroup]],Product_Structure[Subgroup],0)),"")</f>
        <v>Watering Systems Sprinklersystem, MDS, SP</v>
      </c>
      <c r="H1711" s="113" t="str">
        <f>IFERROR(INDEX(Product_Structure[Generic Name (long)3],MATCH(Товары[[#This Row],[SubGroup]],Product_Structure[Subgroup],0)),"")</f>
        <v>Система подземного полива</v>
      </c>
      <c r="I1711" s="36">
        <v>9032</v>
      </c>
      <c r="J1711" s="36" t="str">
        <f>IFERROR(INDEX(Product_Structure[Generic Name (long)],MATCH(Товары[[#This Row],[SubGroup]],Product_Structure[Subgroup],0)),"")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Row],[SubGroup]],DIY!$B:$C,2,FALSE),0)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3" t="str">
        <f>IFERROR(INDEX(Product_Structure[SuperCategory],MATCH(Товары[[#This Row],[SubGroup]],Product_Structure[Subgroup],0)),"")</f>
        <v>W</v>
      </c>
      <c r="D1712" s="113" t="str">
        <f>IFERROR(INDEX(Product_Structure[SuperCategory Name ENG],MATCH(Товары[[#This Row],[SubGroup]],Product_Structure[Subgroup],0)),"")</f>
        <v>Watering (mobile, sprinkler system&amp;MDS, Ponds)</v>
      </c>
      <c r="E17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2" s="113" t="str">
        <f>IFERROR(INDEX(Product_Structure[Product group],MATCH(Товары[[#This Row],[SubGroup]],Product_Structure[Subgroup],0)),"")</f>
        <v>WSS_C</v>
      </c>
      <c r="G1712" s="113" t="str">
        <f>IFERROR(INDEX(Product_Structure[Product group name ENG],MATCH(Товары[[#This Row],[SubGroup]],Product_Structure[Subgroup],0)),"")</f>
        <v>Watering Systems Sprinklersystem, MDS, SP</v>
      </c>
      <c r="H1712" s="113" t="str">
        <f>IFERROR(INDEX(Product_Structure[Generic Name (long)3],MATCH(Товары[[#This Row],[SubGroup]],Product_Structure[Subgroup],0)),"")</f>
        <v>Система подземного полива</v>
      </c>
      <c r="I1712" s="36">
        <v>9032</v>
      </c>
      <c r="J1712" s="36" t="str">
        <f>IFERROR(INDEX(Product_Structure[Generic Name (long)],MATCH(Товары[[#This Row],[SubGroup]],Product_Structure[Subgroup],0)),"")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Row],[SubGroup]],DIY!$B:$C,2,FALSE),0)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3" t="str">
        <f>IFERROR(INDEX(Product_Structure[SuperCategory],MATCH(Товары[[#This Row],[SubGroup]],Product_Structure[Subgroup],0)),"")</f>
        <v>W</v>
      </c>
      <c r="D1713" s="113" t="str">
        <f>IFERROR(INDEX(Product_Structure[SuperCategory Name ENG],MATCH(Товары[[#This Row],[SubGroup]],Product_Structure[Subgroup],0)),"")</f>
        <v>Watering (mobile, sprinkler system&amp;MDS, Ponds)</v>
      </c>
      <c r="E17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3" s="113" t="str">
        <f>IFERROR(INDEX(Product_Structure[Product group],MATCH(Товары[[#This Row],[SubGroup]],Product_Structure[Subgroup],0)),"")</f>
        <v>WSS_C</v>
      </c>
      <c r="G1713" s="113" t="str">
        <f>IFERROR(INDEX(Product_Structure[Product group name ENG],MATCH(Товары[[#This Row],[SubGroup]],Product_Structure[Subgroup],0)),"")</f>
        <v>Watering Systems Sprinklersystem, MDS, SP</v>
      </c>
      <c r="H1713" s="113" t="str">
        <f>IFERROR(INDEX(Product_Structure[Generic Name (long)3],MATCH(Товары[[#This Row],[SubGroup]],Product_Structure[Subgroup],0)),"")</f>
        <v>Система подземного полива</v>
      </c>
      <c r="I1713" s="36">
        <v>9032</v>
      </c>
      <c r="J1713" s="36" t="str">
        <f>IFERROR(INDEX(Product_Structure[Generic Name (long)],MATCH(Товары[[#This Row],[SubGroup]],Product_Structure[Subgroup],0)),"")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Row],[SubGroup]],DIY!$B:$C,2,FALSE),0)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3" t="str">
        <f>IFERROR(INDEX(Product_Structure[SuperCategory],MATCH(Товары[[#This Row],[SubGroup]],Product_Structure[Subgroup],0)),"")</f>
        <v>W</v>
      </c>
      <c r="D1714" s="113" t="str">
        <f>IFERROR(INDEX(Product_Structure[SuperCategory Name ENG],MATCH(Товары[[#This Row],[SubGroup]],Product_Structure[Subgroup],0)),"")</f>
        <v>Watering (mobile, sprinkler system&amp;MDS, Ponds)</v>
      </c>
      <c r="E17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4" s="113" t="str">
        <f>IFERROR(INDEX(Product_Structure[Product group],MATCH(Товары[[#This Row],[SubGroup]],Product_Structure[Subgroup],0)),"")</f>
        <v>WSS_C</v>
      </c>
      <c r="G1714" s="113" t="str">
        <f>IFERROR(INDEX(Product_Structure[Product group name ENG],MATCH(Товары[[#This Row],[SubGroup]],Product_Structure[Subgroup],0)),"")</f>
        <v>Watering Systems Sprinklersystem, MDS, SP</v>
      </c>
      <c r="H1714" s="113" t="str">
        <f>IFERROR(INDEX(Product_Structure[Generic Name (long)3],MATCH(Товары[[#This Row],[SubGroup]],Product_Structure[Subgroup],0)),"")</f>
        <v>Система подземного полива</v>
      </c>
      <c r="I1714" s="36">
        <v>9032</v>
      </c>
      <c r="J1714" s="36" t="str">
        <f>IFERROR(INDEX(Product_Structure[Generic Name (long)],MATCH(Товары[[#This Row],[SubGroup]],Product_Structure[Subgroup],0)),"")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Row],[SubGroup]],DIY!$B:$C,2,FALSE),0)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3" t="str">
        <f>IFERROR(INDEX(Product_Structure[SuperCategory],MATCH(Товары[[#This Row],[SubGroup]],Product_Structure[Subgroup],0)),"")</f>
        <v>W</v>
      </c>
      <c r="D1715" s="113" t="str">
        <f>IFERROR(INDEX(Product_Structure[SuperCategory Name ENG],MATCH(Товары[[#This Row],[SubGroup]],Product_Structure[Subgroup],0)),"")</f>
        <v>Watering (mobile, sprinkler system&amp;MDS, Ponds)</v>
      </c>
      <c r="E17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5" s="113" t="str">
        <f>IFERROR(INDEX(Product_Structure[Product group],MATCH(Товары[[#This Row],[SubGroup]],Product_Structure[Subgroup],0)),"")</f>
        <v>WSS_C</v>
      </c>
      <c r="G1715" s="113" t="str">
        <f>IFERROR(INDEX(Product_Structure[Product group name ENG],MATCH(Товары[[#This Row],[SubGroup]],Product_Structure[Subgroup],0)),"")</f>
        <v>Watering Systems Sprinklersystem, MDS, SP</v>
      </c>
      <c r="H1715" s="113" t="str">
        <f>IFERROR(INDEX(Product_Structure[Generic Name (long)3],MATCH(Товары[[#This Row],[SubGroup]],Product_Structure[Subgroup],0)),"")</f>
        <v>Система подземного полива</v>
      </c>
      <c r="I1715" s="36">
        <v>9032</v>
      </c>
      <c r="J1715" s="36" t="str">
        <f>IFERROR(INDEX(Product_Structure[Generic Name (long)],MATCH(Товары[[#This Row],[SubGroup]],Product_Structure[Subgroup],0)),"")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Row],[SubGroup]],DIY!$B:$C,2,FALSE),0)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3" t="str">
        <f>IFERROR(INDEX(Product_Structure[SuperCategory],MATCH(Товары[[#This Row],[SubGroup]],Product_Structure[Subgroup],0)),"")</f>
        <v>W</v>
      </c>
      <c r="D1716" s="113" t="str">
        <f>IFERROR(INDEX(Product_Structure[SuperCategory Name ENG],MATCH(Товары[[#This Row],[SubGroup]],Product_Structure[Subgroup],0)),"")</f>
        <v>Watering (mobile, sprinkler system&amp;MDS, Ponds)</v>
      </c>
      <c r="E17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6" s="113" t="str">
        <f>IFERROR(INDEX(Product_Structure[Product group],MATCH(Товары[[#This Row],[SubGroup]],Product_Structure[Subgroup],0)),"")</f>
        <v>WSS_C</v>
      </c>
      <c r="G1716" s="113" t="str">
        <f>IFERROR(INDEX(Product_Structure[Product group name ENG],MATCH(Товары[[#This Row],[SubGroup]],Product_Structure[Subgroup],0)),"")</f>
        <v>Watering Systems Sprinklersystem, MDS, SP</v>
      </c>
      <c r="H1716" s="113" t="str">
        <f>IFERROR(INDEX(Product_Structure[Generic Name (long)3],MATCH(Товары[[#This Row],[SubGroup]],Product_Structure[Subgroup],0)),"")</f>
        <v>Система подземного полива</v>
      </c>
      <c r="I1716" s="36">
        <v>9032</v>
      </c>
      <c r="J1716" s="36" t="str">
        <f>IFERROR(INDEX(Product_Structure[Generic Name (long)],MATCH(Товары[[#This Row],[SubGroup]],Product_Structure[Subgroup],0)),"")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Row],[SubGroup]],DIY!$B:$C,2,FALSE),0)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3" t="str">
        <f>IFERROR(INDEX(Product_Structure[SuperCategory],MATCH(Товары[[#This Row],[SubGroup]],Product_Structure[Subgroup],0)),"")</f>
        <v>W</v>
      </c>
      <c r="D1717" s="113" t="str">
        <f>IFERROR(INDEX(Product_Structure[SuperCategory Name ENG],MATCH(Товары[[#This Row],[SubGroup]],Product_Structure[Subgroup],0)),"")</f>
        <v>Watering (mobile, sprinkler system&amp;MDS, Ponds)</v>
      </c>
      <c r="E17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7" s="113" t="str">
        <f>IFERROR(INDEX(Product_Structure[Product group],MATCH(Товары[[#This Row],[SubGroup]],Product_Structure[Subgroup],0)),"")</f>
        <v>WSS_C</v>
      </c>
      <c r="G1717" s="113" t="str">
        <f>IFERROR(INDEX(Product_Structure[Product group name ENG],MATCH(Товары[[#This Row],[SubGroup]],Product_Structure[Subgroup],0)),"")</f>
        <v>Watering Systems Sprinklersystem, MDS, SP</v>
      </c>
      <c r="H1717" s="113" t="str">
        <f>IFERROR(INDEX(Product_Structure[Generic Name (long)3],MATCH(Товары[[#This Row],[SubGroup]],Product_Structure[Subgroup],0)),"")</f>
        <v>Система подземного полива</v>
      </c>
      <c r="I1717" s="36">
        <v>9032</v>
      </c>
      <c r="J1717" s="36" t="str">
        <f>IFERROR(INDEX(Product_Structure[Generic Name (long)],MATCH(Товары[[#This Row],[SubGroup]],Product_Structure[Subgroup],0)),"")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Row],[SubGroup]],DIY!$B:$C,2,FALSE),0)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3" t="str">
        <f>IFERROR(INDEX(Product_Structure[SuperCategory],MATCH(Товары[[#This Row],[SubGroup]],Product_Structure[Subgroup],0)),"")</f>
        <v>W</v>
      </c>
      <c r="D1718" s="113" t="str">
        <f>IFERROR(INDEX(Product_Structure[SuperCategory Name ENG],MATCH(Товары[[#This Row],[SubGroup]],Product_Structure[Subgroup],0)),"")</f>
        <v>Watering (mobile, sprinkler system&amp;MDS, Ponds)</v>
      </c>
      <c r="E17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8" s="113" t="str">
        <f>IFERROR(INDEX(Product_Structure[Product group],MATCH(Товары[[#This Row],[SubGroup]],Product_Structure[Subgroup],0)),"")</f>
        <v>WSS_C</v>
      </c>
      <c r="G1718" s="113" t="str">
        <f>IFERROR(INDEX(Product_Structure[Product group name ENG],MATCH(Товары[[#This Row],[SubGroup]],Product_Structure[Subgroup],0)),"")</f>
        <v>Watering Systems Sprinklersystem, MDS, SP</v>
      </c>
      <c r="H1718" s="113" t="str">
        <f>IFERROR(INDEX(Product_Structure[Generic Name (long)3],MATCH(Товары[[#This Row],[SubGroup]],Product_Structure[Subgroup],0)),"")</f>
        <v>Система подземного полива</v>
      </c>
      <c r="I1718" s="36">
        <v>9032</v>
      </c>
      <c r="J1718" s="36" t="str">
        <f>IFERROR(INDEX(Product_Structure[Generic Name (long)],MATCH(Товары[[#This Row],[SubGroup]],Product_Structure[Subgroup],0)),"")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Row],[SubGroup]],DIY!$B:$C,2,FALSE),0)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3" t="str">
        <f>IFERROR(INDEX(Product_Structure[SuperCategory],MATCH(Товары[[#This Row],[SubGroup]],Product_Structure[Subgroup],0)),"")</f>
        <v>W</v>
      </c>
      <c r="D1719" s="113" t="str">
        <f>IFERROR(INDEX(Product_Structure[SuperCategory Name ENG],MATCH(Товары[[#This Row],[SubGroup]],Product_Structure[Subgroup],0)),"")</f>
        <v>Watering (mobile, sprinkler system&amp;MDS, Ponds)</v>
      </c>
      <c r="E17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19" s="113" t="str">
        <f>IFERROR(INDEX(Product_Structure[Product group],MATCH(Товары[[#This Row],[SubGroup]],Product_Structure[Subgroup],0)),"")</f>
        <v>WSS_C</v>
      </c>
      <c r="G1719" s="113" t="str">
        <f>IFERROR(INDEX(Product_Structure[Product group name ENG],MATCH(Товары[[#This Row],[SubGroup]],Product_Structure[Subgroup],0)),"")</f>
        <v>Watering Systems Sprinklersystem, MDS, SP</v>
      </c>
      <c r="H1719" s="113" t="str">
        <f>IFERROR(INDEX(Product_Structure[Generic Name (long)3],MATCH(Товары[[#This Row],[SubGroup]],Product_Structure[Subgroup],0)),"")</f>
        <v>Система подземного полива</v>
      </c>
      <c r="I1719" s="36">
        <v>9032</v>
      </c>
      <c r="J1719" s="36" t="str">
        <f>IFERROR(INDEX(Product_Structure[Generic Name (long)],MATCH(Товары[[#This Row],[SubGroup]],Product_Structure[Subgroup],0)),"")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Row],[SubGroup]],DIY!$B:$C,2,FALSE),0)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3" t="str">
        <f>IFERROR(INDEX(Product_Structure[SuperCategory],MATCH(Товары[[#This Row],[SubGroup]],Product_Structure[Subgroup],0)),"")</f>
        <v>W</v>
      </c>
      <c r="D1720" s="113" t="str">
        <f>IFERROR(INDEX(Product_Structure[SuperCategory Name ENG],MATCH(Товары[[#This Row],[SubGroup]],Product_Structure[Subgroup],0)),"")</f>
        <v>Watering (mobile, sprinkler system&amp;MDS, Ponds)</v>
      </c>
      <c r="E17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0" s="113" t="str">
        <f>IFERROR(INDEX(Product_Structure[Product group],MATCH(Товары[[#This Row],[SubGroup]],Product_Structure[Subgroup],0)),"")</f>
        <v>WSS_C</v>
      </c>
      <c r="G1720" s="113" t="str">
        <f>IFERROR(INDEX(Product_Structure[Product group name ENG],MATCH(Товары[[#This Row],[SubGroup]],Product_Structure[Subgroup],0)),"")</f>
        <v>Watering Systems Sprinklersystem, MDS, SP</v>
      </c>
      <c r="H1720" s="113" t="str">
        <f>IFERROR(INDEX(Product_Structure[Generic Name (long)3],MATCH(Товары[[#This Row],[SubGroup]],Product_Structure[Subgroup],0)),"")</f>
        <v>Система подземного полива</v>
      </c>
      <c r="I1720" s="36">
        <v>9032</v>
      </c>
      <c r="J1720" s="36" t="str">
        <f>IFERROR(INDEX(Product_Structure[Generic Name (long)],MATCH(Товары[[#This Row],[SubGroup]],Product_Structure[Subgroup],0)),"")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Row],[SubGroup]],DIY!$B:$C,2,FALSE),0)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3" t="str">
        <f>IFERROR(INDEX(Product_Structure[SuperCategory],MATCH(Товары[[#This Row],[SubGroup]],Product_Structure[Subgroup],0)),"")</f>
        <v>W</v>
      </c>
      <c r="D1721" s="113" t="str">
        <f>IFERROR(INDEX(Product_Structure[SuperCategory Name ENG],MATCH(Товары[[#This Row],[SubGroup]],Product_Structure[Subgroup],0)),"")</f>
        <v>Watering (mobile, sprinkler system&amp;MDS, Ponds)</v>
      </c>
      <c r="E17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1" s="113" t="str">
        <f>IFERROR(INDEX(Product_Structure[Product group],MATCH(Товары[[#This Row],[SubGroup]],Product_Structure[Subgroup],0)),"")</f>
        <v>WSS_C</v>
      </c>
      <c r="G1721" s="113" t="str">
        <f>IFERROR(INDEX(Product_Structure[Product group name ENG],MATCH(Товары[[#This Row],[SubGroup]],Product_Structure[Subgroup],0)),"")</f>
        <v>Watering Systems Sprinklersystem, MDS, SP</v>
      </c>
      <c r="H1721" s="113" t="str">
        <f>IFERROR(INDEX(Product_Structure[Generic Name (long)3],MATCH(Товары[[#This Row],[SubGroup]],Product_Structure[Subgroup],0)),"")</f>
        <v>Система подземного полива</v>
      </c>
      <c r="I1721" s="36">
        <v>9032</v>
      </c>
      <c r="J1721" s="36" t="str">
        <f>IFERROR(INDEX(Product_Structure[Generic Name (long)],MATCH(Товары[[#This Row],[SubGroup]],Product_Structure[Subgroup],0)),"")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Row],[SubGroup]],DIY!$B:$C,2,FALSE),0)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3" t="str">
        <f>IFERROR(INDEX(Product_Structure[SuperCategory],MATCH(Товары[[#This Row],[SubGroup]],Product_Structure[Subgroup],0)),"")</f>
        <v>W</v>
      </c>
      <c r="D1722" s="113" t="str">
        <f>IFERROR(INDEX(Product_Structure[SuperCategory Name ENG],MATCH(Товары[[#This Row],[SubGroup]],Product_Structure[Subgroup],0)),"")</f>
        <v>Watering (mobile, sprinkler system&amp;MDS, Ponds)</v>
      </c>
      <c r="E17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2" s="113" t="str">
        <f>IFERROR(INDEX(Product_Structure[Product group],MATCH(Товары[[#This Row],[SubGroup]],Product_Structure[Subgroup],0)),"")</f>
        <v>WSS_C</v>
      </c>
      <c r="G1722" s="113" t="str">
        <f>IFERROR(INDEX(Product_Structure[Product group name ENG],MATCH(Товары[[#This Row],[SubGroup]],Product_Structure[Subgroup],0)),"")</f>
        <v>Watering Systems Sprinklersystem, MDS, SP</v>
      </c>
      <c r="H1722" s="113" t="str">
        <f>IFERROR(INDEX(Product_Structure[Generic Name (long)3],MATCH(Товары[[#This Row],[SubGroup]],Product_Structure[Subgroup],0)),"")</f>
        <v>Система подземного полива</v>
      </c>
      <c r="I1722" s="36">
        <v>9032</v>
      </c>
      <c r="J1722" s="36" t="str">
        <f>IFERROR(INDEX(Product_Structure[Generic Name (long)],MATCH(Товары[[#This Row],[SubGroup]],Product_Structure[Subgroup],0)),"")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Row],[SubGroup]],DIY!$B:$C,2,FALSE),0)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3" t="str">
        <f>IFERROR(INDEX(Product_Structure[SuperCategory],MATCH(Товары[[#This Row],[SubGroup]],Product_Structure[Subgroup],0)),"")</f>
        <v>W</v>
      </c>
      <c r="D1723" s="113" t="str">
        <f>IFERROR(INDEX(Product_Structure[SuperCategory Name ENG],MATCH(Товары[[#This Row],[SubGroup]],Product_Structure[Subgroup],0)),"")</f>
        <v>Watering (mobile, sprinkler system&amp;MDS, Ponds)</v>
      </c>
      <c r="E17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3" s="113" t="str">
        <f>IFERROR(INDEX(Product_Structure[Product group],MATCH(Товары[[#This Row],[SubGroup]],Product_Structure[Subgroup],0)),"")</f>
        <v>WSS_C</v>
      </c>
      <c r="G1723" s="113" t="str">
        <f>IFERROR(INDEX(Product_Structure[Product group name ENG],MATCH(Товары[[#This Row],[SubGroup]],Product_Structure[Subgroup],0)),"")</f>
        <v>Watering Systems Sprinklersystem, MDS, SP</v>
      </c>
      <c r="H1723" s="113" t="str">
        <f>IFERROR(INDEX(Product_Structure[Generic Name (long)3],MATCH(Товары[[#This Row],[SubGroup]],Product_Structure[Subgroup],0)),"")</f>
        <v>Система подземного полива</v>
      </c>
      <c r="I1723" s="36">
        <v>9032</v>
      </c>
      <c r="J1723" s="36" t="str">
        <f>IFERROR(INDEX(Product_Structure[Generic Name (long)],MATCH(Товары[[#This Row],[SubGroup]],Product_Structure[Subgroup],0)),"")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Row],[SubGroup]],DIY!$B:$C,2,FALSE),0)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3" t="str">
        <f>IFERROR(INDEX(Product_Structure[SuperCategory],MATCH(Товары[[#This Row],[SubGroup]],Product_Structure[Subgroup],0)),"")</f>
        <v>W</v>
      </c>
      <c r="D1724" s="113" t="str">
        <f>IFERROR(INDEX(Product_Structure[SuperCategory Name ENG],MATCH(Товары[[#This Row],[SubGroup]],Product_Structure[Subgroup],0)),"")</f>
        <v>Watering (mobile, sprinkler system&amp;MDS, Ponds)</v>
      </c>
      <c r="E17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4" s="113" t="str">
        <f>IFERROR(INDEX(Product_Structure[Product group],MATCH(Товары[[#This Row],[SubGroup]],Product_Structure[Subgroup],0)),"")</f>
        <v>WSS_C</v>
      </c>
      <c r="G1724" s="113" t="str">
        <f>IFERROR(INDEX(Product_Structure[Product group name ENG],MATCH(Товары[[#This Row],[SubGroup]],Product_Structure[Subgroup],0)),"")</f>
        <v>Watering Systems Sprinklersystem, MDS, SP</v>
      </c>
      <c r="H1724" s="113" t="str">
        <f>IFERROR(INDEX(Product_Structure[Generic Name (long)3],MATCH(Товары[[#This Row],[SubGroup]],Product_Structure[Subgroup],0)),"")</f>
        <v>Система подземного полива</v>
      </c>
      <c r="I1724" s="36">
        <v>9032</v>
      </c>
      <c r="J1724" s="36" t="str">
        <f>IFERROR(INDEX(Product_Structure[Generic Name (long)],MATCH(Товары[[#This Row],[SubGroup]],Product_Structure[Subgroup],0)),"")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Row],[SubGroup]],DIY!$B:$C,2,FALSE),0)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3" t="str">
        <f>IFERROR(INDEX(Product_Structure[SuperCategory],MATCH(Товары[[#This Row],[SubGroup]],Product_Structure[Subgroup],0)),"")</f>
        <v>W</v>
      </c>
      <c r="D1725" s="113" t="str">
        <f>IFERROR(INDEX(Product_Structure[SuperCategory Name ENG],MATCH(Товары[[#This Row],[SubGroup]],Product_Structure[Subgroup],0)),"")</f>
        <v>Watering (mobile, sprinkler system&amp;MDS, Ponds)</v>
      </c>
      <c r="E17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5" s="113" t="str">
        <f>IFERROR(INDEX(Product_Structure[Product group],MATCH(Товары[[#This Row],[SubGroup]],Product_Structure[Subgroup],0)),"")</f>
        <v>WSS_C</v>
      </c>
      <c r="G1725" s="113" t="str">
        <f>IFERROR(INDEX(Product_Structure[Product group name ENG],MATCH(Товары[[#This Row],[SubGroup]],Product_Structure[Subgroup],0)),"")</f>
        <v>Watering Systems Sprinklersystem, MDS, SP</v>
      </c>
      <c r="H1725" s="113" t="str">
        <f>IFERROR(INDEX(Product_Structure[Generic Name (long)3],MATCH(Товары[[#This Row],[SubGroup]],Product_Structure[Subgroup],0)),"")</f>
        <v>Система подземного полива</v>
      </c>
      <c r="I1725" s="36">
        <v>9032</v>
      </c>
      <c r="J1725" s="36" t="str">
        <f>IFERROR(INDEX(Product_Structure[Generic Name (long)],MATCH(Товары[[#This Row],[SubGroup]],Product_Structure[Subgroup],0)),"")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Row],[SubGroup]],DIY!$B:$C,2,FALSE),0)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3" t="str">
        <f>IFERROR(INDEX(Product_Structure[SuperCategory],MATCH(Товары[[#This Row],[SubGroup]],Product_Structure[Subgroup],0)),"")</f>
        <v>W</v>
      </c>
      <c r="D1726" s="113" t="str">
        <f>IFERROR(INDEX(Product_Structure[SuperCategory Name ENG],MATCH(Товары[[#This Row],[SubGroup]],Product_Structure[Subgroup],0)),"")</f>
        <v>Watering (mobile, sprinkler system&amp;MDS, Ponds)</v>
      </c>
      <c r="E17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6" s="113" t="str">
        <f>IFERROR(INDEX(Product_Structure[Product group],MATCH(Товары[[#This Row],[SubGroup]],Product_Structure[Subgroup],0)),"")</f>
        <v>WSS_C</v>
      </c>
      <c r="G1726" s="113" t="str">
        <f>IFERROR(INDEX(Product_Structure[Product group name ENG],MATCH(Товары[[#This Row],[SubGroup]],Product_Structure[Subgroup],0)),"")</f>
        <v>Watering Systems Sprinklersystem, MDS, SP</v>
      </c>
      <c r="H1726" s="113" t="str">
        <f>IFERROR(INDEX(Product_Structure[Generic Name (long)3],MATCH(Товары[[#This Row],[SubGroup]],Product_Structure[Subgroup],0)),"")</f>
        <v>Система подземного полива</v>
      </c>
      <c r="I1726" s="36">
        <v>9032</v>
      </c>
      <c r="J1726" s="36" t="str">
        <f>IFERROR(INDEX(Product_Structure[Generic Name (long)],MATCH(Товары[[#This Row],[SubGroup]],Product_Structure[Subgroup],0)),"")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Row],[SubGroup]],DIY!$B:$C,2,FALSE),0)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3" t="str">
        <f>IFERROR(INDEX(Product_Structure[SuperCategory],MATCH(Товары[[#This Row],[SubGroup]],Product_Structure[Subgroup],0)),"")</f>
        <v>W</v>
      </c>
      <c r="D1727" s="113" t="str">
        <f>IFERROR(INDEX(Product_Structure[SuperCategory Name ENG],MATCH(Товары[[#This Row],[SubGroup]],Product_Structure[Subgroup],0)),"")</f>
        <v>Watering (mobile, sprinkler system&amp;MDS, Ponds)</v>
      </c>
      <c r="E17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7" s="113" t="str">
        <f>IFERROR(INDEX(Product_Structure[Product group],MATCH(Товары[[#This Row],[SubGroup]],Product_Structure[Subgroup],0)),"")</f>
        <v>WSS_C</v>
      </c>
      <c r="G1727" s="113" t="str">
        <f>IFERROR(INDEX(Product_Structure[Product group name ENG],MATCH(Товары[[#This Row],[SubGroup]],Product_Structure[Subgroup],0)),"")</f>
        <v>Watering Systems Sprinklersystem, MDS, SP</v>
      </c>
      <c r="H1727" s="113" t="str">
        <f>IFERROR(INDEX(Product_Structure[Generic Name (long)3],MATCH(Товары[[#This Row],[SubGroup]],Product_Structure[Subgroup],0)),"")</f>
        <v>Система подземного полива</v>
      </c>
      <c r="I1727" s="36">
        <v>9032</v>
      </c>
      <c r="J1727" s="36" t="str">
        <f>IFERROR(INDEX(Product_Structure[Generic Name (long)],MATCH(Товары[[#This Row],[SubGroup]],Product_Structure[Subgroup],0)),"")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Row],[SubGroup]],DIY!$B:$C,2,FALSE),0)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3" t="str">
        <f>IFERROR(INDEX(Product_Structure[SuperCategory],MATCH(Товары[[#This Row],[SubGroup]],Product_Structure[Subgroup],0)),"")</f>
        <v>W</v>
      </c>
      <c r="D1728" s="113" t="str">
        <f>IFERROR(INDEX(Product_Structure[SuperCategory Name ENG],MATCH(Товары[[#This Row],[SubGroup]],Product_Structure[Subgroup],0)),"")</f>
        <v>Watering (mobile, sprinkler system&amp;MDS, Ponds)</v>
      </c>
      <c r="E17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8" s="113" t="str">
        <f>IFERROR(INDEX(Product_Structure[Product group],MATCH(Товары[[#This Row],[SubGroup]],Product_Structure[Subgroup],0)),"")</f>
        <v>WSS_C</v>
      </c>
      <c r="G1728" s="113" t="str">
        <f>IFERROR(INDEX(Product_Structure[Product group name ENG],MATCH(Товары[[#This Row],[SubGroup]],Product_Structure[Subgroup],0)),"")</f>
        <v>Watering Systems Sprinklersystem, MDS, SP</v>
      </c>
      <c r="H1728" s="113" t="str">
        <f>IFERROR(INDEX(Product_Structure[Generic Name (long)3],MATCH(Товары[[#This Row],[SubGroup]],Product_Structure[Subgroup],0)),"")</f>
        <v>Система подземного полива</v>
      </c>
      <c r="I1728" s="36">
        <v>9032</v>
      </c>
      <c r="J1728" s="36" t="str">
        <f>IFERROR(INDEX(Product_Structure[Generic Name (long)],MATCH(Товары[[#This Row],[SubGroup]],Product_Structure[Subgroup],0)),"")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Row],[SubGroup]],DIY!$B:$C,2,FALSE),0)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3" t="str">
        <f>IFERROR(INDEX(Product_Structure[SuperCategory],MATCH(Товары[[#This Row],[SubGroup]],Product_Structure[Subgroup],0)),"")</f>
        <v>W</v>
      </c>
      <c r="D1729" s="113" t="str">
        <f>IFERROR(INDEX(Product_Structure[SuperCategory Name ENG],MATCH(Товары[[#This Row],[SubGroup]],Product_Structure[Subgroup],0)),"")</f>
        <v>Watering (mobile, sprinkler system&amp;MDS, Ponds)</v>
      </c>
      <c r="E17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29" s="113" t="str">
        <f>IFERROR(INDEX(Product_Structure[Product group],MATCH(Товары[[#This Row],[SubGroup]],Product_Structure[Subgroup],0)),"")</f>
        <v>WSS_C</v>
      </c>
      <c r="G1729" s="113" t="str">
        <f>IFERROR(INDEX(Product_Structure[Product group name ENG],MATCH(Товары[[#This Row],[SubGroup]],Product_Structure[Subgroup],0)),"")</f>
        <v>Watering Systems Sprinklersystem, MDS, SP</v>
      </c>
      <c r="H1729" s="113" t="str">
        <f>IFERROR(INDEX(Product_Structure[Generic Name (long)3],MATCH(Товары[[#This Row],[SubGroup]],Product_Structure[Subgroup],0)),"")</f>
        <v>Система подземного полива</v>
      </c>
      <c r="I1729" s="36">
        <v>9032</v>
      </c>
      <c r="J1729" s="36" t="str">
        <f>IFERROR(INDEX(Product_Structure[Generic Name (long)],MATCH(Товары[[#This Row],[SubGroup]],Product_Structure[Subgroup],0)),"")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Row],[SubGroup]],DIY!$B:$C,2,FALSE),0)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3" t="str">
        <f>IFERROR(INDEX(Product_Structure[SuperCategory],MATCH(Товары[[#This Row],[SubGroup]],Product_Structure[Subgroup],0)),"")</f>
        <v>W</v>
      </c>
      <c r="D1730" s="113" t="str">
        <f>IFERROR(INDEX(Product_Structure[SuperCategory Name ENG],MATCH(Товары[[#This Row],[SubGroup]],Product_Structure[Subgroup],0)),"")</f>
        <v>Watering (mobile, sprinkler system&amp;MDS, Ponds)</v>
      </c>
      <c r="E17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0" s="113" t="str">
        <f>IFERROR(INDEX(Product_Structure[Product group],MATCH(Товары[[#This Row],[SubGroup]],Product_Structure[Subgroup],0)),"")</f>
        <v>WSS_C</v>
      </c>
      <c r="G1730" s="113" t="str">
        <f>IFERROR(INDEX(Product_Structure[Product group name ENG],MATCH(Товары[[#This Row],[SubGroup]],Product_Structure[Subgroup],0)),"")</f>
        <v>Watering Systems Sprinklersystem, MDS, SP</v>
      </c>
      <c r="H1730" s="113" t="str">
        <f>IFERROR(INDEX(Product_Structure[Generic Name (long)3],MATCH(Товары[[#This Row],[SubGroup]],Product_Structure[Subgroup],0)),"")</f>
        <v>Система подземного полива</v>
      </c>
      <c r="I1730" s="36">
        <v>9032</v>
      </c>
      <c r="J1730" s="36" t="str">
        <f>IFERROR(INDEX(Product_Structure[Generic Name (long)],MATCH(Товары[[#This Row],[SubGroup]],Product_Structure[Subgroup],0)),"")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Row],[SubGroup]],DIY!$B:$C,2,FALSE),0)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3" t="str">
        <f>IFERROR(INDEX(Product_Structure[SuperCategory],MATCH(Товары[[#This Row],[SubGroup]],Product_Structure[Subgroup],0)),"")</f>
        <v>W</v>
      </c>
      <c r="D1731" s="113" t="str">
        <f>IFERROR(INDEX(Product_Structure[SuperCategory Name ENG],MATCH(Товары[[#This Row],[SubGroup]],Product_Structure[Subgroup],0)),"")</f>
        <v>Watering (mobile, sprinkler system&amp;MDS, Ponds)</v>
      </c>
      <c r="E17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1" s="113" t="str">
        <f>IFERROR(INDEX(Product_Structure[Product group],MATCH(Товары[[#This Row],[SubGroup]],Product_Structure[Subgroup],0)),"")</f>
        <v>WSS_C</v>
      </c>
      <c r="G1731" s="113" t="str">
        <f>IFERROR(INDEX(Product_Structure[Product group name ENG],MATCH(Товары[[#This Row],[SubGroup]],Product_Structure[Subgroup],0)),"")</f>
        <v>Watering Systems Sprinklersystem, MDS, SP</v>
      </c>
      <c r="H1731" s="113" t="str">
        <f>IFERROR(INDEX(Product_Structure[Generic Name (long)3],MATCH(Товары[[#This Row],[SubGroup]],Product_Structure[Subgroup],0)),"")</f>
        <v>Система подземного полива</v>
      </c>
      <c r="I1731" s="36">
        <v>9032</v>
      </c>
      <c r="J1731" s="36" t="str">
        <f>IFERROR(INDEX(Product_Structure[Generic Name (long)],MATCH(Товары[[#This Row],[SubGroup]],Product_Structure[Subgroup],0)),"")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Row],[SubGroup]],DIY!$B:$C,2,FALSE),0)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3" t="str">
        <f>IFERROR(INDEX(Product_Structure[SuperCategory],MATCH(Товары[[#This Row],[SubGroup]],Product_Structure[Subgroup],0)),"")</f>
        <v>W</v>
      </c>
      <c r="D1732" s="113" t="str">
        <f>IFERROR(INDEX(Product_Structure[SuperCategory Name ENG],MATCH(Товары[[#This Row],[SubGroup]],Product_Structure[Subgroup],0)),"")</f>
        <v>Watering (mobile, sprinkler system&amp;MDS, Ponds)</v>
      </c>
      <c r="E17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2" s="113" t="str">
        <f>IFERROR(INDEX(Product_Structure[Product group],MATCH(Товары[[#This Row],[SubGroup]],Product_Structure[Subgroup],0)),"")</f>
        <v>WSS_C</v>
      </c>
      <c r="G1732" s="113" t="str">
        <f>IFERROR(INDEX(Product_Structure[Product group name ENG],MATCH(Товары[[#This Row],[SubGroup]],Product_Structure[Subgroup],0)),"")</f>
        <v>Watering Systems Sprinklersystem, MDS, SP</v>
      </c>
      <c r="H1732" s="113" t="str">
        <f>IFERROR(INDEX(Product_Structure[Generic Name (long)3],MATCH(Товары[[#This Row],[SubGroup]],Product_Structure[Subgroup],0)),"")</f>
        <v>Система подземного полива</v>
      </c>
      <c r="I1732" s="36">
        <v>9032</v>
      </c>
      <c r="J1732" s="36" t="str">
        <f>IFERROR(INDEX(Product_Structure[Generic Name (long)],MATCH(Товары[[#This Row],[SubGroup]],Product_Structure[Subgroup],0)),"")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Row],[SubGroup]],DIY!$B:$C,2,FALSE),0)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3" t="str">
        <f>IFERROR(INDEX(Product_Structure[SuperCategory],MATCH(Товары[[#This Row],[SubGroup]],Product_Structure[Subgroup],0)),"")</f>
        <v>W</v>
      </c>
      <c r="D1733" s="113" t="str">
        <f>IFERROR(INDEX(Product_Structure[SuperCategory Name ENG],MATCH(Товары[[#This Row],[SubGroup]],Product_Structure[Subgroup],0)),"")</f>
        <v>Watering (mobile, sprinkler system&amp;MDS, Ponds)</v>
      </c>
      <c r="E17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3" s="113" t="str">
        <f>IFERROR(INDEX(Product_Structure[Product group],MATCH(Товары[[#This Row],[SubGroup]],Product_Structure[Subgroup],0)),"")</f>
        <v>WSS_C</v>
      </c>
      <c r="G1733" s="113" t="str">
        <f>IFERROR(INDEX(Product_Structure[Product group name ENG],MATCH(Товары[[#This Row],[SubGroup]],Product_Structure[Subgroup],0)),"")</f>
        <v>Watering Systems Sprinklersystem, MDS, SP</v>
      </c>
      <c r="H1733" s="113" t="str">
        <f>IFERROR(INDEX(Product_Structure[Generic Name (long)3],MATCH(Товары[[#This Row],[SubGroup]],Product_Structure[Subgroup],0)),"")</f>
        <v>Система подземного полива</v>
      </c>
      <c r="I1733" s="36">
        <v>9032</v>
      </c>
      <c r="J1733" s="36" t="str">
        <f>IFERROR(INDEX(Product_Structure[Generic Name (long)],MATCH(Товары[[#This Row],[SubGroup]],Product_Structure[Subgroup],0)),"")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Row],[SubGroup]],DIY!$B:$C,2,FALSE),0)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3" t="str">
        <f>IFERROR(INDEX(Product_Structure[SuperCategory],MATCH(Товары[[#This Row],[SubGroup]],Product_Structure[Subgroup],0)),"")</f>
        <v>W</v>
      </c>
      <c r="D1734" s="113" t="str">
        <f>IFERROR(INDEX(Product_Structure[SuperCategory Name ENG],MATCH(Товары[[#This Row],[SubGroup]],Product_Structure[Subgroup],0)),"")</f>
        <v>Watering (mobile, sprinkler system&amp;MDS, Ponds)</v>
      </c>
      <c r="E17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4" s="113" t="str">
        <f>IFERROR(INDEX(Product_Structure[Product group],MATCH(Товары[[#This Row],[SubGroup]],Product_Structure[Subgroup],0)),"")</f>
        <v>WSS_C</v>
      </c>
      <c r="G1734" s="113" t="str">
        <f>IFERROR(INDEX(Product_Structure[Product group name ENG],MATCH(Товары[[#This Row],[SubGroup]],Product_Structure[Subgroup],0)),"")</f>
        <v>Watering Systems Sprinklersystem, MDS, SP</v>
      </c>
      <c r="H1734" s="113" t="str">
        <f>IFERROR(INDEX(Product_Structure[Generic Name (long)3],MATCH(Товары[[#This Row],[SubGroup]],Product_Structure[Subgroup],0)),"")</f>
        <v>Система подземного полива</v>
      </c>
      <c r="I1734" s="36">
        <v>9032</v>
      </c>
      <c r="J1734" s="36" t="str">
        <f>IFERROR(INDEX(Product_Structure[Generic Name (long)],MATCH(Товары[[#This Row],[SubGroup]],Product_Structure[Subgroup],0)),"")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Row],[SubGroup]],DIY!$B:$C,2,FALSE),0)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3" t="str">
        <f>IFERROR(INDEX(Product_Structure[SuperCategory],MATCH(Товары[[#This Row],[SubGroup]],Product_Structure[Subgroup],0)),"")</f>
        <v>W</v>
      </c>
      <c r="D1735" s="113" t="str">
        <f>IFERROR(INDEX(Product_Structure[SuperCategory Name ENG],MATCH(Товары[[#This Row],[SubGroup]],Product_Structure[Subgroup],0)),"")</f>
        <v>Watering (mobile, sprinkler system&amp;MDS, Ponds)</v>
      </c>
      <c r="E17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5" s="113" t="str">
        <f>IFERROR(INDEX(Product_Structure[Product group],MATCH(Товары[[#This Row],[SubGroup]],Product_Structure[Subgroup],0)),"")</f>
        <v>WSS_C</v>
      </c>
      <c r="G1735" s="113" t="str">
        <f>IFERROR(INDEX(Product_Structure[Product group name ENG],MATCH(Товары[[#This Row],[SubGroup]],Product_Structure[Subgroup],0)),"")</f>
        <v>Watering Systems Sprinklersystem, MDS, SP</v>
      </c>
      <c r="H1735" s="113" t="str">
        <f>IFERROR(INDEX(Product_Structure[Generic Name (long)3],MATCH(Товары[[#This Row],[SubGroup]],Product_Structure[Subgroup],0)),"")</f>
        <v>Система подземного полива</v>
      </c>
      <c r="I1735" s="36">
        <v>9032</v>
      </c>
      <c r="J1735" s="36" t="str">
        <f>IFERROR(INDEX(Product_Structure[Generic Name (long)],MATCH(Товары[[#This Row],[SubGroup]],Product_Structure[Subgroup],0)),"")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Row],[SubGroup]],DIY!$B:$C,2,FALSE),0)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3" t="str">
        <f>IFERROR(INDEX(Product_Structure[SuperCategory],MATCH(Товары[[#This Row],[SubGroup]],Product_Structure[Subgroup],0)),"")</f>
        <v>W</v>
      </c>
      <c r="D1736" s="113" t="str">
        <f>IFERROR(INDEX(Product_Structure[SuperCategory Name ENG],MATCH(Товары[[#This Row],[SubGroup]],Product_Structure[Subgroup],0)),"")</f>
        <v>Watering (mobile, sprinkler system&amp;MDS, Ponds)</v>
      </c>
      <c r="E17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6" s="113" t="str">
        <f>IFERROR(INDEX(Product_Structure[Product group],MATCH(Товары[[#This Row],[SubGroup]],Product_Structure[Subgroup],0)),"")</f>
        <v>WSS_C</v>
      </c>
      <c r="G1736" s="113" t="str">
        <f>IFERROR(INDEX(Product_Structure[Product group name ENG],MATCH(Товары[[#This Row],[SubGroup]],Product_Structure[Subgroup],0)),"")</f>
        <v>Watering Systems Sprinklersystem, MDS, SP</v>
      </c>
      <c r="H1736" s="113" t="str">
        <f>IFERROR(INDEX(Product_Structure[Generic Name (long)3],MATCH(Товары[[#This Row],[SubGroup]],Product_Structure[Subgroup],0)),"")</f>
        <v>Система подземного полива</v>
      </c>
      <c r="I1736" s="36">
        <v>9032</v>
      </c>
      <c r="J1736" s="36" t="str">
        <f>IFERROR(INDEX(Product_Structure[Generic Name (long)],MATCH(Товары[[#This Row],[SubGroup]],Product_Structure[Subgroup],0)),"")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Row],[SubGroup]],DIY!$B:$C,2,FALSE),0)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3" t="str">
        <f>IFERROR(INDEX(Product_Structure[SuperCategory],MATCH(Товары[[#This Row],[SubGroup]],Product_Structure[Subgroup],0)),"")</f>
        <v>W</v>
      </c>
      <c r="D1737" s="113" t="str">
        <f>IFERROR(INDEX(Product_Structure[SuperCategory Name ENG],MATCH(Товары[[#This Row],[SubGroup]],Product_Structure[Subgroup],0)),"")</f>
        <v>Watering (mobile, sprinkler system&amp;MDS, Ponds)</v>
      </c>
      <c r="E17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7" s="113" t="str">
        <f>IFERROR(INDEX(Product_Structure[Product group],MATCH(Товары[[#This Row],[SubGroup]],Product_Structure[Subgroup],0)),"")</f>
        <v>WSS_C</v>
      </c>
      <c r="G1737" s="113" t="str">
        <f>IFERROR(INDEX(Product_Structure[Product group name ENG],MATCH(Товары[[#This Row],[SubGroup]],Product_Structure[Subgroup],0)),"")</f>
        <v>Watering Systems Sprinklersystem, MDS, SP</v>
      </c>
      <c r="H1737" s="113" t="str">
        <f>IFERROR(INDEX(Product_Structure[Generic Name (long)3],MATCH(Товары[[#This Row],[SubGroup]],Product_Structure[Subgroup],0)),"")</f>
        <v>Система подземного полива</v>
      </c>
      <c r="I1737" s="36">
        <v>9032</v>
      </c>
      <c r="J1737" s="36" t="str">
        <f>IFERROR(INDEX(Product_Structure[Generic Name (long)],MATCH(Товары[[#This Row],[SubGroup]],Product_Structure[Subgroup],0)),"")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Row],[SubGroup]],DIY!$B:$C,2,FALSE),0)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3" t="str">
        <f>IFERROR(INDEX(Product_Structure[SuperCategory],MATCH(Товары[[#This Row],[SubGroup]],Product_Structure[Subgroup],0)),"")</f>
        <v>W</v>
      </c>
      <c r="D1738" s="113" t="str">
        <f>IFERROR(INDEX(Product_Structure[SuperCategory Name ENG],MATCH(Товары[[#This Row],[SubGroup]],Product_Structure[Subgroup],0)),"")</f>
        <v>Watering (mobile, sprinkler system&amp;MDS, Ponds)</v>
      </c>
      <c r="E17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8" s="113" t="str">
        <f>IFERROR(INDEX(Product_Structure[Product group],MATCH(Товары[[#This Row],[SubGroup]],Product_Structure[Subgroup],0)),"")</f>
        <v>WSS_C</v>
      </c>
      <c r="G1738" s="113" t="str">
        <f>IFERROR(INDEX(Product_Structure[Product group name ENG],MATCH(Товары[[#This Row],[SubGroup]],Product_Structure[Subgroup],0)),"")</f>
        <v>Watering Systems Sprinklersystem, MDS, SP</v>
      </c>
      <c r="H1738" s="113" t="str">
        <f>IFERROR(INDEX(Product_Structure[Generic Name (long)3],MATCH(Товары[[#This Row],[SubGroup]],Product_Structure[Subgroup],0)),"")</f>
        <v>Система подземного полива</v>
      </c>
      <c r="I1738" s="36">
        <v>9032</v>
      </c>
      <c r="J1738" s="36" t="str">
        <f>IFERROR(INDEX(Product_Structure[Generic Name (long)],MATCH(Товары[[#This Row],[SubGroup]],Product_Structure[Subgroup],0)),"")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Row],[SubGroup]],DIY!$B:$C,2,FALSE),0)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3" t="str">
        <f>IFERROR(INDEX(Product_Structure[SuperCategory],MATCH(Товары[[#This Row],[SubGroup]],Product_Structure[Subgroup],0)),"")</f>
        <v>W</v>
      </c>
      <c r="D1739" s="113" t="str">
        <f>IFERROR(INDEX(Product_Structure[SuperCategory Name ENG],MATCH(Товары[[#This Row],[SubGroup]],Product_Structure[Subgroup],0)),"")</f>
        <v>Watering (mobile, sprinkler system&amp;MDS, Ponds)</v>
      </c>
      <c r="E17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39" s="113" t="str">
        <f>IFERROR(INDEX(Product_Structure[Product group],MATCH(Товары[[#This Row],[SubGroup]],Product_Structure[Subgroup],0)),"")</f>
        <v>WSS_C</v>
      </c>
      <c r="G1739" s="113" t="str">
        <f>IFERROR(INDEX(Product_Structure[Product group name ENG],MATCH(Товары[[#This Row],[SubGroup]],Product_Structure[Subgroup],0)),"")</f>
        <v>Watering Systems Sprinklersystem, MDS, SP</v>
      </c>
      <c r="H1739" s="113" t="str">
        <f>IFERROR(INDEX(Product_Structure[Generic Name (long)3],MATCH(Товары[[#This Row],[SubGroup]],Product_Structure[Subgroup],0)),"")</f>
        <v>Система подземного полива</v>
      </c>
      <c r="I1739" s="36">
        <v>9032</v>
      </c>
      <c r="J1739" s="36" t="str">
        <f>IFERROR(INDEX(Product_Structure[Generic Name (long)],MATCH(Товары[[#This Row],[SubGroup]],Product_Structure[Subgroup],0)),"")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Row],[SubGroup]],DIY!$B:$C,2,FALSE),0)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3" t="str">
        <f>IFERROR(INDEX(Product_Structure[SuperCategory],MATCH(Товары[[#This Row],[SubGroup]],Product_Structure[Subgroup],0)),"")</f>
        <v>W</v>
      </c>
      <c r="D1740" s="113" t="str">
        <f>IFERROR(INDEX(Product_Structure[SuperCategory Name ENG],MATCH(Товары[[#This Row],[SubGroup]],Product_Structure[Subgroup],0)),"")</f>
        <v>Watering (mobile, sprinkler system&amp;MDS, Ponds)</v>
      </c>
      <c r="E17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0" s="113" t="str">
        <f>IFERROR(INDEX(Product_Structure[Product group],MATCH(Товары[[#This Row],[SubGroup]],Product_Structure[Subgroup],0)),"")</f>
        <v>WSS_C</v>
      </c>
      <c r="G1740" s="113" t="str">
        <f>IFERROR(INDEX(Product_Structure[Product group name ENG],MATCH(Товары[[#This Row],[SubGroup]],Product_Structure[Subgroup],0)),"")</f>
        <v>Watering Systems Sprinklersystem, MDS, SP</v>
      </c>
      <c r="H1740" s="113" t="str">
        <f>IFERROR(INDEX(Product_Structure[Generic Name (long)3],MATCH(Товары[[#This Row],[SubGroup]],Product_Structure[Subgroup],0)),"")</f>
        <v>Система подземного полива</v>
      </c>
      <c r="I1740" s="36">
        <v>9032</v>
      </c>
      <c r="J1740" s="36" t="str">
        <f>IFERROR(INDEX(Product_Structure[Generic Name (long)],MATCH(Товары[[#This Row],[SubGroup]],Product_Structure[Subgroup],0)),"")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Row],[SubGroup]],DIY!$B:$C,2,FALSE),0)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3" t="str">
        <f>IFERROR(INDEX(Product_Structure[SuperCategory],MATCH(Товары[[#This Row],[SubGroup]],Product_Structure[Subgroup],0)),"")</f>
        <v>W</v>
      </c>
      <c r="D1741" s="113" t="str">
        <f>IFERROR(INDEX(Product_Structure[SuperCategory Name ENG],MATCH(Товары[[#This Row],[SubGroup]],Product_Structure[Subgroup],0)),"")</f>
        <v>Watering (mobile, sprinkler system&amp;MDS, Ponds)</v>
      </c>
      <c r="E17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1" s="113" t="str">
        <f>IFERROR(INDEX(Product_Structure[Product group],MATCH(Товары[[#This Row],[SubGroup]],Product_Structure[Subgroup],0)),"")</f>
        <v>WSS_C</v>
      </c>
      <c r="G1741" s="113" t="str">
        <f>IFERROR(INDEX(Product_Structure[Product group name ENG],MATCH(Товары[[#This Row],[SubGroup]],Product_Structure[Subgroup],0)),"")</f>
        <v>Watering Systems Sprinklersystem, MDS, SP</v>
      </c>
      <c r="H1741" s="113" t="str">
        <f>IFERROR(INDEX(Product_Structure[Generic Name (long)3],MATCH(Товары[[#This Row],[SubGroup]],Product_Structure[Subgroup],0)),"")</f>
        <v>Система подземного полива</v>
      </c>
      <c r="I1741" s="36">
        <v>9032</v>
      </c>
      <c r="J1741" s="36" t="str">
        <f>IFERROR(INDEX(Product_Structure[Generic Name (long)],MATCH(Товары[[#This Row],[SubGroup]],Product_Structure[Subgroup],0)),"")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Row],[SubGroup]],DIY!$B:$C,2,FALSE),0)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3" t="str">
        <f>IFERROR(INDEX(Product_Structure[SuperCategory],MATCH(Товары[[#This Row],[SubGroup]],Product_Structure[Subgroup],0)),"")</f>
        <v>W</v>
      </c>
      <c r="D1742" s="113" t="str">
        <f>IFERROR(INDEX(Product_Structure[SuperCategory Name ENG],MATCH(Товары[[#This Row],[SubGroup]],Product_Structure[Subgroup],0)),"")</f>
        <v>Watering (mobile, sprinkler system&amp;MDS, Ponds)</v>
      </c>
      <c r="E17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2" s="113" t="str">
        <f>IFERROR(INDEX(Product_Structure[Product group],MATCH(Товары[[#This Row],[SubGroup]],Product_Structure[Subgroup],0)),"")</f>
        <v>WSS_C</v>
      </c>
      <c r="G1742" s="113" t="str">
        <f>IFERROR(INDEX(Product_Structure[Product group name ENG],MATCH(Товары[[#This Row],[SubGroup]],Product_Structure[Subgroup],0)),"")</f>
        <v>Watering Systems Sprinklersystem, MDS, SP</v>
      </c>
      <c r="H1742" s="113" t="str">
        <f>IFERROR(INDEX(Product_Structure[Generic Name (long)3],MATCH(Товары[[#This Row],[SubGroup]],Product_Structure[Subgroup],0)),"")</f>
        <v>Система подземного полива</v>
      </c>
      <c r="I1742" s="36">
        <v>9032</v>
      </c>
      <c r="J1742" s="36" t="str">
        <f>IFERROR(INDEX(Product_Structure[Generic Name (long)],MATCH(Товары[[#This Row],[SubGroup]],Product_Structure[Subgroup],0)),"")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Row],[SubGroup]],DIY!$B:$C,2,FALSE),0)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3" t="str">
        <f>IFERROR(INDEX(Product_Structure[SuperCategory],MATCH(Товары[[#This Row],[SubGroup]],Product_Structure[Subgroup],0)),"")</f>
        <v>W</v>
      </c>
      <c r="D1743" s="113" t="str">
        <f>IFERROR(INDEX(Product_Structure[SuperCategory Name ENG],MATCH(Товары[[#This Row],[SubGroup]],Product_Structure[Subgroup],0)),"")</f>
        <v>Watering (mobile, sprinkler system&amp;MDS, Ponds)</v>
      </c>
      <c r="E17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3" s="113" t="str">
        <f>IFERROR(INDEX(Product_Structure[Product group],MATCH(Товары[[#This Row],[SubGroup]],Product_Structure[Subgroup],0)),"")</f>
        <v>WSS_C</v>
      </c>
      <c r="G1743" s="113" t="str">
        <f>IFERROR(INDEX(Product_Structure[Product group name ENG],MATCH(Товары[[#This Row],[SubGroup]],Product_Structure[Subgroup],0)),"")</f>
        <v>Watering Systems Sprinklersystem, MDS, SP</v>
      </c>
      <c r="H1743" s="113" t="str">
        <f>IFERROR(INDEX(Product_Structure[Generic Name (long)3],MATCH(Товары[[#This Row],[SubGroup]],Product_Structure[Subgroup],0)),"")</f>
        <v>Система микрокапельного полива</v>
      </c>
      <c r="I1743" s="36">
        <v>9033</v>
      </c>
      <c r="J1743" s="36" t="str">
        <f>IFERROR(INDEX(Product_Structure[Generic Name (long)],MATCH(Товары[[#This Row],[SubGroup]],Product_Structure[Subgroup],0)),"")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Row],[SubGroup]],DIY!$B:$C,2,FALSE),0)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3" t="str">
        <f>IFERROR(INDEX(Product_Structure[SuperCategory],MATCH(Товары[[#This Row],[SubGroup]],Product_Structure[Subgroup],0)),"")</f>
        <v>W</v>
      </c>
      <c r="D1744" s="113" t="str">
        <f>IFERROR(INDEX(Product_Structure[SuperCategory Name ENG],MATCH(Товары[[#This Row],[SubGroup]],Product_Structure[Subgroup],0)),"")</f>
        <v>Watering (mobile, sprinkler system&amp;MDS, Ponds)</v>
      </c>
      <c r="E17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4" s="113" t="str">
        <f>IFERROR(INDEX(Product_Structure[Product group],MATCH(Товары[[#This Row],[SubGroup]],Product_Structure[Subgroup],0)),"")</f>
        <v>WSS_C</v>
      </c>
      <c r="G1744" s="113" t="str">
        <f>IFERROR(INDEX(Product_Structure[Product group name ENG],MATCH(Товары[[#This Row],[SubGroup]],Product_Structure[Subgroup],0)),"")</f>
        <v>Watering Systems Sprinklersystem, MDS, SP</v>
      </c>
      <c r="H1744" s="113" t="str">
        <f>IFERROR(INDEX(Product_Structure[Generic Name (long)3],MATCH(Товары[[#This Row],[SubGroup]],Product_Structure[Subgroup],0)),"")</f>
        <v>Система микрокапельного полива</v>
      </c>
      <c r="I1744" s="36">
        <v>9033</v>
      </c>
      <c r="J1744" s="36" t="str">
        <f>IFERROR(INDEX(Product_Structure[Generic Name (long)],MATCH(Товары[[#This Row],[SubGroup]],Product_Structure[Subgroup],0)),"")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Row],[SubGroup]],DIY!$B:$C,2,FALSE),0)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3" t="str">
        <f>IFERROR(INDEX(Product_Structure[SuperCategory],MATCH(Товары[[#This Row],[SubGroup]],Product_Structure[Subgroup],0)),"")</f>
        <v>W</v>
      </c>
      <c r="D1745" s="113" t="str">
        <f>IFERROR(INDEX(Product_Structure[SuperCategory Name ENG],MATCH(Товары[[#This Row],[SubGroup]],Product_Structure[Subgroup],0)),"")</f>
        <v>Watering (mobile, sprinkler system&amp;MDS, Ponds)</v>
      </c>
      <c r="E17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5" s="113" t="str">
        <f>IFERROR(INDEX(Product_Structure[Product group],MATCH(Товары[[#This Row],[SubGroup]],Product_Structure[Subgroup],0)),"")</f>
        <v>WSS_C</v>
      </c>
      <c r="G1745" s="113" t="str">
        <f>IFERROR(INDEX(Product_Structure[Product group name ENG],MATCH(Товары[[#This Row],[SubGroup]],Product_Structure[Subgroup],0)),"")</f>
        <v>Watering Systems Sprinklersystem, MDS, SP</v>
      </c>
      <c r="H1745" s="113" t="str">
        <f>IFERROR(INDEX(Product_Structure[Generic Name (long)3],MATCH(Товары[[#This Row],[SubGroup]],Product_Structure[Subgroup],0)),"")</f>
        <v>Система микрокапельного полива</v>
      </c>
      <c r="I1745" s="36">
        <v>9033</v>
      </c>
      <c r="J1745" s="36" t="str">
        <f>IFERROR(INDEX(Product_Structure[Generic Name (long)],MATCH(Товары[[#This Row],[SubGroup]],Product_Structure[Subgroup],0)),"")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Row],[SubGroup]],DIY!$B:$C,2,FALSE),0)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3" t="str">
        <f>IFERROR(INDEX(Product_Structure[SuperCategory],MATCH(Товары[[#This Row],[SubGroup]],Product_Structure[Subgroup],0)),"")</f>
        <v>W</v>
      </c>
      <c r="D1746" s="113" t="str">
        <f>IFERROR(INDEX(Product_Structure[SuperCategory Name ENG],MATCH(Товары[[#This Row],[SubGroup]],Product_Structure[Subgroup],0)),"")</f>
        <v>Watering (mobile, sprinkler system&amp;MDS, Ponds)</v>
      </c>
      <c r="E17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6" s="113" t="str">
        <f>IFERROR(INDEX(Product_Structure[Product group],MATCH(Товары[[#This Row],[SubGroup]],Product_Structure[Subgroup],0)),"")</f>
        <v>WSS_C</v>
      </c>
      <c r="G1746" s="113" t="str">
        <f>IFERROR(INDEX(Product_Structure[Product group name ENG],MATCH(Товары[[#This Row],[SubGroup]],Product_Structure[Subgroup],0)),"")</f>
        <v>Watering Systems Sprinklersystem, MDS, SP</v>
      </c>
      <c r="H1746" s="113" t="str">
        <f>IFERROR(INDEX(Product_Structure[Generic Name (long)3],MATCH(Товары[[#This Row],[SubGroup]],Product_Structure[Subgroup],0)),"")</f>
        <v>Система микрокапельного полива</v>
      </c>
      <c r="I1746" s="36">
        <v>9033</v>
      </c>
      <c r="J1746" s="36" t="str">
        <f>IFERROR(INDEX(Product_Structure[Generic Name (long)],MATCH(Товары[[#This Row],[SubGroup]],Product_Structure[Subgroup],0)),"")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Row],[SubGroup]],DIY!$B:$C,2,FALSE),0)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3" t="str">
        <f>IFERROR(INDEX(Product_Structure[SuperCategory],MATCH(Товары[[#This Row],[SubGroup]],Product_Structure[Subgroup],0)),"")</f>
        <v>W</v>
      </c>
      <c r="D1747" s="113" t="str">
        <f>IFERROR(INDEX(Product_Structure[SuperCategory Name ENG],MATCH(Товары[[#This Row],[SubGroup]],Product_Structure[Subgroup],0)),"")</f>
        <v>Watering (mobile, sprinkler system&amp;MDS, Ponds)</v>
      </c>
      <c r="E17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7" s="113" t="str">
        <f>IFERROR(INDEX(Product_Structure[Product group],MATCH(Товары[[#This Row],[SubGroup]],Product_Structure[Subgroup],0)),"")</f>
        <v>WSS_C</v>
      </c>
      <c r="G1747" s="113" t="str">
        <f>IFERROR(INDEX(Product_Structure[Product group name ENG],MATCH(Товары[[#This Row],[SubGroup]],Product_Structure[Subgroup],0)),"")</f>
        <v>Watering Systems Sprinklersystem, MDS, SP</v>
      </c>
      <c r="H1747" s="113" t="str">
        <f>IFERROR(INDEX(Product_Structure[Generic Name (long)3],MATCH(Товары[[#This Row],[SubGroup]],Product_Structure[Subgroup],0)),"")</f>
        <v>Система микрокапельного полива</v>
      </c>
      <c r="I1747" s="36">
        <v>9033</v>
      </c>
      <c r="J1747" s="36" t="str">
        <f>IFERROR(INDEX(Product_Structure[Generic Name (long)],MATCH(Товары[[#This Row],[SubGroup]],Product_Structure[Subgroup],0)),"")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Row],[SubGroup]],DIY!$B:$C,2,FALSE),0)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3" t="str">
        <f>IFERROR(INDEX(Product_Structure[SuperCategory],MATCH(Товары[[#This Row],[SubGroup]],Product_Structure[Subgroup],0)),"")</f>
        <v>W</v>
      </c>
      <c r="D1748" s="113" t="str">
        <f>IFERROR(INDEX(Product_Structure[SuperCategory Name ENG],MATCH(Товары[[#This Row],[SubGroup]],Product_Structure[Subgroup],0)),"")</f>
        <v>Watering (mobile, sprinkler system&amp;MDS, Ponds)</v>
      </c>
      <c r="E17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8" s="113" t="str">
        <f>IFERROR(INDEX(Product_Structure[Product group],MATCH(Товары[[#This Row],[SubGroup]],Product_Structure[Subgroup],0)),"")</f>
        <v>WSS_C</v>
      </c>
      <c r="G1748" s="113" t="str">
        <f>IFERROR(INDEX(Product_Structure[Product group name ENG],MATCH(Товары[[#This Row],[SubGroup]],Product_Structure[Subgroup],0)),"")</f>
        <v>Watering Systems Sprinklersystem, MDS, SP</v>
      </c>
      <c r="H1748" s="113" t="str">
        <f>IFERROR(INDEX(Product_Structure[Generic Name (long)3],MATCH(Товары[[#This Row],[SubGroup]],Product_Structure[Subgroup],0)),"")</f>
        <v>Система микрокапельного полива</v>
      </c>
      <c r="I1748" s="36">
        <v>9033</v>
      </c>
      <c r="J1748" s="36" t="str">
        <f>IFERROR(INDEX(Product_Structure[Generic Name (long)],MATCH(Товары[[#This Row],[SubGroup]],Product_Structure[Subgroup],0)),"")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Row],[SubGroup]],DIY!$B:$C,2,FALSE),0)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3" t="str">
        <f>IFERROR(INDEX(Product_Structure[SuperCategory],MATCH(Товары[[#This Row],[SubGroup]],Product_Structure[Subgroup],0)),"")</f>
        <v>W</v>
      </c>
      <c r="D1749" s="113" t="str">
        <f>IFERROR(INDEX(Product_Structure[SuperCategory Name ENG],MATCH(Товары[[#This Row],[SubGroup]],Product_Structure[Subgroup],0)),"")</f>
        <v>Watering (mobile, sprinkler system&amp;MDS, Ponds)</v>
      </c>
      <c r="E17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49" s="113" t="str">
        <f>IFERROR(INDEX(Product_Structure[Product group],MATCH(Товары[[#This Row],[SubGroup]],Product_Structure[Subgroup],0)),"")</f>
        <v>WSS_C</v>
      </c>
      <c r="G1749" s="113" t="str">
        <f>IFERROR(INDEX(Product_Structure[Product group name ENG],MATCH(Товары[[#This Row],[SubGroup]],Product_Structure[Subgroup],0)),"")</f>
        <v>Watering Systems Sprinklersystem, MDS, SP</v>
      </c>
      <c r="H1749" s="113" t="str">
        <f>IFERROR(INDEX(Product_Structure[Generic Name (long)3],MATCH(Товары[[#This Row],[SubGroup]],Product_Structure[Subgroup],0)),"")</f>
        <v>Система микрокапельного полива</v>
      </c>
      <c r="I1749" s="36">
        <v>9033</v>
      </c>
      <c r="J1749" s="36" t="str">
        <f>IFERROR(INDEX(Product_Structure[Generic Name (long)],MATCH(Товары[[#This Row],[SubGroup]],Product_Structure[Subgroup],0)),"")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Row],[SubGroup]],DIY!$B:$C,2,FALSE),0)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3" t="str">
        <f>IFERROR(INDEX(Product_Structure[SuperCategory],MATCH(Товары[[#This Row],[SubGroup]],Product_Structure[Subgroup],0)),"")</f>
        <v>W</v>
      </c>
      <c r="D1750" s="113" t="str">
        <f>IFERROR(INDEX(Product_Structure[SuperCategory Name ENG],MATCH(Товары[[#This Row],[SubGroup]],Product_Structure[Subgroup],0)),"")</f>
        <v>Watering (mobile, sprinkler system&amp;MDS, Ponds)</v>
      </c>
      <c r="E17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0" s="113" t="str">
        <f>IFERROR(INDEX(Product_Structure[Product group],MATCH(Товары[[#This Row],[SubGroup]],Product_Structure[Subgroup],0)),"")</f>
        <v>WSS_C</v>
      </c>
      <c r="G1750" s="113" t="str">
        <f>IFERROR(INDEX(Product_Structure[Product group name ENG],MATCH(Товары[[#This Row],[SubGroup]],Product_Structure[Subgroup],0)),"")</f>
        <v>Watering Systems Sprinklersystem, MDS, SP</v>
      </c>
      <c r="H1750" s="113" t="str">
        <f>IFERROR(INDEX(Product_Structure[Generic Name (long)3],MATCH(Товары[[#This Row],[SubGroup]],Product_Structure[Subgroup],0)),"")</f>
        <v>Система микрокапельного полива</v>
      </c>
      <c r="I1750" s="36">
        <v>9033</v>
      </c>
      <c r="J1750" s="36" t="str">
        <f>IFERROR(INDEX(Product_Structure[Generic Name (long)],MATCH(Товары[[#This Row],[SubGroup]],Product_Structure[Subgroup],0)),"")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Row],[SubGroup]],DIY!$B:$C,2,FALSE),0)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3" t="str">
        <f>IFERROR(INDEX(Product_Structure[SuperCategory],MATCH(Товары[[#This Row],[SubGroup]],Product_Structure[Subgroup],0)),"")</f>
        <v>W</v>
      </c>
      <c r="D1751" s="113" t="str">
        <f>IFERROR(INDEX(Product_Structure[SuperCategory Name ENG],MATCH(Товары[[#This Row],[SubGroup]],Product_Structure[Subgroup],0)),"")</f>
        <v>Watering (mobile, sprinkler system&amp;MDS, Ponds)</v>
      </c>
      <c r="E17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1" s="113" t="str">
        <f>IFERROR(INDEX(Product_Structure[Product group],MATCH(Товары[[#This Row],[SubGroup]],Product_Structure[Subgroup],0)),"")</f>
        <v>WSS_C</v>
      </c>
      <c r="G1751" s="113" t="str">
        <f>IFERROR(INDEX(Product_Structure[Product group name ENG],MATCH(Товары[[#This Row],[SubGroup]],Product_Structure[Subgroup],0)),"")</f>
        <v>Watering Systems Sprinklersystem, MDS, SP</v>
      </c>
      <c r="H1751" s="113" t="str">
        <f>IFERROR(INDEX(Product_Structure[Generic Name (long)3],MATCH(Товары[[#This Row],[SubGroup]],Product_Structure[Subgroup],0)),"")</f>
        <v>Система микрокапельного полива</v>
      </c>
      <c r="I1751" s="36">
        <v>9033</v>
      </c>
      <c r="J1751" s="36" t="str">
        <f>IFERROR(INDEX(Product_Structure[Generic Name (long)],MATCH(Товары[[#This Row],[SubGroup]],Product_Structure[Subgroup],0)),"")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Row],[SubGroup]],DIY!$B:$C,2,FALSE),0)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3" t="str">
        <f>IFERROR(INDEX(Product_Structure[SuperCategory],MATCH(Товары[[#This Row],[SubGroup]],Product_Structure[Subgroup],0)),"")</f>
        <v>W</v>
      </c>
      <c r="D1752" s="113" t="str">
        <f>IFERROR(INDEX(Product_Structure[SuperCategory Name ENG],MATCH(Товары[[#This Row],[SubGroup]],Product_Structure[Subgroup],0)),"")</f>
        <v>Watering (mobile, sprinkler system&amp;MDS, Ponds)</v>
      </c>
      <c r="E17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2" s="113" t="str">
        <f>IFERROR(INDEX(Product_Structure[Product group],MATCH(Товары[[#This Row],[SubGroup]],Product_Structure[Subgroup],0)),"")</f>
        <v>WSS_C</v>
      </c>
      <c r="G1752" s="113" t="str">
        <f>IFERROR(INDEX(Product_Structure[Product group name ENG],MATCH(Товары[[#This Row],[SubGroup]],Product_Structure[Subgroup],0)),"")</f>
        <v>Watering Systems Sprinklersystem, MDS, SP</v>
      </c>
      <c r="H1752" s="113" t="str">
        <f>IFERROR(INDEX(Product_Structure[Generic Name (long)3],MATCH(Товары[[#This Row],[SubGroup]],Product_Structure[Subgroup],0)),"")</f>
        <v>Система микрокапельного полива</v>
      </c>
      <c r="I1752" s="36">
        <v>9033</v>
      </c>
      <c r="J1752" s="36" t="str">
        <f>IFERROR(INDEX(Product_Structure[Generic Name (long)],MATCH(Товары[[#This Row],[SubGroup]],Product_Structure[Subgroup],0)),"")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Row],[SubGroup]],DIY!$B:$C,2,FALSE),0)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3" t="str">
        <f>IFERROR(INDEX(Product_Structure[SuperCategory],MATCH(Товары[[#This Row],[SubGroup]],Product_Structure[Subgroup],0)),"")</f>
        <v>W</v>
      </c>
      <c r="D1753" s="113" t="str">
        <f>IFERROR(INDEX(Product_Structure[SuperCategory Name ENG],MATCH(Товары[[#This Row],[SubGroup]],Product_Structure[Subgroup],0)),"")</f>
        <v>Watering (mobile, sprinkler system&amp;MDS, Ponds)</v>
      </c>
      <c r="E17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3" s="113" t="str">
        <f>IFERROR(INDEX(Product_Structure[Product group],MATCH(Товары[[#This Row],[SubGroup]],Product_Structure[Subgroup],0)),"")</f>
        <v>WSS_C</v>
      </c>
      <c r="G1753" s="113" t="str">
        <f>IFERROR(INDEX(Product_Structure[Product group name ENG],MATCH(Товары[[#This Row],[SubGroup]],Product_Structure[Subgroup],0)),"")</f>
        <v>Watering Systems Sprinklersystem, MDS, SP</v>
      </c>
      <c r="H1753" s="113" t="str">
        <f>IFERROR(INDEX(Product_Structure[Generic Name (long)3],MATCH(Товары[[#This Row],[SubGroup]],Product_Structure[Subgroup],0)),"")</f>
        <v>Система микрокапельного полива</v>
      </c>
      <c r="I1753" s="36">
        <v>9033</v>
      </c>
      <c r="J1753" s="36" t="str">
        <f>IFERROR(INDEX(Product_Structure[Generic Name (long)],MATCH(Товары[[#This Row],[SubGroup]],Product_Structure[Subgroup],0)),"")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Row],[SubGroup]],DIY!$B:$C,2,FALSE),0)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3" t="str">
        <f>IFERROR(INDEX(Product_Structure[SuperCategory],MATCH(Товары[[#This Row],[SubGroup]],Product_Structure[Subgroup],0)),"")</f>
        <v>W</v>
      </c>
      <c r="D1754" s="113" t="str">
        <f>IFERROR(INDEX(Product_Structure[SuperCategory Name ENG],MATCH(Товары[[#This Row],[SubGroup]],Product_Structure[Subgroup],0)),"")</f>
        <v>Watering (mobile, sprinkler system&amp;MDS, Ponds)</v>
      </c>
      <c r="E17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4" s="113" t="str">
        <f>IFERROR(INDEX(Product_Structure[Product group],MATCH(Товары[[#This Row],[SubGroup]],Product_Structure[Subgroup],0)),"")</f>
        <v>WSS_C</v>
      </c>
      <c r="G1754" s="113" t="str">
        <f>IFERROR(INDEX(Product_Structure[Product group name ENG],MATCH(Товары[[#This Row],[SubGroup]],Product_Structure[Subgroup],0)),"")</f>
        <v>Watering Systems Sprinklersystem, MDS, SP</v>
      </c>
      <c r="H1754" s="113" t="str">
        <f>IFERROR(INDEX(Product_Structure[Generic Name (long)3],MATCH(Товары[[#This Row],[SubGroup]],Product_Structure[Subgroup],0)),"")</f>
        <v>Система микрокапельного полива</v>
      </c>
      <c r="I1754" s="36">
        <v>9033</v>
      </c>
      <c r="J1754" s="36" t="str">
        <f>IFERROR(INDEX(Product_Structure[Generic Name (long)],MATCH(Товары[[#This Row],[SubGroup]],Product_Structure[Subgroup],0)),"")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Row],[SubGroup]],DIY!$B:$C,2,FALSE),0)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3" t="str">
        <f>IFERROR(INDEX(Product_Structure[SuperCategory],MATCH(Товары[[#This Row],[SubGroup]],Product_Structure[Subgroup],0)),"")</f>
        <v>W</v>
      </c>
      <c r="D1755" s="113" t="str">
        <f>IFERROR(INDEX(Product_Structure[SuperCategory Name ENG],MATCH(Товары[[#This Row],[SubGroup]],Product_Structure[Subgroup],0)),"")</f>
        <v>Watering (mobile, sprinkler system&amp;MDS, Ponds)</v>
      </c>
      <c r="E17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5" s="113" t="str">
        <f>IFERROR(INDEX(Product_Structure[Product group],MATCH(Товары[[#This Row],[SubGroup]],Product_Structure[Subgroup],0)),"")</f>
        <v>WSS_C</v>
      </c>
      <c r="G1755" s="113" t="str">
        <f>IFERROR(INDEX(Product_Structure[Product group name ENG],MATCH(Товары[[#This Row],[SubGroup]],Product_Structure[Subgroup],0)),"")</f>
        <v>Watering Systems Sprinklersystem, MDS, SP</v>
      </c>
      <c r="H1755" s="113" t="str">
        <f>IFERROR(INDEX(Product_Structure[Generic Name (long)3],MATCH(Товары[[#This Row],[SubGroup]],Product_Structure[Subgroup],0)),"")</f>
        <v>Система микрокапельного полива</v>
      </c>
      <c r="I1755" s="36">
        <v>9033</v>
      </c>
      <c r="J1755" s="36" t="str">
        <f>IFERROR(INDEX(Product_Structure[Generic Name (long)],MATCH(Товары[[#This Row],[SubGroup]],Product_Structure[Subgroup],0)),"")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Row],[SubGroup]],DIY!$B:$C,2,FALSE),0)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3" t="str">
        <f>IFERROR(INDEX(Product_Structure[SuperCategory],MATCH(Товары[[#This Row],[SubGroup]],Product_Structure[Subgroup],0)),"")</f>
        <v>W</v>
      </c>
      <c r="D1756" s="113" t="str">
        <f>IFERROR(INDEX(Product_Structure[SuperCategory Name ENG],MATCH(Товары[[#This Row],[SubGroup]],Product_Structure[Subgroup],0)),"")</f>
        <v>Watering (mobile, sprinkler system&amp;MDS, Ponds)</v>
      </c>
      <c r="E17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6" s="113" t="str">
        <f>IFERROR(INDEX(Product_Structure[Product group],MATCH(Товары[[#This Row],[SubGroup]],Product_Structure[Subgroup],0)),"")</f>
        <v>WSS_C</v>
      </c>
      <c r="G1756" s="113" t="str">
        <f>IFERROR(INDEX(Product_Structure[Product group name ENG],MATCH(Товары[[#This Row],[SubGroup]],Product_Structure[Subgroup],0)),"")</f>
        <v>Watering Systems Sprinklersystem, MDS, SP</v>
      </c>
      <c r="H1756" s="113" t="str">
        <f>IFERROR(INDEX(Product_Structure[Generic Name (long)3],MATCH(Товары[[#This Row],[SubGroup]],Product_Structure[Subgroup],0)),"")</f>
        <v>Система микрокапельного полива</v>
      </c>
      <c r="I1756" s="36">
        <v>9033</v>
      </c>
      <c r="J1756" s="36" t="str">
        <f>IFERROR(INDEX(Product_Structure[Generic Name (long)],MATCH(Товары[[#This Row],[SubGroup]],Product_Structure[Subgroup],0)),"")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Row],[SubGroup]],DIY!$B:$C,2,FALSE),0)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3" t="str">
        <f>IFERROR(INDEX(Product_Structure[SuperCategory],MATCH(Товары[[#This Row],[SubGroup]],Product_Structure[Subgroup],0)),"")</f>
        <v>W</v>
      </c>
      <c r="D1757" s="113" t="str">
        <f>IFERROR(INDEX(Product_Structure[SuperCategory Name ENG],MATCH(Товары[[#This Row],[SubGroup]],Product_Structure[Subgroup],0)),"")</f>
        <v>Watering (mobile, sprinkler system&amp;MDS, Ponds)</v>
      </c>
      <c r="E17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7" s="113" t="str">
        <f>IFERROR(INDEX(Product_Structure[Product group],MATCH(Товары[[#This Row],[SubGroup]],Product_Structure[Subgroup],0)),"")</f>
        <v>WSS_C</v>
      </c>
      <c r="G1757" s="113" t="str">
        <f>IFERROR(INDEX(Product_Structure[Product group name ENG],MATCH(Товары[[#This Row],[SubGroup]],Product_Structure[Subgroup],0)),"")</f>
        <v>Watering Systems Sprinklersystem, MDS, SP</v>
      </c>
      <c r="H1757" s="113" t="str">
        <f>IFERROR(INDEX(Product_Structure[Generic Name (long)3],MATCH(Товары[[#This Row],[SubGroup]],Product_Structure[Subgroup],0)),"")</f>
        <v>Система микрокапельного полива</v>
      </c>
      <c r="I1757" s="36">
        <v>9033</v>
      </c>
      <c r="J1757" s="36" t="str">
        <f>IFERROR(INDEX(Product_Structure[Generic Name (long)],MATCH(Товары[[#This Row],[SubGroup]],Product_Structure[Subgroup],0)),"")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Row],[SubGroup]],DIY!$B:$C,2,FALSE),0)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3" t="str">
        <f>IFERROR(INDEX(Product_Structure[SuperCategory],MATCH(Товары[[#This Row],[SubGroup]],Product_Structure[Subgroup],0)),"")</f>
        <v>W</v>
      </c>
      <c r="D1758" s="113" t="str">
        <f>IFERROR(INDEX(Product_Structure[SuperCategory Name ENG],MATCH(Товары[[#This Row],[SubGroup]],Product_Structure[Subgroup],0)),"")</f>
        <v>Watering (mobile, sprinkler system&amp;MDS, Ponds)</v>
      </c>
      <c r="E17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8" s="113" t="str">
        <f>IFERROR(INDEX(Product_Structure[Product group],MATCH(Товары[[#This Row],[SubGroup]],Product_Structure[Subgroup],0)),"")</f>
        <v>WSS_C</v>
      </c>
      <c r="G1758" s="113" t="str">
        <f>IFERROR(INDEX(Product_Structure[Product group name ENG],MATCH(Товары[[#This Row],[SubGroup]],Product_Structure[Subgroup],0)),"")</f>
        <v>Watering Systems Sprinklersystem, MDS, SP</v>
      </c>
      <c r="H1758" s="113" t="str">
        <f>IFERROR(INDEX(Product_Structure[Generic Name (long)3],MATCH(Товары[[#This Row],[SubGroup]],Product_Structure[Subgroup],0)),"")</f>
        <v>Система микрокапельного полива</v>
      </c>
      <c r="I1758" s="36">
        <v>9033</v>
      </c>
      <c r="J1758" s="36" t="str">
        <f>IFERROR(INDEX(Product_Structure[Generic Name (long)],MATCH(Товары[[#This Row],[SubGroup]],Product_Structure[Subgroup],0)),"")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Row],[SubGroup]],DIY!$B:$C,2,FALSE),0)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3" t="str">
        <f>IFERROR(INDEX(Product_Structure[SuperCategory],MATCH(Товары[[#This Row],[SubGroup]],Product_Structure[Subgroup],0)),"")</f>
        <v>W</v>
      </c>
      <c r="D1759" s="113" t="str">
        <f>IFERROR(INDEX(Product_Structure[SuperCategory Name ENG],MATCH(Товары[[#This Row],[SubGroup]],Product_Structure[Subgroup],0)),"")</f>
        <v>Watering (mobile, sprinkler system&amp;MDS, Ponds)</v>
      </c>
      <c r="E17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59" s="113" t="str">
        <f>IFERROR(INDEX(Product_Structure[Product group],MATCH(Товары[[#This Row],[SubGroup]],Product_Structure[Subgroup],0)),"")</f>
        <v>WSS_C</v>
      </c>
      <c r="G1759" s="113" t="str">
        <f>IFERROR(INDEX(Product_Structure[Product group name ENG],MATCH(Товары[[#This Row],[SubGroup]],Product_Structure[Subgroup],0)),"")</f>
        <v>Watering Systems Sprinklersystem, MDS, SP</v>
      </c>
      <c r="H1759" s="113" t="str">
        <f>IFERROR(INDEX(Product_Structure[Generic Name (long)3],MATCH(Товары[[#This Row],[SubGroup]],Product_Structure[Subgroup],0)),"")</f>
        <v>Система микрокапельного полива</v>
      </c>
      <c r="I1759" s="36">
        <v>9033</v>
      </c>
      <c r="J1759" s="36" t="str">
        <f>IFERROR(INDEX(Product_Structure[Generic Name (long)],MATCH(Товары[[#This Row],[SubGroup]],Product_Structure[Subgroup],0)),"")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Row],[SubGroup]],DIY!$B:$C,2,FALSE),0)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3" t="str">
        <f>IFERROR(INDEX(Product_Structure[SuperCategory],MATCH(Товары[[#This Row],[SubGroup]],Product_Structure[Subgroup],0)),"")</f>
        <v>W</v>
      </c>
      <c r="D1760" s="113" t="str">
        <f>IFERROR(INDEX(Product_Structure[SuperCategory Name ENG],MATCH(Товары[[#This Row],[SubGroup]],Product_Structure[Subgroup],0)),"")</f>
        <v>Watering (mobile, sprinkler system&amp;MDS, Ponds)</v>
      </c>
      <c r="E17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0" s="113" t="str">
        <f>IFERROR(INDEX(Product_Structure[Product group],MATCH(Товары[[#This Row],[SubGroup]],Product_Structure[Subgroup],0)),"")</f>
        <v>WSS_C</v>
      </c>
      <c r="G1760" s="113" t="str">
        <f>IFERROR(INDEX(Product_Structure[Product group name ENG],MATCH(Товары[[#This Row],[SubGroup]],Product_Structure[Subgroup],0)),"")</f>
        <v>Watering Systems Sprinklersystem, MDS, SP</v>
      </c>
      <c r="H1760" s="113" t="str">
        <f>IFERROR(INDEX(Product_Structure[Generic Name (long)3],MATCH(Товары[[#This Row],[SubGroup]],Product_Structure[Subgroup],0)),"")</f>
        <v>Система микрокапельного полива</v>
      </c>
      <c r="I1760" s="36">
        <v>9033</v>
      </c>
      <c r="J1760" s="36" t="str">
        <f>IFERROR(INDEX(Product_Structure[Generic Name (long)],MATCH(Товары[[#This Row],[SubGroup]],Product_Structure[Subgroup],0)),"")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Row],[SubGroup]],DIY!$B:$C,2,FALSE),0)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3" t="str">
        <f>IFERROR(INDEX(Product_Structure[SuperCategory],MATCH(Товары[[#This Row],[SubGroup]],Product_Structure[Subgroup],0)),"")</f>
        <v>W</v>
      </c>
      <c r="D1761" s="113" t="str">
        <f>IFERROR(INDEX(Product_Structure[SuperCategory Name ENG],MATCH(Товары[[#This Row],[SubGroup]],Product_Structure[Subgroup],0)),"")</f>
        <v>Watering (mobile, sprinkler system&amp;MDS, Ponds)</v>
      </c>
      <c r="E17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1" s="113" t="str">
        <f>IFERROR(INDEX(Product_Structure[Product group],MATCH(Товары[[#This Row],[SubGroup]],Product_Structure[Subgroup],0)),"")</f>
        <v>WSS_C</v>
      </c>
      <c r="G1761" s="113" t="str">
        <f>IFERROR(INDEX(Product_Structure[Product group name ENG],MATCH(Товары[[#This Row],[SubGroup]],Product_Structure[Subgroup],0)),"")</f>
        <v>Watering Systems Sprinklersystem, MDS, SP</v>
      </c>
      <c r="H1761" s="113" t="str">
        <f>IFERROR(INDEX(Product_Structure[Generic Name (long)3],MATCH(Товары[[#This Row],[SubGroup]],Product_Structure[Subgroup],0)),"")</f>
        <v>Система микрокапельного полива</v>
      </c>
      <c r="I1761" s="36">
        <v>9033</v>
      </c>
      <c r="J1761" s="36" t="str">
        <f>IFERROR(INDEX(Product_Structure[Generic Name (long)],MATCH(Товары[[#This Row],[SubGroup]],Product_Structure[Subgroup],0)),"")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Row],[SubGroup]],DIY!$B:$C,2,FALSE),0)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3" t="str">
        <f>IFERROR(INDEX(Product_Structure[SuperCategory],MATCH(Товары[[#This Row],[SubGroup]],Product_Structure[Subgroup],0)),"")</f>
        <v>W</v>
      </c>
      <c r="D1762" s="113" t="str">
        <f>IFERROR(INDEX(Product_Structure[SuperCategory Name ENG],MATCH(Товары[[#This Row],[SubGroup]],Product_Structure[Subgroup],0)),"")</f>
        <v>Watering (mobile, sprinkler system&amp;MDS, Ponds)</v>
      </c>
      <c r="E17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2" s="113" t="str">
        <f>IFERROR(INDEX(Product_Structure[Product group],MATCH(Товары[[#This Row],[SubGroup]],Product_Structure[Subgroup],0)),"")</f>
        <v>WSS_C</v>
      </c>
      <c r="G1762" s="113" t="str">
        <f>IFERROR(INDEX(Product_Structure[Product group name ENG],MATCH(Товары[[#This Row],[SubGroup]],Product_Structure[Subgroup],0)),"")</f>
        <v>Watering Systems Sprinklersystem, MDS, SP</v>
      </c>
      <c r="H1762" s="113" t="str">
        <f>IFERROR(INDEX(Product_Structure[Generic Name (long)3],MATCH(Товары[[#This Row],[SubGroup]],Product_Structure[Subgroup],0)),"")</f>
        <v>Система микрокапельного полива</v>
      </c>
      <c r="I1762" s="36">
        <v>9033</v>
      </c>
      <c r="J1762" s="36" t="str">
        <f>IFERROR(INDEX(Product_Structure[Generic Name (long)],MATCH(Товары[[#This Row],[SubGroup]],Product_Structure[Subgroup],0)),"")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Row],[SubGroup]],DIY!$B:$C,2,FALSE),0)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3" t="str">
        <f>IFERROR(INDEX(Product_Structure[SuperCategory],MATCH(Товары[[#This Row],[SubGroup]],Product_Structure[Subgroup],0)),"")</f>
        <v>W</v>
      </c>
      <c r="D1763" s="113" t="str">
        <f>IFERROR(INDEX(Product_Structure[SuperCategory Name ENG],MATCH(Товары[[#This Row],[SubGroup]],Product_Structure[Subgroup],0)),"")</f>
        <v>Watering (mobile, sprinkler system&amp;MDS, Ponds)</v>
      </c>
      <c r="E176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3" s="113" t="str">
        <f>IFERROR(INDEX(Product_Structure[Product group],MATCH(Товары[[#This Row],[SubGroup]],Product_Structure[Subgroup],0)),"")</f>
        <v>WSS_C</v>
      </c>
      <c r="G1763" s="113" t="str">
        <f>IFERROR(INDEX(Product_Structure[Product group name ENG],MATCH(Товары[[#This Row],[SubGroup]],Product_Structure[Subgroup],0)),"")</f>
        <v>Watering Systems Sprinklersystem, MDS, SP</v>
      </c>
      <c r="H1763" s="113" t="str">
        <f>IFERROR(INDEX(Product_Structure[Generic Name (long)3],MATCH(Товары[[#This Row],[SubGroup]],Product_Structure[Subgroup],0)),"")</f>
        <v>Система микрокапельного полива</v>
      </c>
      <c r="I1763" s="36">
        <v>9033</v>
      </c>
      <c r="J1763" s="36" t="str">
        <f>IFERROR(INDEX(Product_Structure[Generic Name (long)],MATCH(Товары[[#This Row],[SubGroup]],Product_Structure[Subgroup],0)),"")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Row],[SubGroup]],DIY!$B:$C,2,FALSE),0)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3" t="str">
        <f>IFERROR(INDEX(Product_Structure[SuperCategory],MATCH(Товары[[#This Row],[SubGroup]],Product_Structure[Subgroup],0)),"")</f>
        <v>W</v>
      </c>
      <c r="D1764" s="113" t="str">
        <f>IFERROR(INDEX(Product_Structure[SuperCategory Name ENG],MATCH(Товары[[#This Row],[SubGroup]],Product_Structure[Subgroup],0)),"")</f>
        <v>Watering (mobile, sprinkler system&amp;MDS, Ponds)</v>
      </c>
      <c r="E176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4" s="113" t="str">
        <f>IFERROR(INDEX(Product_Structure[Product group],MATCH(Товары[[#This Row],[SubGroup]],Product_Structure[Subgroup],0)),"")</f>
        <v>WSS_C</v>
      </c>
      <c r="G1764" s="113" t="str">
        <f>IFERROR(INDEX(Product_Structure[Product group name ENG],MATCH(Товары[[#This Row],[SubGroup]],Product_Structure[Subgroup],0)),"")</f>
        <v>Watering Systems Sprinklersystem, MDS, SP</v>
      </c>
      <c r="H1764" s="113" t="str">
        <f>IFERROR(INDEX(Product_Structure[Generic Name (long)3],MATCH(Товары[[#This Row],[SubGroup]],Product_Structure[Subgroup],0)),"")</f>
        <v>Система микрокапельного полива</v>
      </c>
      <c r="I1764" s="36">
        <v>9033</v>
      </c>
      <c r="J1764" s="36" t="str">
        <f>IFERROR(INDEX(Product_Structure[Generic Name (long)],MATCH(Товары[[#This Row],[SubGroup]],Product_Structure[Subgroup],0)),"")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Row],[SubGroup]],DIY!$B:$C,2,FALSE),0)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3" t="str">
        <f>IFERROR(INDEX(Product_Structure[SuperCategory],MATCH(Товары[[#This Row],[SubGroup]],Product_Structure[Subgroup],0)),"")</f>
        <v>W</v>
      </c>
      <c r="D1765" s="113" t="str">
        <f>IFERROR(INDEX(Product_Structure[SuperCategory Name ENG],MATCH(Товары[[#This Row],[SubGroup]],Product_Structure[Subgroup],0)),"")</f>
        <v>Watering (mobile, sprinkler system&amp;MDS, Ponds)</v>
      </c>
      <c r="E176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5" s="113" t="str">
        <f>IFERROR(INDEX(Product_Structure[Product group],MATCH(Товары[[#This Row],[SubGroup]],Product_Structure[Subgroup],0)),"")</f>
        <v>WSS_C</v>
      </c>
      <c r="G1765" s="113" t="str">
        <f>IFERROR(INDEX(Product_Structure[Product group name ENG],MATCH(Товары[[#This Row],[SubGroup]],Product_Structure[Subgroup],0)),"")</f>
        <v>Watering Systems Sprinklersystem, MDS, SP</v>
      </c>
      <c r="H1765" s="113" t="str">
        <f>IFERROR(INDEX(Product_Structure[Generic Name (long)3],MATCH(Товары[[#This Row],[SubGroup]],Product_Structure[Subgroup],0)),"")</f>
        <v>Система микрокапельного полива</v>
      </c>
      <c r="I1765" s="36">
        <v>9033</v>
      </c>
      <c r="J1765" s="36" t="str">
        <f>IFERROR(INDEX(Product_Structure[Generic Name (long)],MATCH(Товары[[#This Row],[SubGroup]],Product_Structure[Subgroup],0)),"")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Row],[SubGroup]],DIY!$B:$C,2,FALSE),0)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3" t="str">
        <f>IFERROR(INDEX(Product_Structure[SuperCategory],MATCH(Товары[[#This Row],[SubGroup]],Product_Structure[Subgroup],0)),"")</f>
        <v>W</v>
      </c>
      <c r="D1766" s="113" t="str">
        <f>IFERROR(INDEX(Product_Structure[SuperCategory Name ENG],MATCH(Товары[[#This Row],[SubGroup]],Product_Structure[Subgroup],0)),"")</f>
        <v>Watering (mobile, sprinkler system&amp;MDS, Ponds)</v>
      </c>
      <c r="E176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6" s="113" t="str">
        <f>IFERROR(INDEX(Product_Structure[Product group],MATCH(Товары[[#This Row],[SubGroup]],Product_Structure[Subgroup],0)),"")</f>
        <v>WSS_C</v>
      </c>
      <c r="G1766" s="113" t="str">
        <f>IFERROR(INDEX(Product_Structure[Product group name ENG],MATCH(Товары[[#This Row],[SubGroup]],Product_Structure[Subgroup],0)),"")</f>
        <v>Watering Systems Sprinklersystem, MDS, SP</v>
      </c>
      <c r="H1766" s="113" t="str">
        <f>IFERROR(INDEX(Product_Structure[Generic Name (long)3],MATCH(Товары[[#This Row],[SubGroup]],Product_Structure[Subgroup],0)),"")</f>
        <v>Система микрокапельного полива</v>
      </c>
      <c r="I1766" s="36">
        <v>9033</v>
      </c>
      <c r="J1766" s="36" t="str">
        <f>IFERROR(INDEX(Product_Structure[Generic Name (long)],MATCH(Товары[[#This Row],[SubGroup]],Product_Structure[Subgroup],0)),"")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Row],[SubGroup]],DIY!$B:$C,2,FALSE),0)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3" t="str">
        <f>IFERROR(INDEX(Product_Structure[SuperCategory],MATCH(Товары[[#This Row],[SubGroup]],Product_Structure[Subgroup],0)),"")</f>
        <v>W</v>
      </c>
      <c r="D1767" s="113" t="str">
        <f>IFERROR(INDEX(Product_Structure[SuperCategory Name ENG],MATCH(Товары[[#This Row],[SubGroup]],Product_Structure[Subgroup],0)),"")</f>
        <v>Watering (mobile, sprinkler system&amp;MDS, Ponds)</v>
      </c>
      <c r="E176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7" s="113" t="str">
        <f>IFERROR(INDEX(Product_Structure[Product group],MATCH(Товары[[#This Row],[SubGroup]],Product_Structure[Subgroup],0)),"")</f>
        <v>WSS_C</v>
      </c>
      <c r="G1767" s="113" t="str">
        <f>IFERROR(INDEX(Product_Structure[Product group name ENG],MATCH(Товары[[#This Row],[SubGroup]],Product_Structure[Subgroup],0)),"")</f>
        <v>Watering Systems Sprinklersystem, MDS, SP</v>
      </c>
      <c r="H1767" s="113" t="str">
        <f>IFERROR(INDEX(Product_Structure[Generic Name (long)3],MATCH(Товары[[#This Row],[SubGroup]],Product_Structure[Subgroup],0)),"")</f>
        <v>Система микрокапельного полива</v>
      </c>
      <c r="I1767" s="36">
        <v>9033</v>
      </c>
      <c r="J1767" s="36" t="str">
        <f>IFERROR(INDEX(Product_Structure[Generic Name (long)],MATCH(Товары[[#This Row],[SubGroup]],Product_Structure[Subgroup],0)),"")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Row],[SubGroup]],DIY!$B:$C,2,FALSE),0)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3" t="str">
        <f>IFERROR(INDEX(Product_Structure[SuperCategory],MATCH(Товары[[#This Row],[SubGroup]],Product_Structure[Subgroup],0)),"")</f>
        <v>W</v>
      </c>
      <c r="D1768" s="113" t="str">
        <f>IFERROR(INDEX(Product_Structure[SuperCategory Name ENG],MATCH(Товары[[#This Row],[SubGroup]],Product_Structure[Subgroup],0)),"")</f>
        <v>Watering (mobile, sprinkler system&amp;MDS, Ponds)</v>
      </c>
      <c r="E176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8" s="113" t="str">
        <f>IFERROR(INDEX(Product_Structure[Product group],MATCH(Товары[[#This Row],[SubGroup]],Product_Structure[Subgroup],0)),"")</f>
        <v>WSS_C</v>
      </c>
      <c r="G1768" s="113" t="str">
        <f>IFERROR(INDEX(Product_Structure[Product group name ENG],MATCH(Товары[[#This Row],[SubGroup]],Product_Structure[Subgroup],0)),"")</f>
        <v>Watering Systems Sprinklersystem, MDS, SP</v>
      </c>
      <c r="H1768" s="113" t="str">
        <f>IFERROR(INDEX(Product_Structure[Generic Name (long)3],MATCH(Товары[[#This Row],[SubGroup]],Product_Structure[Subgroup],0)),"")</f>
        <v>Система микрокапельного полива</v>
      </c>
      <c r="I1768" s="36">
        <v>9033</v>
      </c>
      <c r="J1768" s="36" t="str">
        <f>IFERROR(INDEX(Product_Structure[Generic Name (long)],MATCH(Товары[[#This Row],[SubGroup]],Product_Structure[Subgroup],0)),"")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Row],[SubGroup]],DIY!$B:$C,2,FALSE),0)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3" t="str">
        <f>IFERROR(INDEX(Product_Structure[SuperCategory],MATCH(Товары[[#This Row],[SubGroup]],Product_Structure[Subgroup],0)),"")</f>
        <v>W</v>
      </c>
      <c r="D1769" s="113" t="str">
        <f>IFERROR(INDEX(Product_Structure[SuperCategory Name ENG],MATCH(Товары[[#This Row],[SubGroup]],Product_Structure[Subgroup],0)),"")</f>
        <v>Watering (mobile, sprinkler system&amp;MDS, Ponds)</v>
      </c>
      <c r="E176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69" s="113" t="str">
        <f>IFERROR(INDEX(Product_Structure[Product group],MATCH(Товары[[#This Row],[SubGroup]],Product_Structure[Subgroup],0)),"")</f>
        <v>WSS_C</v>
      </c>
      <c r="G1769" s="113" t="str">
        <f>IFERROR(INDEX(Product_Structure[Product group name ENG],MATCH(Товары[[#This Row],[SubGroup]],Product_Structure[Subgroup],0)),"")</f>
        <v>Watering Systems Sprinklersystem, MDS, SP</v>
      </c>
      <c r="H1769" s="113" t="str">
        <f>IFERROR(INDEX(Product_Structure[Generic Name (long)3],MATCH(Товары[[#This Row],[SubGroup]],Product_Structure[Subgroup],0)),"")</f>
        <v>Система микрокапельного полива</v>
      </c>
      <c r="I1769" s="36">
        <v>9033</v>
      </c>
      <c r="J1769" s="36" t="str">
        <f>IFERROR(INDEX(Product_Structure[Generic Name (long)],MATCH(Товары[[#This Row],[SubGroup]],Product_Structure[Subgroup],0)),"")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Row],[SubGroup]],DIY!$B:$C,2,FALSE),0)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3" t="str">
        <f>IFERROR(INDEX(Product_Structure[SuperCategory],MATCH(Товары[[#This Row],[SubGroup]],Product_Structure[Subgroup],0)),"")</f>
        <v>W</v>
      </c>
      <c r="D1770" s="113" t="str">
        <f>IFERROR(INDEX(Product_Structure[SuperCategory Name ENG],MATCH(Товары[[#This Row],[SubGroup]],Product_Structure[Subgroup],0)),"")</f>
        <v>Watering (mobile, sprinkler system&amp;MDS, Ponds)</v>
      </c>
      <c r="E177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0" s="113" t="str">
        <f>IFERROR(INDEX(Product_Structure[Product group],MATCH(Товары[[#This Row],[SubGroup]],Product_Structure[Subgroup],0)),"")</f>
        <v>WSS_C</v>
      </c>
      <c r="G1770" s="113" t="str">
        <f>IFERROR(INDEX(Product_Structure[Product group name ENG],MATCH(Товары[[#This Row],[SubGroup]],Product_Structure[Subgroup],0)),"")</f>
        <v>Watering Systems Sprinklersystem, MDS, SP</v>
      </c>
      <c r="H1770" s="113" t="str">
        <f>IFERROR(INDEX(Product_Structure[Generic Name (long)3],MATCH(Товары[[#This Row],[SubGroup]],Product_Structure[Subgroup],0)),"")</f>
        <v>Система микрокапельного полива</v>
      </c>
      <c r="I1770" s="36">
        <v>9033</v>
      </c>
      <c r="J1770" s="36" t="str">
        <f>IFERROR(INDEX(Product_Structure[Generic Name (long)],MATCH(Товары[[#This Row],[SubGroup]],Product_Structure[Subgroup],0)),"")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Row],[SubGroup]],DIY!$B:$C,2,FALSE),0)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3" t="str">
        <f>IFERROR(INDEX(Product_Structure[SuperCategory],MATCH(Товары[[#This Row],[SubGroup]],Product_Structure[Subgroup],0)),"")</f>
        <v>W</v>
      </c>
      <c r="D1771" s="113" t="str">
        <f>IFERROR(INDEX(Product_Structure[SuperCategory Name ENG],MATCH(Товары[[#This Row],[SubGroup]],Product_Structure[Subgroup],0)),"")</f>
        <v>Watering (mobile, sprinkler system&amp;MDS, Ponds)</v>
      </c>
      <c r="E177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1" s="113" t="str">
        <f>IFERROR(INDEX(Product_Structure[Product group],MATCH(Товары[[#This Row],[SubGroup]],Product_Structure[Subgroup],0)),"")</f>
        <v>WSS_C</v>
      </c>
      <c r="G1771" s="113" t="str">
        <f>IFERROR(INDEX(Product_Structure[Product group name ENG],MATCH(Товары[[#This Row],[SubGroup]],Product_Structure[Subgroup],0)),"")</f>
        <v>Watering Systems Sprinklersystem, MDS, SP</v>
      </c>
      <c r="H1771" s="113" t="str">
        <f>IFERROR(INDEX(Product_Structure[Generic Name (long)3],MATCH(Товары[[#This Row],[SubGroup]],Product_Structure[Subgroup],0)),"")</f>
        <v>Система микрокапельного полива</v>
      </c>
      <c r="I1771" s="36">
        <v>9033</v>
      </c>
      <c r="J1771" s="36" t="str">
        <f>IFERROR(INDEX(Product_Structure[Generic Name (long)],MATCH(Товары[[#This Row],[SubGroup]],Product_Structure[Subgroup],0)),"")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Row],[SubGroup]],DIY!$B:$C,2,FALSE),0)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3" t="str">
        <f>IFERROR(INDEX(Product_Structure[SuperCategory],MATCH(Товары[[#This Row],[SubGroup]],Product_Structure[Subgroup],0)),"")</f>
        <v>W</v>
      </c>
      <c r="D1772" s="113" t="str">
        <f>IFERROR(INDEX(Product_Structure[SuperCategory Name ENG],MATCH(Товары[[#This Row],[SubGroup]],Product_Structure[Subgroup],0)),"")</f>
        <v>Watering (mobile, sprinkler system&amp;MDS, Ponds)</v>
      </c>
      <c r="E177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2" s="113" t="str">
        <f>IFERROR(INDEX(Product_Structure[Product group],MATCH(Товары[[#This Row],[SubGroup]],Product_Structure[Subgroup],0)),"")</f>
        <v>WSS_C</v>
      </c>
      <c r="G1772" s="113" t="str">
        <f>IFERROR(INDEX(Product_Structure[Product group name ENG],MATCH(Товары[[#This Row],[SubGroup]],Product_Structure[Subgroup],0)),"")</f>
        <v>Watering Systems Sprinklersystem, MDS, SP</v>
      </c>
      <c r="H1772" s="113" t="str">
        <f>IFERROR(INDEX(Product_Structure[Generic Name (long)3],MATCH(Товары[[#This Row],[SubGroup]],Product_Structure[Subgroup],0)),"")</f>
        <v>Система микрокапельного полива</v>
      </c>
      <c r="I1772" s="36">
        <v>9033</v>
      </c>
      <c r="J1772" s="36" t="str">
        <f>IFERROR(INDEX(Product_Structure[Generic Name (long)],MATCH(Товары[[#This Row],[SubGroup]],Product_Structure[Subgroup],0)),"")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Row],[SubGroup]],DIY!$B:$C,2,FALSE),0)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3" t="str">
        <f>IFERROR(INDEX(Product_Structure[SuperCategory],MATCH(Товары[[#This Row],[SubGroup]],Product_Structure[Subgroup],0)),"")</f>
        <v>W</v>
      </c>
      <c r="D1773" s="113" t="str">
        <f>IFERROR(INDEX(Product_Structure[SuperCategory Name ENG],MATCH(Товары[[#This Row],[SubGroup]],Product_Structure[Subgroup],0)),"")</f>
        <v>Watering (mobile, sprinkler system&amp;MDS, Ponds)</v>
      </c>
      <c r="E177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3" s="113" t="str">
        <f>IFERROR(INDEX(Product_Structure[Product group],MATCH(Товары[[#This Row],[SubGroup]],Product_Structure[Subgroup],0)),"")</f>
        <v>WSS_C</v>
      </c>
      <c r="G1773" s="113" t="str">
        <f>IFERROR(INDEX(Product_Structure[Product group name ENG],MATCH(Товары[[#This Row],[SubGroup]],Product_Structure[Subgroup],0)),"")</f>
        <v>Watering Systems Sprinklersystem, MDS, SP</v>
      </c>
      <c r="H1773" s="113" t="str">
        <f>IFERROR(INDEX(Product_Structure[Generic Name (long)3],MATCH(Товары[[#This Row],[SubGroup]],Product_Structure[Subgroup],0)),"")</f>
        <v>Система микрокапельного полива</v>
      </c>
      <c r="I1773" s="36">
        <v>9033</v>
      </c>
      <c r="J1773" s="36" t="str">
        <f>IFERROR(INDEX(Product_Structure[Generic Name (long)],MATCH(Товары[[#This Row],[SubGroup]],Product_Structure[Subgroup],0)),"")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Row],[SubGroup]],DIY!$B:$C,2,FALSE),0)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3" t="str">
        <f>IFERROR(INDEX(Product_Structure[SuperCategory],MATCH(Товары[[#This Row],[SubGroup]],Product_Structure[Subgroup],0)),"")</f>
        <v>W</v>
      </c>
      <c r="D1774" s="113" t="str">
        <f>IFERROR(INDEX(Product_Structure[SuperCategory Name ENG],MATCH(Товары[[#This Row],[SubGroup]],Product_Structure[Subgroup],0)),"")</f>
        <v>Watering (mobile, sprinkler system&amp;MDS, Ponds)</v>
      </c>
      <c r="E177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4" s="113" t="str">
        <f>IFERROR(INDEX(Product_Structure[Product group],MATCH(Товары[[#This Row],[SubGroup]],Product_Structure[Subgroup],0)),"")</f>
        <v>WSS_C</v>
      </c>
      <c r="G1774" s="113" t="str">
        <f>IFERROR(INDEX(Product_Structure[Product group name ENG],MATCH(Товары[[#This Row],[SubGroup]],Product_Structure[Subgroup],0)),"")</f>
        <v>Watering Systems Sprinklersystem, MDS, SP</v>
      </c>
      <c r="H1774" s="113" t="str">
        <f>IFERROR(INDEX(Product_Structure[Generic Name (long)3],MATCH(Товары[[#This Row],[SubGroup]],Product_Structure[Subgroup],0)),"")</f>
        <v>Система микрокапельного полива</v>
      </c>
      <c r="I1774" s="36">
        <v>9033</v>
      </c>
      <c r="J1774" s="36" t="str">
        <f>IFERROR(INDEX(Product_Structure[Generic Name (long)],MATCH(Товары[[#This Row],[SubGroup]],Product_Structure[Subgroup],0)),"")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Row],[SubGroup]],DIY!$B:$C,2,FALSE),0)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3" t="str">
        <f>IFERROR(INDEX(Product_Structure[SuperCategory],MATCH(Товары[[#This Row],[SubGroup]],Product_Structure[Subgroup],0)),"")</f>
        <v>W</v>
      </c>
      <c r="D1775" s="113" t="str">
        <f>IFERROR(INDEX(Product_Structure[SuperCategory Name ENG],MATCH(Товары[[#This Row],[SubGroup]],Product_Structure[Subgroup],0)),"")</f>
        <v>Watering (mobile, sprinkler system&amp;MDS, Ponds)</v>
      </c>
      <c r="E177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5" s="113" t="str">
        <f>IFERROR(INDEX(Product_Structure[Product group],MATCH(Товары[[#This Row],[SubGroup]],Product_Structure[Subgroup],0)),"")</f>
        <v>WSS_C</v>
      </c>
      <c r="G1775" s="113" t="str">
        <f>IFERROR(INDEX(Product_Structure[Product group name ENG],MATCH(Товары[[#This Row],[SubGroup]],Product_Structure[Subgroup],0)),"")</f>
        <v>Watering Systems Sprinklersystem, MDS, SP</v>
      </c>
      <c r="H1775" s="113" t="str">
        <f>IFERROR(INDEX(Product_Structure[Generic Name (long)3],MATCH(Товары[[#This Row],[SubGroup]],Product_Structure[Subgroup],0)),"")</f>
        <v>Система микрокапельного полива</v>
      </c>
      <c r="I1775" s="36">
        <v>9033</v>
      </c>
      <c r="J1775" s="36" t="str">
        <f>IFERROR(INDEX(Product_Structure[Generic Name (long)],MATCH(Товары[[#This Row],[SubGroup]],Product_Structure[Subgroup],0)),"")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Row],[SubGroup]],DIY!$B:$C,2,FALSE),0)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3" t="str">
        <f>IFERROR(INDEX(Product_Structure[SuperCategory],MATCH(Товары[[#This Row],[SubGroup]],Product_Structure[Subgroup],0)),"")</f>
        <v>W</v>
      </c>
      <c r="D1776" s="113" t="str">
        <f>IFERROR(INDEX(Product_Structure[SuperCategory Name ENG],MATCH(Товары[[#This Row],[SubGroup]],Product_Structure[Subgroup],0)),"")</f>
        <v>Watering (mobile, sprinkler system&amp;MDS, Ponds)</v>
      </c>
      <c r="E177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6" s="113" t="str">
        <f>IFERROR(INDEX(Product_Structure[Product group],MATCH(Товары[[#This Row],[SubGroup]],Product_Structure[Subgroup],0)),"")</f>
        <v>WSS_C</v>
      </c>
      <c r="G1776" s="113" t="str">
        <f>IFERROR(INDEX(Product_Structure[Product group name ENG],MATCH(Товары[[#This Row],[SubGroup]],Product_Structure[Subgroup],0)),"")</f>
        <v>Watering Systems Sprinklersystem, MDS, SP</v>
      </c>
      <c r="H1776" s="113" t="str">
        <f>IFERROR(INDEX(Product_Structure[Generic Name (long)3],MATCH(Товары[[#This Row],[SubGroup]],Product_Structure[Subgroup],0)),"")</f>
        <v>Система микрокапельного полива</v>
      </c>
      <c r="I1776" s="36">
        <v>9033</v>
      </c>
      <c r="J1776" s="36" t="str">
        <f>IFERROR(INDEX(Product_Structure[Generic Name (long)],MATCH(Товары[[#This Row],[SubGroup]],Product_Structure[Subgroup],0)),"")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Row],[SubGroup]],DIY!$B:$C,2,FALSE),0)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3" t="str">
        <f>IFERROR(INDEX(Product_Structure[SuperCategory],MATCH(Товары[[#This Row],[SubGroup]],Product_Structure[Subgroup],0)),"")</f>
        <v>W</v>
      </c>
      <c r="D1777" s="113" t="str">
        <f>IFERROR(INDEX(Product_Structure[SuperCategory Name ENG],MATCH(Товары[[#This Row],[SubGroup]],Product_Structure[Subgroup],0)),"")</f>
        <v>Watering (mobile, sprinkler system&amp;MDS, Ponds)</v>
      </c>
      <c r="E177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7" s="113" t="str">
        <f>IFERROR(INDEX(Product_Structure[Product group],MATCH(Товары[[#This Row],[SubGroup]],Product_Structure[Subgroup],0)),"")</f>
        <v>WSS_C</v>
      </c>
      <c r="G1777" s="113" t="str">
        <f>IFERROR(INDEX(Product_Structure[Product group name ENG],MATCH(Товары[[#This Row],[SubGroup]],Product_Structure[Subgroup],0)),"")</f>
        <v>Watering Systems Sprinklersystem, MDS, SP</v>
      </c>
      <c r="H1777" s="113" t="str">
        <f>IFERROR(INDEX(Product_Structure[Generic Name (long)3],MATCH(Товары[[#This Row],[SubGroup]],Product_Structure[Subgroup],0)),"")</f>
        <v>Система микрокапельного полива</v>
      </c>
      <c r="I1777" s="36">
        <v>9033</v>
      </c>
      <c r="J1777" s="36" t="str">
        <f>IFERROR(INDEX(Product_Structure[Generic Name (long)],MATCH(Товары[[#This Row],[SubGroup]],Product_Structure[Subgroup],0)),"")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Row],[SubGroup]],DIY!$B:$C,2,FALSE),0)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3" t="str">
        <f>IFERROR(INDEX(Product_Structure[SuperCategory],MATCH(Товары[[#This Row],[SubGroup]],Product_Structure[Subgroup],0)),"")</f>
        <v>W</v>
      </c>
      <c r="D1778" s="113" t="str">
        <f>IFERROR(INDEX(Product_Structure[SuperCategory Name ENG],MATCH(Товары[[#This Row],[SubGroup]],Product_Structure[Subgroup],0)),"")</f>
        <v>Watering (mobile, sprinkler system&amp;MDS, Ponds)</v>
      </c>
      <c r="E177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8" s="113" t="str">
        <f>IFERROR(INDEX(Product_Structure[Product group],MATCH(Товары[[#This Row],[SubGroup]],Product_Structure[Subgroup],0)),"")</f>
        <v>WSS_C</v>
      </c>
      <c r="G1778" s="113" t="str">
        <f>IFERROR(INDEX(Product_Structure[Product group name ENG],MATCH(Товары[[#This Row],[SubGroup]],Product_Structure[Subgroup],0)),"")</f>
        <v>Watering Systems Sprinklersystem, MDS, SP</v>
      </c>
      <c r="H1778" s="113" t="str">
        <f>IFERROR(INDEX(Product_Structure[Generic Name (long)3],MATCH(Товары[[#This Row],[SubGroup]],Product_Structure[Subgroup],0)),"")</f>
        <v>Система микрокапельного полива</v>
      </c>
      <c r="I1778" s="36">
        <v>9033</v>
      </c>
      <c r="J1778" s="36" t="str">
        <f>IFERROR(INDEX(Product_Structure[Generic Name (long)],MATCH(Товары[[#This Row],[SubGroup]],Product_Structure[Subgroup],0)),"")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Row],[SubGroup]],DIY!$B:$C,2,FALSE),0)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3" t="str">
        <f>IFERROR(INDEX(Product_Structure[SuperCategory],MATCH(Товары[[#This Row],[SubGroup]],Product_Structure[Subgroup],0)),"")</f>
        <v>W</v>
      </c>
      <c r="D1779" s="113" t="str">
        <f>IFERROR(INDEX(Product_Structure[SuperCategory Name ENG],MATCH(Товары[[#This Row],[SubGroup]],Product_Structure[Subgroup],0)),"")</f>
        <v>Watering (mobile, sprinkler system&amp;MDS, Ponds)</v>
      </c>
      <c r="E177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79" s="113" t="str">
        <f>IFERROR(INDEX(Product_Structure[Product group],MATCH(Товары[[#This Row],[SubGroup]],Product_Structure[Subgroup],0)),"")</f>
        <v>WSS_C</v>
      </c>
      <c r="G1779" s="113" t="str">
        <f>IFERROR(INDEX(Product_Structure[Product group name ENG],MATCH(Товары[[#This Row],[SubGroup]],Product_Structure[Subgroup],0)),"")</f>
        <v>Watering Systems Sprinklersystem, MDS, SP</v>
      </c>
      <c r="H1779" s="113" t="str">
        <f>IFERROR(INDEX(Product_Structure[Generic Name (long)3],MATCH(Товары[[#This Row],[SubGroup]],Product_Structure[Subgroup],0)),"")</f>
        <v>Система микрокапельного полива</v>
      </c>
      <c r="I1779" s="36">
        <v>9033</v>
      </c>
      <c r="J1779" s="36" t="str">
        <f>IFERROR(INDEX(Product_Structure[Generic Name (long)],MATCH(Товары[[#This Row],[SubGroup]],Product_Structure[Subgroup],0)),"")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Row],[SubGroup]],DIY!$B:$C,2,FALSE),0)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3" t="str">
        <f>IFERROR(INDEX(Product_Structure[SuperCategory],MATCH(Товары[[#This Row],[SubGroup]],Product_Structure[Subgroup],0)),"")</f>
        <v>W</v>
      </c>
      <c r="D1780" s="113" t="str">
        <f>IFERROR(INDEX(Product_Structure[SuperCategory Name ENG],MATCH(Товары[[#This Row],[SubGroup]],Product_Structure[Subgroup],0)),"")</f>
        <v>Watering (mobile, sprinkler system&amp;MDS, Ponds)</v>
      </c>
      <c r="E178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0" s="113" t="str">
        <f>IFERROR(INDEX(Product_Structure[Product group],MATCH(Товары[[#This Row],[SubGroup]],Product_Structure[Subgroup],0)),"")</f>
        <v>WSS_C</v>
      </c>
      <c r="G1780" s="113" t="str">
        <f>IFERROR(INDEX(Product_Structure[Product group name ENG],MATCH(Товары[[#This Row],[SubGroup]],Product_Structure[Subgroup],0)),"")</f>
        <v>Watering Systems Sprinklersystem, MDS, SP</v>
      </c>
      <c r="H1780" s="113" t="str">
        <f>IFERROR(INDEX(Product_Structure[Generic Name (long)3],MATCH(Товары[[#This Row],[SubGroup]],Product_Structure[Subgroup],0)),"")</f>
        <v>Система микрокапельного полива</v>
      </c>
      <c r="I1780" s="36">
        <v>9033</v>
      </c>
      <c r="J1780" s="36" t="str">
        <f>IFERROR(INDEX(Product_Structure[Generic Name (long)],MATCH(Товары[[#This Row],[SubGroup]],Product_Structure[Subgroup],0)),"")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Row],[SubGroup]],DIY!$B:$C,2,FALSE),0)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3" t="str">
        <f>IFERROR(INDEX(Product_Structure[SuperCategory],MATCH(Товары[[#This Row],[SubGroup]],Product_Structure[Subgroup],0)),"")</f>
        <v>W</v>
      </c>
      <c r="D1781" s="113" t="str">
        <f>IFERROR(INDEX(Product_Structure[SuperCategory Name ENG],MATCH(Товары[[#This Row],[SubGroup]],Product_Structure[Subgroup],0)),"")</f>
        <v>Watering (mobile, sprinkler system&amp;MDS, Ponds)</v>
      </c>
      <c r="E178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1" s="113" t="str">
        <f>IFERROR(INDEX(Product_Structure[Product group],MATCH(Товары[[#This Row],[SubGroup]],Product_Structure[Subgroup],0)),"")</f>
        <v>WSS_C</v>
      </c>
      <c r="G1781" s="113" t="str">
        <f>IFERROR(INDEX(Product_Structure[Product group name ENG],MATCH(Товары[[#This Row],[SubGroup]],Product_Structure[Subgroup],0)),"")</f>
        <v>Watering Systems Sprinklersystem, MDS, SP</v>
      </c>
      <c r="H1781" s="113" t="str">
        <f>IFERROR(INDEX(Product_Structure[Generic Name (long)3],MATCH(Товары[[#This Row],[SubGroup]],Product_Structure[Subgroup],0)),"")</f>
        <v>Система микрокапельного полива</v>
      </c>
      <c r="I1781" s="36">
        <v>9033</v>
      </c>
      <c r="J1781" s="36" t="str">
        <f>IFERROR(INDEX(Product_Structure[Generic Name (long)],MATCH(Товары[[#This Row],[SubGroup]],Product_Structure[Subgroup],0)),"")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Row],[SubGroup]],DIY!$B:$C,2,FALSE),0)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3" t="str">
        <f>IFERROR(INDEX(Product_Structure[SuperCategory],MATCH(Товары[[#This Row],[SubGroup]],Product_Structure[Subgroup],0)),"")</f>
        <v>W</v>
      </c>
      <c r="D1782" s="113" t="str">
        <f>IFERROR(INDEX(Product_Structure[SuperCategory Name ENG],MATCH(Товары[[#This Row],[SubGroup]],Product_Structure[Subgroup],0)),"")</f>
        <v>Watering (mobile, sprinkler system&amp;MDS, Ponds)</v>
      </c>
      <c r="E178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2" s="113" t="str">
        <f>IFERROR(INDEX(Product_Structure[Product group],MATCH(Товары[[#This Row],[SubGroup]],Product_Structure[Subgroup],0)),"")</f>
        <v>WSS_C</v>
      </c>
      <c r="G1782" s="113" t="str">
        <f>IFERROR(INDEX(Product_Structure[Product group name ENG],MATCH(Товары[[#This Row],[SubGroup]],Product_Structure[Subgroup],0)),"")</f>
        <v>Watering Systems Sprinklersystem, MDS, SP</v>
      </c>
      <c r="H1782" s="113" t="str">
        <f>IFERROR(INDEX(Product_Structure[Generic Name (long)3],MATCH(Товары[[#This Row],[SubGroup]],Product_Structure[Subgroup],0)),"")</f>
        <v>Система микрокапельного полива</v>
      </c>
      <c r="I1782" s="36">
        <v>9033</v>
      </c>
      <c r="J1782" s="36" t="str">
        <f>IFERROR(INDEX(Product_Structure[Generic Name (long)],MATCH(Товары[[#This Row],[SubGroup]],Product_Structure[Subgroup],0)),"")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Row],[SubGroup]],DIY!$B:$C,2,FALSE),0)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3" t="str">
        <f>IFERROR(INDEX(Product_Structure[SuperCategory],MATCH(Товары[[#This Row],[SubGroup]],Product_Structure[Subgroup],0)),"")</f>
        <v>W</v>
      </c>
      <c r="D1783" s="113" t="str">
        <f>IFERROR(INDEX(Product_Structure[SuperCategory Name ENG],MATCH(Товары[[#This Row],[SubGroup]],Product_Structure[Subgroup],0)),"")</f>
        <v>Watering (mobile, sprinkler system&amp;MDS, Ponds)</v>
      </c>
      <c r="E178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3" s="113" t="str">
        <f>IFERROR(INDEX(Product_Structure[Product group],MATCH(Товары[[#This Row],[SubGroup]],Product_Structure[Subgroup],0)),"")</f>
        <v>WSS_C</v>
      </c>
      <c r="G1783" s="113" t="str">
        <f>IFERROR(INDEX(Product_Structure[Product group name ENG],MATCH(Товары[[#This Row],[SubGroup]],Product_Structure[Subgroup],0)),"")</f>
        <v>Watering Systems Sprinklersystem, MDS, SP</v>
      </c>
      <c r="H1783" s="113" t="str">
        <f>IFERROR(INDEX(Product_Structure[Generic Name (long)3],MATCH(Товары[[#This Row],[SubGroup]],Product_Structure[Subgroup],0)),"")</f>
        <v>Система микрокапельного полива</v>
      </c>
      <c r="I1783" s="36">
        <v>9033</v>
      </c>
      <c r="J1783" s="36" t="str">
        <f>IFERROR(INDEX(Product_Structure[Generic Name (long)],MATCH(Товары[[#This Row],[SubGroup]],Product_Structure[Subgroup],0)),"")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Row],[SubGroup]],DIY!$B:$C,2,FALSE),0)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3" t="str">
        <f>IFERROR(INDEX(Product_Structure[SuperCategory],MATCH(Товары[[#This Row],[SubGroup]],Product_Structure[Subgroup],0)),"")</f>
        <v>W</v>
      </c>
      <c r="D1784" s="113" t="str">
        <f>IFERROR(INDEX(Product_Structure[SuperCategory Name ENG],MATCH(Товары[[#This Row],[SubGroup]],Product_Structure[Subgroup],0)),"")</f>
        <v>Watering (mobile, sprinkler system&amp;MDS, Ponds)</v>
      </c>
      <c r="E178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4" s="113" t="str">
        <f>IFERROR(INDEX(Product_Structure[Product group],MATCH(Товары[[#This Row],[SubGroup]],Product_Structure[Subgroup],0)),"")</f>
        <v>WSS_C</v>
      </c>
      <c r="G1784" s="113" t="str">
        <f>IFERROR(INDEX(Product_Structure[Product group name ENG],MATCH(Товары[[#This Row],[SubGroup]],Product_Structure[Subgroup],0)),"")</f>
        <v>Watering Systems Sprinklersystem, MDS, SP</v>
      </c>
      <c r="H1784" s="113" t="str">
        <f>IFERROR(INDEX(Product_Structure[Generic Name (long)3],MATCH(Товары[[#This Row],[SubGroup]],Product_Structure[Subgroup],0)),"")</f>
        <v>Система микрокапельного полива</v>
      </c>
      <c r="I1784" s="36">
        <v>9033</v>
      </c>
      <c r="J1784" s="36" t="str">
        <f>IFERROR(INDEX(Product_Structure[Generic Name (long)],MATCH(Товары[[#This Row],[SubGroup]],Product_Structure[Subgroup],0)),"")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Row],[SubGroup]],DIY!$B:$C,2,FALSE),0)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3" t="str">
        <f>IFERROR(INDEX(Product_Structure[SuperCategory],MATCH(Товары[[#This Row],[SubGroup]],Product_Structure[Subgroup],0)),"")</f>
        <v>W</v>
      </c>
      <c r="D1785" s="113" t="str">
        <f>IFERROR(INDEX(Product_Structure[SuperCategory Name ENG],MATCH(Товары[[#This Row],[SubGroup]],Product_Structure[Subgroup],0)),"")</f>
        <v>Watering (mobile, sprinkler system&amp;MDS, Ponds)</v>
      </c>
      <c r="E178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5" s="113" t="str">
        <f>IFERROR(INDEX(Product_Structure[Product group],MATCH(Товары[[#This Row],[SubGroup]],Product_Structure[Subgroup],0)),"")</f>
        <v>WSS_C</v>
      </c>
      <c r="G1785" s="113" t="str">
        <f>IFERROR(INDEX(Product_Structure[Product group name ENG],MATCH(Товары[[#This Row],[SubGroup]],Product_Structure[Subgroup],0)),"")</f>
        <v>Watering Systems Sprinklersystem, MDS, SP</v>
      </c>
      <c r="H1785" s="113" t="str">
        <f>IFERROR(INDEX(Product_Structure[Generic Name (long)3],MATCH(Товары[[#This Row],[SubGroup]],Product_Structure[Subgroup],0)),"")</f>
        <v>Система микрокапельного полива</v>
      </c>
      <c r="I1785" s="36">
        <v>9033</v>
      </c>
      <c r="J1785" s="36" t="str">
        <f>IFERROR(INDEX(Product_Structure[Generic Name (long)],MATCH(Товары[[#This Row],[SubGroup]],Product_Structure[Subgroup],0)),"")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Row],[SubGroup]],DIY!$B:$C,2,FALSE),0)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3" t="str">
        <f>IFERROR(INDEX(Product_Structure[SuperCategory],MATCH(Товары[[#This Row],[SubGroup]],Product_Structure[Subgroup],0)),"")</f>
        <v>W</v>
      </c>
      <c r="D1786" s="113" t="str">
        <f>IFERROR(INDEX(Product_Structure[SuperCategory Name ENG],MATCH(Товары[[#This Row],[SubGroup]],Product_Structure[Subgroup],0)),"")</f>
        <v>Watering (mobile, sprinkler system&amp;MDS, Ponds)</v>
      </c>
      <c r="E178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6" s="113" t="str">
        <f>IFERROR(INDEX(Product_Structure[Product group],MATCH(Товары[[#This Row],[SubGroup]],Product_Structure[Subgroup],0)),"")</f>
        <v>WSS_C</v>
      </c>
      <c r="G1786" s="113" t="str">
        <f>IFERROR(INDEX(Product_Structure[Product group name ENG],MATCH(Товары[[#This Row],[SubGroup]],Product_Structure[Subgroup],0)),"")</f>
        <v>Watering Systems Sprinklersystem, MDS, SP</v>
      </c>
      <c r="H1786" s="113" t="str">
        <f>IFERROR(INDEX(Product_Structure[Generic Name (long)3],MATCH(Товары[[#This Row],[SubGroup]],Product_Structure[Subgroup],0)),"")</f>
        <v>Система микрокапельного полива</v>
      </c>
      <c r="I1786" s="36">
        <v>9033</v>
      </c>
      <c r="J1786" s="36" t="str">
        <f>IFERROR(INDEX(Product_Structure[Generic Name (long)],MATCH(Товары[[#This Row],[SubGroup]],Product_Structure[Subgroup],0)),"")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Row],[SubGroup]],DIY!$B:$C,2,FALSE),0)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3" t="str">
        <f>IFERROR(INDEX(Product_Structure[SuperCategory],MATCH(Товары[[#This Row],[SubGroup]],Product_Structure[Subgroup],0)),"")</f>
        <v>W</v>
      </c>
      <c r="D1787" s="113" t="str">
        <f>IFERROR(INDEX(Product_Structure[SuperCategory Name ENG],MATCH(Товары[[#This Row],[SubGroup]],Product_Structure[Subgroup],0)),"")</f>
        <v>Watering (mobile, sprinkler system&amp;MDS, Ponds)</v>
      </c>
      <c r="E178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7" s="113" t="str">
        <f>IFERROR(INDEX(Product_Structure[Product group],MATCH(Товары[[#This Row],[SubGroup]],Product_Structure[Subgroup],0)),"")</f>
        <v>WSS_C</v>
      </c>
      <c r="G1787" s="113" t="str">
        <f>IFERROR(INDEX(Product_Structure[Product group name ENG],MATCH(Товары[[#This Row],[SubGroup]],Product_Structure[Subgroup],0)),"")</f>
        <v>Watering Systems Sprinklersystem, MDS, SP</v>
      </c>
      <c r="H1787" s="113" t="str">
        <f>IFERROR(INDEX(Product_Structure[Generic Name (long)3],MATCH(Товары[[#This Row],[SubGroup]],Product_Structure[Subgroup],0)),"")</f>
        <v>Система микрокапельного полива</v>
      </c>
      <c r="I1787" s="36">
        <v>9033</v>
      </c>
      <c r="J1787" s="36" t="str">
        <f>IFERROR(INDEX(Product_Structure[Generic Name (long)],MATCH(Товары[[#This Row],[SubGroup]],Product_Structure[Subgroup],0)),"")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Row],[SubGroup]],DIY!$B:$C,2,FALSE),0)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3" t="str">
        <f>IFERROR(INDEX(Product_Structure[SuperCategory],MATCH(Товары[[#This Row],[SubGroup]],Product_Structure[Subgroup],0)),"")</f>
        <v>W</v>
      </c>
      <c r="D1788" s="113" t="str">
        <f>IFERROR(INDEX(Product_Structure[SuperCategory Name ENG],MATCH(Товары[[#This Row],[SubGroup]],Product_Structure[Subgroup],0)),"")</f>
        <v>Watering (mobile, sprinkler system&amp;MDS, Ponds)</v>
      </c>
      <c r="E178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8" s="113" t="str">
        <f>IFERROR(INDEX(Product_Structure[Product group],MATCH(Товары[[#This Row],[SubGroup]],Product_Structure[Subgroup],0)),"")</f>
        <v>WSS_C</v>
      </c>
      <c r="G1788" s="113" t="str">
        <f>IFERROR(INDEX(Product_Structure[Product group name ENG],MATCH(Товары[[#This Row],[SubGroup]],Product_Structure[Subgroup],0)),"")</f>
        <v>Watering Systems Sprinklersystem, MDS, SP</v>
      </c>
      <c r="H1788" s="113" t="str">
        <f>IFERROR(INDEX(Product_Structure[Generic Name (long)3],MATCH(Товары[[#This Row],[SubGroup]],Product_Structure[Subgroup],0)),"")</f>
        <v>Система микрокапельного полива</v>
      </c>
      <c r="I1788" s="36">
        <v>9033</v>
      </c>
      <c r="J1788" s="36" t="str">
        <f>IFERROR(INDEX(Product_Structure[Generic Name (long)],MATCH(Товары[[#This Row],[SubGroup]],Product_Structure[Subgroup],0)),"")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Row],[SubGroup]],DIY!$B:$C,2,FALSE),0)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3" t="str">
        <f>IFERROR(INDEX(Product_Structure[SuperCategory],MATCH(Товары[[#This Row],[SubGroup]],Product_Structure[Subgroup],0)),"")</f>
        <v>W</v>
      </c>
      <c r="D1789" s="113" t="str">
        <f>IFERROR(INDEX(Product_Structure[SuperCategory Name ENG],MATCH(Товары[[#This Row],[SubGroup]],Product_Structure[Subgroup],0)),"")</f>
        <v>Watering (mobile, sprinkler system&amp;MDS, Ponds)</v>
      </c>
      <c r="E178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89" s="113" t="str">
        <f>IFERROR(INDEX(Product_Structure[Product group],MATCH(Товары[[#This Row],[SubGroup]],Product_Structure[Subgroup],0)),"")</f>
        <v>WSS_C</v>
      </c>
      <c r="G1789" s="113" t="str">
        <f>IFERROR(INDEX(Product_Structure[Product group name ENG],MATCH(Товары[[#This Row],[SubGroup]],Product_Structure[Subgroup],0)),"")</f>
        <v>Watering Systems Sprinklersystem, MDS, SP</v>
      </c>
      <c r="H1789" s="113" t="str">
        <f>IFERROR(INDEX(Product_Structure[Generic Name (long)3],MATCH(Товары[[#This Row],[SubGroup]],Product_Structure[Subgroup],0)),"")</f>
        <v>Система микрокапельного полива</v>
      </c>
      <c r="I1789" s="36">
        <v>9033</v>
      </c>
      <c r="J1789" s="36" t="str">
        <f>IFERROR(INDEX(Product_Structure[Generic Name (long)],MATCH(Товары[[#This Row],[SubGroup]],Product_Structure[Subgroup],0)),"")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Row],[SubGroup]],DIY!$B:$C,2,FALSE),0)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3" t="str">
        <f>IFERROR(INDEX(Product_Structure[SuperCategory],MATCH(Товары[[#This Row],[SubGroup]],Product_Structure[Subgroup],0)),"")</f>
        <v>W</v>
      </c>
      <c r="D1790" s="113" t="str">
        <f>IFERROR(INDEX(Product_Structure[SuperCategory Name ENG],MATCH(Товары[[#This Row],[SubGroup]],Product_Structure[Subgroup],0)),"")</f>
        <v>Watering (mobile, sprinkler system&amp;MDS, Ponds)</v>
      </c>
      <c r="E179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0" s="113" t="str">
        <f>IFERROR(INDEX(Product_Structure[Product group],MATCH(Товары[[#This Row],[SubGroup]],Product_Structure[Subgroup],0)),"")</f>
        <v>WSS_C</v>
      </c>
      <c r="G1790" s="113" t="str">
        <f>IFERROR(INDEX(Product_Structure[Product group name ENG],MATCH(Товары[[#This Row],[SubGroup]],Product_Structure[Subgroup],0)),"")</f>
        <v>Watering Systems Sprinklersystem, MDS, SP</v>
      </c>
      <c r="H1790" s="113" t="str">
        <f>IFERROR(INDEX(Product_Structure[Generic Name (long)3],MATCH(Товары[[#This Row],[SubGroup]],Product_Structure[Subgroup],0)),"")</f>
        <v>Система микрокапельного полива</v>
      </c>
      <c r="I1790" s="36">
        <v>9033</v>
      </c>
      <c r="J1790" s="36" t="str">
        <f>IFERROR(INDEX(Product_Structure[Generic Name (long)],MATCH(Товары[[#This Row],[SubGroup]],Product_Structure[Subgroup],0)),"")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Row],[SubGroup]],DIY!$B:$C,2,FALSE),0)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3" t="str">
        <f>IFERROR(INDEX(Product_Structure[SuperCategory],MATCH(Товары[[#This Row],[SubGroup]],Product_Structure[Subgroup],0)),"")</f>
        <v>W</v>
      </c>
      <c r="D1791" s="113" t="str">
        <f>IFERROR(INDEX(Product_Structure[SuperCategory Name ENG],MATCH(Товары[[#This Row],[SubGroup]],Product_Structure[Subgroup],0)),"")</f>
        <v>Watering (mobile, sprinkler system&amp;MDS, Ponds)</v>
      </c>
      <c r="E179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1" s="113" t="str">
        <f>IFERROR(INDEX(Product_Structure[Product group],MATCH(Товары[[#This Row],[SubGroup]],Product_Structure[Subgroup],0)),"")</f>
        <v>WSS_C</v>
      </c>
      <c r="G1791" s="113" t="str">
        <f>IFERROR(INDEX(Product_Structure[Product group name ENG],MATCH(Товары[[#This Row],[SubGroup]],Product_Structure[Subgroup],0)),"")</f>
        <v>Watering Systems Sprinklersystem, MDS, SP</v>
      </c>
      <c r="H1791" s="113" t="str">
        <f>IFERROR(INDEX(Product_Structure[Generic Name (long)3],MATCH(Товары[[#This Row],[SubGroup]],Product_Structure[Subgroup],0)),"")</f>
        <v>Система микрокапельного полива</v>
      </c>
      <c r="I1791" s="36">
        <v>9033</v>
      </c>
      <c r="J1791" s="36" t="str">
        <f>IFERROR(INDEX(Product_Structure[Generic Name (long)],MATCH(Товары[[#This Row],[SubGroup]],Product_Structure[Subgroup],0)),"")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Row],[SubGroup]],DIY!$B:$C,2,FALSE),0)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3" t="str">
        <f>IFERROR(INDEX(Product_Structure[SuperCategory],MATCH(Товары[[#This Row],[SubGroup]],Product_Structure[Subgroup],0)),"")</f>
        <v>W</v>
      </c>
      <c r="D1792" s="113" t="str">
        <f>IFERROR(INDEX(Product_Structure[SuperCategory Name ENG],MATCH(Товары[[#This Row],[SubGroup]],Product_Structure[Subgroup],0)),"")</f>
        <v>Watering (mobile, sprinkler system&amp;MDS, Ponds)</v>
      </c>
      <c r="E179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2" s="113" t="str">
        <f>IFERROR(INDEX(Product_Structure[Product group],MATCH(Товары[[#This Row],[SubGroup]],Product_Structure[Subgroup],0)),"")</f>
        <v>WSS_C</v>
      </c>
      <c r="G1792" s="113" t="str">
        <f>IFERROR(INDEX(Product_Structure[Product group name ENG],MATCH(Товары[[#This Row],[SubGroup]],Product_Structure[Subgroup],0)),"")</f>
        <v>Watering Systems Sprinklersystem, MDS, SP</v>
      </c>
      <c r="H1792" s="113" t="str">
        <f>IFERROR(INDEX(Product_Structure[Generic Name (long)3],MATCH(Товары[[#This Row],[SubGroup]],Product_Structure[Subgroup],0)),"")</f>
        <v>Система микрокапельного полива</v>
      </c>
      <c r="I1792" s="36">
        <v>9033</v>
      </c>
      <c r="J1792" s="36" t="str">
        <f>IFERROR(INDEX(Product_Structure[Generic Name (long)],MATCH(Товары[[#This Row],[SubGroup]],Product_Structure[Subgroup],0)),"")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Row],[SubGroup]],DIY!$B:$C,2,FALSE),0)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3" t="str">
        <f>IFERROR(INDEX(Product_Structure[SuperCategory],MATCH(Товары[[#This Row],[SubGroup]],Product_Structure[Subgroup],0)),"")</f>
        <v>W</v>
      </c>
      <c r="D1793" s="113" t="str">
        <f>IFERROR(INDEX(Product_Structure[SuperCategory Name ENG],MATCH(Товары[[#This Row],[SubGroup]],Product_Structure[Subgroup],0)),"")</f>
        <v>Watering (mobile, sprinkler system&amp;MDS, Ponds)</v>
      </c>
      <c r="E179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3" s="113" t="str">
        <f>IFERROR(INDEX(Product_Structure[Product group],MATCH(Товары[[#This Row],[SubGroup]],Product_Structure[Subgroup],0)),"")</f>
        <v>WSS_C</v>
      </c>
      <c r="G1793" s="113" t="str">
        <f>IFERROR(INDEX(Product_Structure[Product group name ENG],MATCH(Товары[[#This Row],[SubGroup]],Product_Structure[Subgroup],0)),"")</f>
        <v>Watering Systems Sprinklersystem, MDS, SP</v>
      </c>
      <c r="H1793" s="113" t="str">
        <f>IFERROR(INDEX(Product_Structure[Generic Name (long)3],MATCH(Товары[[#This Row],[SubGroup]],Product_Structure[Subgroup],0)),"")</f>
        <v>Система микрокапельного полива</v>
      </c>
      <c r="I1793" s="36">
        <v>9033</v>
      </c>
      <c r="J1793" s="36" t="str">
        <f>IFERROR(INDEX(Product_Structure[Generic Name (long)],MATCH(Товары[[#This Row],[SubGroup]],Product_Structure[Subgroup],0)),"")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Row],[SubGroup]],DIY!$B:$C,2,FALSE),0)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3" t="str">
        <f>IFERROR(INDEX(Product_Structure[SuperCategory],MATCH(Товары[[#This Row],[SubGroup]],Product_Structure[Subgroup],0)),"")</f>
        <v>W</v>
      </c>
      <c r="D1794" s="113" t="str">
        <f>IFERROR(INDEX(Product_Structure[SuperCategory Name ENG],MATCH(Товары[[#This Row],[SubGroup]],Product_Structure[Subgroup],0)),"")</f>
        <v>Watering (mobile, sprinkler system&amp;MDS, Ponds)</v>
      </c>
      <c r="E179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4" s="113" t="str">
        <f>IFERROR(INDEX(Product_Structure[Product group],MATCH(Товары[[#This Row],[SubGroup]],Product_Structure[Subgroup],0)),"")</f>
        <v>WSS_C</v>
      </c>
      <c r="G1794" s="113" t="str">
        <f>IFERROR(INDEX(Product_Structure[Product group name ENG],MATCH(Товары[[#This Row],[SubGroup]],Product_Structure[Subgroup],0)),"")</f>
        <v>Watering Systems Sprinklersystem, MDS, SP</v>
      </c>
      <c r="H1794" s="113" t="str">
        <f>IFERROR(INDEX(Product_Structure[Generic Name (long)3],MATCH(Товары[[#This Row],[SubGroup]],Product_Structure[Subgroup],0)),"")</f>
        <v>Система микрокапельного полива</v>
      </c>
      <c r="I1794" s="36">
        <v>9033</v>
      </c>
      <c r="J1794" s="36" t="str">
        <f>IFERROR(INDEX(Product_Structure[Generic Name (long)],MATCH(Товары[[#This Row],[SubGroup]],Product_Structure[Subgroup],0)),"")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Row],[SubGroup]],DIY!$B:$C,2,FALSE),0)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3" t="str">
        <f>IFERROR(INDEX(Product_Structure[SuperCategory],MATCH(Товары[[#This Row],[SubGroup]],Product_Structure[Subgroup],0)),"")</f>
        <v>W</v>
      </c>
      <c r="D1795" s="113" t="str">
        <f>IFERROR(INDEX(Product_Structure[SuperCategory Name ENG],MATCH(Товары[[#This Row],[SubGroup]],Product_Structure[Subgroup],0)),"")</f>
        <v>Watering (mobile, sprinkler system&amp;MDS, Ponds)</v>
      </c>
      <c r="E179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5" s="113" t="str">
        <f>IFERROR(INDEX(Product_Structure[Product group],MATCH(Товары[[#This Row],[SubGroup]],Product_Structure[Subgroup],0)),"")</f>
        <v>WSS_C</v>
      </c>
      <c r="G1795" s="113" t="str">
        <f>IFERROR(INDEX(Product_Structure[Product group name ENG],MATCH(Товары[[#This Row],[SubGroup]],Product_Structure[Subgroup],0)),"")</f>
        <v>Watering Systems Sprinklersystem, MDS, SP</v>
      </c>
      <c r="H1795" s="113" t="str">
        <f>IFERROR(INDEX(Product_Structure[Generic Name (long)3],MATCH(Товары[[#This Row],[SubGroup]],Product_Structure[Subgroup],0)),"")</f>
        <v>Система микрокапельного полива</v>
      </c>
      <c r="I1795" s="36">
        <v>9033</v>
      </c>
      <c r="J1795" s="36" t="str">
        <f>IFERROR(INDEX(Product_Structure[Generic Name (long)],MATCH(Товары[[#This Row],[SubGroup]],Product_Structure[Subgroup],0)),"")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Row],[SubGroup]],DIY!$B:$C,2,FALSE),0)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3" t="str">
        <f>IFERROR(INDEX(Product_Structure[SuperCategory],MATCH(Товары[[#This Row],[SubGroup]],Product_Structure[Subgroup],0)),"")</f>
        <v>W</v>
      </c>
      <c r="D1796" s="113" t="str">
        <f>IFERROR(INDEX(Product_Structure[SuperCategory Name ENG],MATCH(Товары[[#This Row],[SubGroup]],Product_Structure[Subgroup],0)),"")</f>
        <v>Watering (mobile, sprinkler system&amp;MDS, Ponds)</v>
      </c>
      <c r="E179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6" s="113" t="str">
        <f>IFERROR(INDEX(Product_Structure[Product group],MATCH(Товары[[#This Row],[SubGroup]],Product_Structure[Subgroup],0)),"")</f>
        <v>WSS_C</v>
      </c>
      <c r="G1796" s="113" t="str">
        <f>IFERROR(INDEX(Product_Structure[Product group name ENG],MATCH(Товары[[#This Row],[SubGroup]],Product_Structure[Subgroup],0)),"")</f>
        <v>Watering Systems Sprinklersystem, MDS, SP</v>
      </c>
      <c r="H1796" s="113" t="str">
        <f>IFERROR(INDEX(Product_Structure[Generic Name (long)3],MATCH(Товары[[#This Row],[SubGroup]],Product_Structure[Subgroup],0)),"")</f>
        <v>Система микрокапельного полива</v>
      </c>
      <c r="I1796" s="36">
        <v>9033</v>
      </c>
      <c r="J1796" s="36" t="str">
        <f>IFERROR(INDEX(Product_Structure[Generic Name (long)],MATCH(Товары[[#This Row],[SubGroup]],Product_Structure[Subgroup],0)),"")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Row],[SubGroup]],DIY!$B:$C,2,FALSE),0)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3" t="str">
        <f>IFERROR(INDEX(Product_Structure[SuperCategory],MATCH(Товары[[#This Row],[SubGroup]],Product_Structure[Subgroup],0)),"")</f>
        <v>W</v>
      </c>
      <c r="D1797" s="113" t="str">
        <f>IFERROR(INDEX(Product_Structure[SuperCategory Name ENG],MATCH(Товары[[#This Row],[SubGroup]],Product_Structure[Subgroup],0)),"")</f>
        <v>Watering (mobile, sprinkler system&amp;MDS, Ponds)</v>
      </c>
      <c r="E179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7" s="113" t="str">
        <f>IFERROR(INDEX(Product_Structure[Product group],MATCH(Товары[[#This Row],[SubGroup]],Product_Structure[Subgroup],0)),"")</f>
        <v>WSS_C</v>
      </c>
      <c r="G1797" s="113" t="str">
        <f>IFERROR(INDEX(Product_Structure[Product group name ENG],MATCH(Товары[[#This Row],[SubGroup]],Product_Structure[Subgroup],0)),"")</f>
        <v>Watering Systems Sprinklersystem, MDS, SP</v>
      </c>
      <c r="H1797" s="113" t="str">
        <f>IFERROR(INDEX(Product_Structure[Generic Name (long)3],MATCH(Товары[[#This Row],[SubGroup]],Product_Structure[Subgroup],0)),"")</f>
        <v>Система микрокапельного полива</v>
      </c>
      <c r="I1797" s="36">
        <v>9033</v>
      </c>
      <c r="J1797" s="36" t="str">
        <f>IFERROR(INDEX(Product_Structure[Generic Name (long)],MATCH(Товары[[#This Row],[SubGroup]],Product_Structure[Subgroup],0)),"")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Row],[SubGroup]],DIY!$B:$C,2,FALSE),0)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3" t="str">
        <f>IFERROR(INDEX(Product_Structure[SuperCategory],MATCH(Товары[[#This Row],[SubGroup]],Product_Structure[Subgroup],0)),"")</f>
        <v>W</v>
      </c>
      <c r="D1798" s="113" t="str">
        <f>IFERROR(INDEX(Product_Structure[SuperCategory Name ENG],MATCH(Товары[[#This Row],[SubGroup]],Product_Structure[Subgroup],0)),"")</f>
        <v>Watering (mobile, sprinkler system&amp;MDS, Ponds)</v>
      </c>
      <c r="E179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8" s="113" t="str">
        <f>IFERROR(INDEX(Product_Structure[Product group],MATCH(Товары[[#This Row],[SubGroup]],Product_Structure[Subgroup],0)),"")</f>
        <v>WSS_C</v>
      </c>
      <c r="G1798" s="113" t="str">
        <f>IFERROR(INDEX(Product_Structure[Product group name ENG],MATCH(Товары[[#This Row],[SubGroup]],Product_Structure[Subgroup],0)),"")</f>
        <v>Watering Systems Sprinklersystem, MDS, SP</v>
      </c>
      <c r="H1798" s="113" t="str">
        <f>IFERROR(INDEX(Product_Structure[Generic Name (long)3],MATCH(Товары[[#This Row],[SubGroup]],Product_Structure[Subgroup],0)),"")</f>
        <v>Система микрокапельного полива</v>
      </c>
      <c r="I1798" s="36">
        <v>9033</v>
      </c>
      <c r="J1798" s="36" t="str">
        <f>IFERROR(INDEX(Product_Structure[Generic Name (long)],MATCH(Товары[[#This Row],[SubGroup]],Product_Structure[Subgroup],0)),"")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Row],[SubGroup]],DIY!$B:$C,2,FALSE),0)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3" t="str">
        <f>IFERROR(INDEX(Product_Structure[SuperCategory],MATCH(Товары[[#This Row],[SubGroup]],Product_Structure[Subgroup],0)),"")</f>
        <v>W</v>
      </c>
      <c r="D1799" s="113" t="str">
        <f>IFERROR(INDEX(Product_Structure[SuperCategory Name ENG],MATCH(Товары[[#This Row],[SubGroup]],Product_Structure[Subgroup],0)),"")</f>
        <v>Watering (mobile, sprinkler system&amp;MDS, Ponds)</v>
      </c>
      <c r="E179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799" s="113" t="str">
        <f>IFERROR(INDEX(Product_Structure[Product group],MATCH(Товары[[#This Row],[SubGroup]],Product_Structure[Subgroup],0)),"")</f>
        <v>WSS_C</v>
      </c>
      <c r="G1799" s="113" t="str">
        <f>IFERROR(INDEX(Product_Structure[Product group name ENG],MATCH(Товары[[#This Row],[SubGroup]],Product_Structure[Subgroup],0)),"")</f>
        <v>Watering Systems Sprinklersystem, MDS, SP</v>
      </c>
      <c r="H1799" s="113" t="str">
        <f>IFERROR(INDEX(Product_Structure[Generic Name (long)3],MATCH(Товары[[#This Row],[SubGroup]],Product_Structure[Subgroup],0)),"")</f>
        <v>Система микрокапельного полива</v>
      </c>
      <c r="I1799" s="36">
        <v>9033</v>
      </c>
      <c r="J1799" s="36" t="str">
        <f>IFERROR(INDEX(Product_Structure[Generic Name (long)],MATCH(Товары[[#This Row],[SubGroup]],Product_Structure[Subgroup],0)),"")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Row],[SubGroup]],DIY!$B:$C,2,FALSE),0)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3" t="str">
        <f>IFERROR(INDEX(Product_Structure[SuperCategory],MATCH(Товары[[#This Row],[SubGroup]],Product_Structure[Subgroup],0)),"")</f>
        <v>W</v>
      </c>
      <c r="D1800" s="113" t="str">
        <f>IFERROR(INDEX(Product_Structure[SuperCategory Name ENG],MATCH(Товары[[#This Row],[SubGroup]],Product_Structure[Subgroup],0)),"")</f>
        <v>Watering (mobile, sprinkler system&amp;MDS, Ponds)</v>
      </c>
      <c r="E180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0" s="113" t="str">
        <f>IFERROR(INDEX(Product_Structure[Product group],MATCH(Товары[[#This Row],[SubGroup]],Product_Structure[Subgroup],0)),"")</f>
        <v>WSS_C</v>
      </c>
      <c r="G1800" s="113" t="str">
        <f>IFERROR(INDEX(Product_Structure[Product group name ENG],MATCH(Товары[[#This Row],[SubGroup]],Product_Structure[Subgroup],0)),"")</f>
        <v>Watering Systems Sprinklersystem, MDS, SP</v>
      </c>
      <c r="H1800" s="113" t="str">
        <f>IFERROR(INDEX(Product_Structure[Generic Name (long)3],MATCH(Товары[[#This Row],[SubGroup]],Product_Structure[Subgroup],0)),"")</f>
        <v>Система микрокапельного полива</v>
      </c>
      <c r="I1800" s="36">
        <v>9033</v>
      </c>
      <c r="J1800" s="36" t="str">
        <f>IFERROR(INDEX(Product_Structure[Generic Name (long)],MATCH(Товары[[#This Row],[SubGroup]],Product_Structure[Subgroup],0)),"")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Row],[SubGroup]],DIY!$B:$C,2,FALSE),0)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3" t="str">
        <f>IFERROR(INDEX(Product_Structure[SuperCategory],MATCH(Товары[[#This Row],[SubGroup]],Product_Structure[Subgroup],0)),"")</f>
        <v>W</v>
      </c>
      <c r="D1801" s="113" t="str">
        <f>IFERROR(INDEX(Product_Structure[SuperCategory Name ENG],MATCH(Товары[[#This Row],[SubGroup]],Product_Structure[Subgroup],0)),"")</f>
        <v>Watering (mobile, sprinkler system&amp;MDS, Ponds)</v>
      </c>
      <c r="E180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1" s="113" t="str">
        <f>IFERROR(INDEX(Product_Structure[Product group],MATCH(Товары[[#This Row],[SubGroup]],Product_Structure[Subgroup],0)),"")</f>
        <v>WSS_C</v>
      </c>
      <c r="G1801" s="113" t="str">
        <f>IFERROR(INDEX(Product_Structure[Product group name ENG],MATCH(Товары[[#This Row],[SubGroup]],Product_Structure[Subgroup],0)),"")</f>
        <v>Watering Systems Sprinklersystem, MDS, SP</v>
      </c>
      <c r="H1801" s="113" t="str">
        <f>IFERROR(INDEX(Product_Structure[Generic Name (long)3],MATCH(Товары[[#This Row],[SubGroup]],Product_Structure[Subgroup],0)),"")</f>
        <v>Система микрокапельного полива</v>
      </c>
      <c r="I1801" s="36">
        <v>9033</v>
      </c>
      <c r="J1801" s="36" t="str">
        <f>IFERROR(INDEX(Product_Structure[Generic Name (long)],MATCH(Товары[[#This Row],[SubGroup]],Product_Structure[Subgroup],0)),"")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Row],[SubGroup]],DIY!$B:$C,2,FALSE),0)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3" t="str">
        <f>IFERROR(INDEX(Product_Structure[SuperCategory],MATCH(Товары[[#This Row],[SubGroup]],Product_Structure[Subgroup],0)),"")</f>
        <v>W</v>
      </c>
      <c r="D1802" s="113" t="str">
        <f>IFERROR(INDEX(Product_Structure[SuperCategory Name ENG],MATCH(Товары[[#This Row],[SubGroup]],Product_Structure[Subgroup],0)),"")</f>
        <v>Watering (mobile, sprinkler system&amp;MDS, Ponds)</v>
      </c>
      <c r="E180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2" s="113" t="str">
        <f>IFERROR(INDEX(Product_Structure[Product group],MATCH(Товары[[#This Row],[SubGroup]],Product_Structure[Subgroup],0)),"")</f>
        <v>WSS_C</v>
      </c>
      <c r="G1802" s="113" t="str">
        <f>IFERROR(INDEX(Product_Structure[Product group name ENG],MATCH(Товары[[#This Row],[SubGroup]],Product_Structure[Subgroup],0)),"")</f>
        <v>Watering Systems Sprinklersystem, MDS, SP</v>
      </c>
      <c r="H1802" s="113" t="str">
        <f>IFERROR(INDEX(Product_Structure[Generic Name (long)3],MATCH(Товары[[#This Row],[SubGroup]],Product_Structure[Subgroup],0)),"")</f>
        <v>Система микрокапельного полива</v>
      </c>
      <c r="I1802" s="36">
        <v>9033</v>
      </c>
      <c r="J1802" s="36" t="str">
        <f>IFERROR(INDEX(Product_Structure[Generic Name (long)],MATCH(Товары[[#This Row],[SubGroup]],Product_Structure[Subgroup],0)),"")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Row],[SubGroup]],DIY!$B:$C,2,FALSE),0)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3" t="str">
        <f>IFERROR(INDEX(Product_Structure[SuperCategory],MATCH(Товары[[#This Row],[SubGroup]],Product_Structure[Subgroup],0)),"")</f>
        <v>W</v>
      </c>
      <c r="D1803" s="113" t="str">
        <f>IFERROR(INDEX(Product_Structure[SuperCategory Name ENG],MATCH(Товары[[#This Row],[SubGroup]],Product_Structure[Subgroup],0)),"")</f>
        <v>Watering (mobile, sprinkler system&amp;MDS, Ponds)</v>
      </c>
      <c r="E180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3" s="113" t="str">
        <f>IFERROR(INDEX(Product_Structure[Product group],MATCH(Товары[[#This Row],[SubGroup]],Product_Structure[Subgroup],0)),"")</f>
        <v>WSS_C</v>
      </c>
      <c r="G1803" s="113" t="str">
        <f>IFERROR(INDEX(Product_Structure[Product group name ENG],MATCH(Товары[[#This Row],[SubGroup]],Product_Structure[Subgroup],0)),"")</f>
        <v>Watering Systems Sprinklersystem, MDS, SP</v>
      </c>
      <c r="H1803" s="113" t="str">
        <f>IFERROR(INDEX(Product_Structure[Generic Name (long)3],MATCH(Товары[[#This Row],[SubGroup]],Product_Structure[Subgroup],0)),"")</f>
        <v>Система микрокапельного полива</v>
      </c>
      <c r="I1803" s="36">
        <v>9033</v>
      </c>
      <c r="J1803" s="36" t="str">
        <f>IFERROR(INDEX(Product_Structure[Generic Name (long)],MATCH(Товары[[#This Row],[SubGroup]],Product_Structure[Subgroup],0)),"")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Row],[SubGroup]],DIY!$B:$C,2,FALSE),0)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3" t="str">
        <f>IFERROR(INDEX(Product_Structure[SuperCategory],MATCH(Товары[[#This Row],[SubGroup]],Product_Structure[Subgroup],0)),"")</f>
        <v>W</v>
      </c>
      <c r="D1804" s="113" t="str">
        <f>IFERROR(INDEX(Product_Structure[SuperCategory Name ENG],MATCH(Товары[[#This Row],[SubGroup]],Product_Structure[Subgroup],0)),"")</f>
        <v>Watering (mobile, sprinkler system&amp;MDS, Ponds)</v>
      </c>
      <c r="E180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4" s="113" t="str">
        <f>IFERROR(INDEX(Product_Structure[Product group],MATCH(Товары[[#This Row],[SubGroup]],Product_Structure[Subgroup],0)),"")</f>
        <v>WSS_C</v>
      </c>
      <c r="G1804" s="113" t="str">
        <f>IFERROR(INDEX(Product_Structure[Product group name ENG],MATCH(Товары[[#This Row],[SubGroup]],Product_Structure[Subgroup],0)),"")</f>
        <v>Watering Systems Sprinklersystem, MDS, SP</v>
      </c>
      <c r="H1804" s="113" t="str">
        <f>IFERROR(INDEX(Product_Structure[Generic Name (long)3],MATCH(Товары[[#This Row],[SubGroup]],Product_Structure[Subgroup],0)),"")</f>
        <v>Система микрокапельного полива</v>
      </c>
      <c r="I1804" s="36">
        <v>9033</v>
      </c>
      <c r="J1804" s="36" t="str">
        <f>IFERROR(INDEX(Product_Structure[Generic Name (long)],MATCH(Товары[[#This Row],[SubGroup]],Product_Structure[Subgroup],0)),"")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Row],[SubGroup]],DIY!$B:$C,2,FALSE),0)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3" t="str">
        <f>IFERROR(INDEX(Product_Structure[SuperCategory],MATCH(Товары[[#This Row],[SubGroup]],Product_Structure[Subgroup],0)),"")</f>
        <v>W</v>
      </c>
      <c r="D1805" s="113" t="str">
        <f>IFERROR(INDEX(Product_Structure[SuperCategory Name ENG],MATCH(Товары[[#This Row],[SubGroup]],Product_Structure[Subgroup],0)),"")</f>
        <v>Watering (mobile, sprinkler system&amp;MDS, Ponds)</v>
      </c>
      <c r="E180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5" s="113" t="str">
        <f>IFERROR(INDEX(Product_Structure[Product group],MATCH(Товары[[#This Row],[SubGroup]],Product_Structure[Subgroup],0)),"")</f>
        <v>WSS_C</v>
      </c>
      <c r="G1805" s="113" t="str">
        <f>IFERROR(INDEX(Product_Structure[Product group name ENG],MATCH(Товары[[#This Row],[SubGroup]],Product_Structure[Subgroup],0)),"")</f>
        <v>Watering Systems Sprinklersystem, MDS, SP</v>
      </c>
      <c r="H1805" s="113" t="str">
        <f>IFERROR(INDEX(Product_Structure[Generic Name (long)3],MATCH(Товары[[#This Row],[SubGroup]],Product_Structure[Subgroup],0)),"")</f>
        <v>Система микрокапельного полива</v>
      </c>
      <c r="I1805" s="36">
        <v>9033</v>
      </c>
      <c r="J1805" s="36" t="str">
        <f>IFERROR(INDEX(Product_Structure[Generic Name (long)],MATCH(Товары[[#This Row],[SubGroup]],Product_Structure[Subgroup],0)),"")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Row],[SubGroup]],DIY!$B:$C,2,FALSE),0)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3" t="str">
        <f>IFERROR(INDEX(Product_Structure[SuperCategory],MATCH(Товары[[#This Row],[SubGroup]],Product_Structure[Subgroup],0)),"")</f>
        <v>W</v>
      </c>
      <c r="D1806" s="113" t="str">
        <f>IFERROR(INDEX(Product_Structure[SuperCategory Name ENG],MATCH(Товары[[#This Row],[SubGroup]],Product_Structure[Subgroup],0)),"")</f>
        <v>Watering (mobile, sprinkler system&amp;MDS, Ponds)</v>
      </c>
      <c r="E180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6" s="113" t="str">
        <f>IFERROR(INDEX(Product_Structure[Product group],MATCH(Товары[[#This Row],[SubGroup]],Product_Structure[Subgroup],0)),"")</f>
        <v>WSS_C</v>
      </c>
      <c r="G1806" s="113" t="str">
        <f>IFERROR(INDEX(Product_Structure[Product group name ENG],MATCH(Товары[[#This Row],[SubGroup]],Product_Structure[Subgroup],0)),"")</f>
        <v>Watering Systems Sprinklersystem, MDS, SP</v>
      </c>
      <c r="H1806" s="113" t="str">
        <f>IFERROR(INDEX(Product_Structure[Generic Name (long)3],MATCH(Товары[[#This Row],[SubGroup]],Product_Structure[Subgroup],0)),"")</f>
        <v>Система микрокапельного полива</v>
      </c>
      <c r="I1806" s="36">
        <v>9033</v>
      </c>
      <c r="J1806" s="36" t="str">
        <f>IFERROR(INDEX(Product_Structure[Generic Name (long)],MATCH(Товары[[#This Row],[SubGroup]],Product_Structure[Subgroup],0)),"")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Row],[SubGroup]],DIY!$B:$C,2,FALSE),0)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3" t="str">
        <f>IFERROR(INDEX(Product_Structure[SuperCategory],MATCH(Товары[[#This Row],[SubGroup]],Product_Structure[Subgroup],0)),"")</f>
        <v>W</v>
      </c>
      <c r="D1807" s="113" t="str">
        <f>IFERROR(INDEX(Product_Structure[SuperCategory Name ENG],MATCH(Товары[[#This Row],[SubGroup]],Product_Structure[Subgroup],0)),"")</f>
        <v>Watering (mobile, sprinkler system&amp;MDS, Ponds)</v>
      </c>
      <c r="E180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7" s="113" t="str">
        <f>IFERROR(INDEX(Product_Structure[Product group],MATCH(Товары[[#This Row],[SubGroup]],Product_Structure[Subgroup],0)),"")</f>
        <v>WSS_C</v>
      </c>
      <c r="G1807" s="113" t="str">
        <f>IFERROR(INDEX(Product_Structure[Product group name ENG],MATCH(Товары[[#This Row],[SubGroup]],Product_Structure[Subgroup],0)),"")</f>
        <v>Watering Systems Sprinklersystem, MDS, SP</v>
      </c>
      <c r="H1807" s="113" t="str">
        <f>IFERROR(INDEX(Product_Structure[Generic Name (long)3],MATCH(Товары[[#This Row],[SubGroup]],Product_Structure[Subgroup],0)),"")</f>
        <v>Система микрокапельного полива</v>
      </c>
      <c r="I1807" s="36">
        <v>9033</v>
      </c>
      <c r="J1807" s="36" t="str">
        <f>IFERROR(INDEX(Product_Structure[Generic Name (long)],MATCH(Товары[[#This Row],[SubGroup]],Product_Structure[Subgroup],0)),"")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Row],[SubGroup]],DIY!$B:$C,2,FALSE),0)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3" t="str">
        <f>IFERROR(INDEX(Product_Structure[SuperCategory],MATCH(Товары[[#This Row],[SubGroup]],Product_Structure[Subgroup],0)),"")</f>
        <v>W</v>
      </c>
      <c r="D1808" s="113" t="str">
        <f>IFERROR(INDEX(Product_Structure[SuperCategory Name ENG],MATCH(Товары[[#This Row],[SubGroup]],Product_Structure[Subgroup],0)),"")</f>
        <v>Watering (mobile, sprinkler system&amp;MDS, Ponds)</v>
      </c>
      <c r="E180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8" s="113" t="str">
        <f>IFERROR(INDEX(Product_Structure[Product group],MATCH(Товары[[#This Row],[SubGroup]],Product_Structure[Subgroup],0)),"")</f>
        <v>WSS_C</v>
      </c>
      <c r="G1808" s="113" t="str">
        <f>IFERROR(INDEX(Product_Structure[Product group name ENG],MATCH(Товары[[#This Row],[SubGroup]],Product_Structure[Subgroup],0)),"")</f>
        <v>Watering Systems Sprinklersystem, MDS, SP</v>
      </c>
      <c r="H1808" s="113" t="str">
        <f>IFERROR(INDEX(Product_Structure[Generic Name (long)3],MATCH(Товары[[#This Row],[SubGroup]],Product_Structure[Subgroup],0)),"")</f>
        <v>Система микрокапельного полива</v>
      </c>
      <c r="I1808" s="36">
        <v>9033</v>
      </c>
      <c r="J1808" s="36" t="str">
        <f>IFERROR(INDEX(Product_Structure[Generic Name (long)],MATCH(Товары[[#This Row],[SubGroup]],Product_Structure[Subgroup],0)),"")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Row],[SubGroup]],DIY!$B:$C,2,FALSE),0)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3" t="str">
        <f>IFERROR(INDEX(Product_Structure[SuperCategory],MATCH(Товары[[#This Row],[SubGroup]],Product_Structure[Subgroup],0)),"")</f>
        <v>W</v>
      </c>
      <c r="D1809" s="113" t="str">
        <f>IFERROR(INDEX(Product_Structure[SuperCategory Name ENG],MATCH(Товары[[#This Row],[SubGroup]],Product_Structure[Subgroup],0)),"")</f>
        <v>Watering (mobile, sprinkler system&amp;MDS, Ponds)</v>
      </c>
      <c r="E180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09" s="113" t="str">
        <f>IFERROR(INDEX(Product_Structure[Product group],MATCH(Товары[[#This Row],[SubGroup]],Product_Structure[Subgroup],0)),"")</f>
        <v>WSS_C</v>
      </c>
      <c r="G1809" s="113" t="str">
        <f>IFERROR(INDEX(Product_Structure[Product group name ENG],MATCH(Товары[[#This Row],[SubGroup]],Product_Structure[Subgroup],0)),"")</f>
        <v>Watering Systems Sprinklersystem, MDS, SP</v>
      </c>
      <c r="H1809" s="113" t="str">
        <f>IFERROR(INDEX(Product_Structure[Generic Name (long)3],MATCH(Товары[[#This Row],[SubGroup]],Product_Structure[Subgroup],0)),"")</f>
        <v>Система микрокапельного полива</v>
      </c>
      <c r="I1809" s="36">
        <v>9033</v>
      </c>
      <c r="J1809" s="36" t="str">
        <f>IFERROR(INDEX(Product_Structure[Generic Name (long)],MATCH(Товары[[#This Row],[SubGroup]],Product_Structure[Subgroup],0)),"")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Row],[SubGroup]],DIY!$B:$C,2,FALSE),0)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3" t="str">
        <f>IFERROR(INDEX(Product_Structure[SuperCategory],MATCH(Товары[[#This Row],[SubGroup]],Product_Structure[Subgroup],0)),"")</f>
        <v>W</v>
      </c>
      <c r="D1810" s="113" t="str">
        <f>IFERROR(INDEX(Product_Structure[SuperCategory Name ENG],MATCH(Товары[[#This Row],[SubGroup]],Product_Structure[Subgroup],0)),"")</f>
        <v>Watering (mobile, sprinkler system&amp;MDS, Ponds)</v>
      </c>
      <c r="E181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0" s="113" t="str">
        <f>IFERROR(INDEX(Product_Structure[Product group],MATCH(Товары[[#This Row],[SubGroup]],Product_Structure[Subgroup],0)),"")</f>
        <v>WSS_C</v>
      </c>
      <c r="G1810" s="113" t="str">
        <f>IFERROR(INDEX(Product_Structure[Product group name ENG],MATCH(Товары[[#This Row],[SubGroup]],Product_Structure[Subgroup],0)),"")</f>
        <v>Watering Systems Sprinklersystem, MDS, SP</v>
      </c>
      <c r="H1810" s="113" t="str">
        <f>IFERROR(INDEX(Product_Structure[Generic Name (long)3],MATCH(Товары[[#This Row],[SubGroup]],Product_Structure[Subgroup],0)),"")</f>
        <v>Система микрокапельного полива</v>
      </c>
      <c r="I1810" s="36">
        <v>9033</v>
      </c>
      <c r="J1810" s="36" t="str">
        <f>IFERROR(INDEX(Product_Structure[Generic Name (long)],MATCH(Товары[[#This Row],[SubGroup]],Product_Structure[Subgroup],0)),"")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Row],[SubGroup]],DIY!$B:$C,2,FALSE),0)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3" t="str">
        <f>IFERROR(INDEX(Product_Structure[SuperCategory],MATCH(Товары[[#This Row],[SubGroup]],Product_Structure[Subgroup],0)),"")</f>
        <v>W</v>
      </c>
      <c r="D1811" s="113" t="str">
        <f>IFERROR(INDEX(Product_Structure[SuperCategory Name ENG],MATCH(Товары[[#This Row],[SubGroup]],Product_Structure[Subgroup],0)),"")</f>
        <v>Watering (mobile, sprinkler system&amp;MDS, Ponds)</v>
      </c>
      <c r="E181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1" s="113" t="str">
        <f>IFERROR(INDEX(Product_Structure[Product group],MATCH(Товары[[#This Row],[SubGroup]],Product_Structure[Subgroup],0)),"")</f>
        <v>WSS_C</v>
      </c>
      <c r="G1811" s="113" t="str">
        <f>IFERROR(INDEX(Product_Structure[Product group name ENG],MATCH(Товары[[#This Row],[SubGroup]],Product_Structure[Subgroup],0)),"")</f>
        <v>Watering Systems Sprinklersystem, MDS, SP</v>
      </c>
      <c r="H1811" s="113" t="str">
        <f>IFERROR(INDEX(Product_Structure[Generic Name (long)3],MATCH(Товары[[#This Row],[SubGroup]],Product_Structure[Subgroup],0)),"")</f>
        <v>Система микрокапельного полива</v>
      </c>
      <c r="I1811" s="36">
        <v>9033</v>
      </c>
      <c r="J1811" s="36" t="str">
        <f>IFERROR(INDEX(Product_Structure[Generic Name (long)],MATCH(Товары[[#This Row],[SubGroup]],Product_Structure[Subgroup],0)),"")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Row],[SubGroup]],DIY!$B:$C,2,FALSE),0)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3" t="str">
        <f>IFERROR(INDEX(Product_Structure[SuperCategory],MATCH(Товары[[#This Row],[SubGroup]],Product_Structure[Subgroup],0)),"")</f>
        <v>W</v>
      </c>
      <c r="D1812" s="113" t="str">
        <f>IFERROR(INDEX(Product_Structure[SuperCategory Name ENG],MATCH(Товары[[#This Row],[SubGroup]],Product_Structure[Subgroup],0)),"")</f>
        <v>Watering (mobile, sprinkler system&amp;MDS, Ponds)</v>
      </c>
      <c r="E181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2" s="113" t="str">
        <f>IFERROR(INDEX(Product_Structure[Product group],MATCH(Товары[[#This Row],[SubGroup]],Product_Structure[Subgroup],0)),"")</f>
        <v>WSS_C</v>
      </c>
      <c r="G1812" s="113" t="str">
        <f>IFERROR(INDEX(Product_Structure[Product group name ENG],MATCH(Товары[[#This Row],[SubGroup]],Product_Structure[Subgroup],0)),"")</f>
        <v>Watering Systems Sprinklersystem, MDS, SP</v>
      </c>
      <c r="H1812" s="113" t="str">
        <f>IFERROR(INDEX(Product_Structure[Generic Name (long)3],MATCH(Товары[[#This Row],[SubGroup]],Product_Structure[Subgroup],0)),"")</f>
        <v>Система микрокапельного полива</v>
      </c>
      <c r="I1812" s="36">
        <v>9033</v>
      </c>
      <c r="J1812" s="36" t="str">
        <f>IFERROR(INDEX(Product_Structure[Generic Name (long)],MATCH(Товары[[#This Row],[SubGroup]],Product_Structure[Subgroup],0)),"")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Row],[SubGroup]],DIY!$B:$C,2,FALSE),0)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3" t="str">
        <f>IFERROR(INDEX(Product_Structure[SuperCategory],MATCH(Товары[[#This Row],[SubGroup]],Product_Structure[Subgroup],0)),"")</f>
        <v>W</v>
      </c>
      <c r="D1813" s="113" t="str">
        <f>IFERROR(INDEX(Product_Structure[SuperCategory Name ENG],MATCH(Товары[[#This Row],[SubGroup]],Product_Structure[Subgroup],0)),"")</f>
        <v>Watering (mobile, sprinkler system&amp;MDS, Ponds)</v>
      </c>
      <c r="E181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3" s="113" t="str">
        <f>IFERROR(INDEX(Product_Structure[Product group],MATCH(Товары[[#This Row],[SubGroup]],Product_Structure[Subgroup],0)),"")</f>
        <v>WSS_C</v>
      </c>
      <c r="G1813" s="113" t="str">
        <f>IFERROR(INDEX(Product_Structure[Product group name ENG],MATCH(Товары[[#This Row],[SubGroup]],Product_Structure[Subgroup],0)),"")</f>
        <v>Watering Systems Sprinklersystem, MDS, SP</v>
      </c>
      <c r="H1813" s="113" t="str">
        <f>IFERROR(INDEX(Product_Structure[Generic Name (long)3],MATCH(Товары[[#This Row],[SubGroup]],Product_Structure[Subgroup],0)),"")</f>
        <v>Система микрокапельного полива</v>
      </c>
      <c r="I1813" s="36">
        <v>9033</v>
      </c>
      <c r="J1813" s="36" t="str">
        <f>IFERROR(INDEX(Product_Structure[Generic Name (long)],MATCH(Товары[[#This Row],[SubGroup]],Product_Structure[Subgroup],0)),"")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Row],[SubGroup]],DIY!$B:$C,2,FALSE),0)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3" t="str">
        <f>IFERROR(INDEX(Product_Structure[SuperCategory],MATCH(Товары[[#This Row],[SubGroup]],Product_Structure[Subgroup],0)),"")</f>
        <v>W</v>
      </c>
      <c r="D1814" s="113" t="str">
        <f>IFERROR(INDEX(Product_Structure[SuperCategory Name ENG],MATCH(Товары[[#This Row],[SubGroup]],Product_Structure[Subgroup],0)),"")</f>
        <v>Watering (mobile, sprinkler system&amp;MDS, Ponds)</v>
      </c>
      <c r="E181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4" s="113" t="str">
        <f>IFERROR(INDEX(Product_Structure[Product group],MATCH(Товары[[#This Row],[SubGroup]],Product_Structure[Subgroup],0)),"")</f>
        <v>WSS_C</v>
      </c>
      <c r="G1814" s="113" t="str">
        <f>IFERROR(INDEX(Product_Structure[Product group name ENG],MATCH(Товары[[#This Row],[SubGroup]],Product_Structure[Subgroup],0)),"")</f>
        <v>Watering Systems Sprinklersystem, MDS, SP</v>
      </c>
      <c r="H1814" s="113" t="str">
        <f>IFERROR(INDEX(Product_Structure[Generic Name (long)3],MATCH(Товары[[#This Row],[SubGroup]],Product_Structure[Subgroup],0)),"")</f>
        <v>Система микрокапельного полива</v>
      </c>
      <c r="I1814" s="36">
        <v>9033</v>
      </c>
      <c r="J1814" s="36" t="str">
        <f>IFERROR(INDEX(Product_Structure[Generic Name (long)],MATCH(Товары[[#This Row],[SubGroup]],Product_Structure[Subgroup],0)),"")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Row],[SubGroup]],DIY!$B:$C,2,FALSE),0)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3" t="str">
        <f>IFERROR(INDEX(Product_Structure[SuperCategory],MATCH(Товары[[#This Row],[SubGroup]],Product_Structure[Subgroup],0)),"")</f>
        <v>W</v>
      </c>
      <c r="D1815" s="113" t="str">
        <f>IFERROR(INDEX(Product_Structure[SuperCategory Name ENG],MATCH(Товары[[#This Row],[SubGroup]],Product_Structure[Subgroup],0)),"")</f>
        <v>Watering (mobile, sprinkler system&amp;MDS, Ponds)</v>
      </c>
      <c r="E181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5" s="113" t="str">
        <f>IFERROR(INDEX(Product_Structure[Product group],MATCH(Товары[[#This Row],[SubGroup]],Product_Structure[Subgroup],0)),"")</f>
        <v>WSS_C</v>
      </c>
      <c r="G1815" s="113" t="str">
        <f>IFERROR(INDEX(Product_Structure[Product group name ENG],MATCH(Товары[[#This Row],[SubGroup]],Product_Structure[Subgroup],0)),"")</f>
        <v>Watering Systems Sprinklersystem, MDS, SP</v>
      </c>
      <c r="H1815" s="113" t="str">
        <f>IFERROR(INDEX(Product_Structure[Generic Name (long)3],MATCH(Товары[[#This Row],[SubGroup]],Product_Structure[Subgroup],0)),"")</f>
        <v>Система микрокапельного полива</v>
      </c>
      <c r="I1815" s="36">
        <v>9033</v>
      </c>
      <c r="J1815" s="36" t="str">
        <f>IFERROR(INDEX(Product_Structure[Generic Name (long)],MATCH(Товары[[#This Row],[SubGroup]],Product_Structure[Subgroup],0)),"")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Row],[SubGroup]],DIY!$B:$C,2,FALSE),0)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3" t="str">
        <f>IFERROR(INDEX(Product_Structure[SuperCategory],MATCH(Товары[[#This Row],[SubGroup]],Product_Structure[Subgroup],0)),"")</f>
        <v>W</v>
      </c>
      <c r="D1816" s="113" t="str">
        <f>IFERROR(INDEX(Product_Structure[SuperCategory Name ENG],MATCH(Товары[[#This Row],[SubGroup]],Product_Structure[Subgroup],0)),"")</f>
        <v>Watering (mobile, sprinkler system&amp;MDS, Ponds)</v>
      </c>
      <c r="E181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6" s="113" t="str">
        <f>IFERROR(INDEX(Product_Structure[Product group],MATCH(Товары[[#This Row],[SubGroup]],Product_Structure[Subgroup],0)),"")</f>
        <v>WSS_C</v>
      </c>
      <c r="G1816" s="113" t="str">
        <f>IFERROR(INDEX(Product_Structure[Product group name ENG],MATCH(Товары[[#This Row],[SubGroup]],Product_Structure[Subgroup],0)),"")</f>
        <v>Watering Systems Sprinklersystem, MDS, SP</v>
      </c>
      <c r="H1816" s="113" t="str">
        <f>IFERROR(INDEX(Product_Structure[Generic Name (long)3],MATCH(Товары[[#This Row],[SubGroup]],Product_Structure[Subgroup],0)),"")</f>
        <v>Система микрокапельного полива</v>
      </c>
      <c r="I1816" s="36">
        <v>9033</v>
      </c>
      <c r="J1816" s="36" t="str">
        <f>IFERROR(INDEX(Product_Structure[Generic Name (long)],MATCH(Товары[[#This Row],[SubGroup]],Product_Structure[Subgroup],0)),"")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Row],[SubGroup]],DIY!$B:$C,2,FALSE),0)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3" t="str">
        <f>IFERROR(INDEX(Product_Structure[SuperCategory],MATCH(Товары[[#This Row],[SubGroup]],Product_Structure[Subgroup],0)),"")</f>
        <v>W</v>
      </c>
      <c r="D1817" s="113" t="str">
        <f>IFERROR(INDEX(Product_Structure[SuperCategory Name ENG],MATCH(Товары[[#This Row],[SubGroup]],Product_Structure[Subgroup],0)),"")</f>
        <v>Watering (mobile, sprinkler system&amp;MDS, Ponds)</v>
      </c>
      <c r="E181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7" s="113" t="str">
        <f>IFERROR(INDEX(Product_Structure[Product group],MATCH(Товары[[#This Row],[SubGroup]],Product_Structure[Subgroup],0)),"")</f>
        <v>WSS_C</v>
      </c>
      <c r="G1817" s="113" t="str">
        <f>IFERROR(INDEX(Product_Structure[Product group name ENG],MATCH(Товары[[#This Row],[SubGroup]],Product_Structure[Subgroup],0)),"")</f>
        <v>Watering Systems Sprinklersystem, MDS, SP</v>
      </c>
      <c r="H1817" s="113" t="str">
        <f>IFERROR(INDEX(Product_Structure[Generic Name (long)3],MATCH(Товары[[#This Row],[SubGroup]],Product_Structure[Subgroup],0)),"")</f>
        <v>Система микрокапельного полива</v>
      </c>
      <c r="I1817" s="36">
        <v>9033</v>
      </c>
      <c r="J1817" s="36" t="str">
        <f>IFERROR(INDEX(Product_Structure[Generic Name (long)],MATCH(Товары[[#This Row],[SubGroup]],Product_Structure[Subgroup],0)),"")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Row],[SubGroup]],DIY!$B:$C,2,FALSE),0)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3" t="str">
        <f>IFERROR(INDEX(Product_Structure[SuperCategory],MATCH(Товары[[#This Row],[SubGroup]],Product_Structure[Subgroup],0)),"")</f>
        <v>W</v>
      </c>
      <c r="D1818" s="113" t="str">
        <f>IFERROR(INDEX(Product_Structure[SuperCategory Name ENG],MATCH(Товары[[#This Row],[SubGroup]],Product_Structure[Subgroup],0)),"")</f>
        <v>Watering (mobile, sprinkler system&amp;MDS, Ponds)</v>
      </c>
      <c r="E181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8" s="113" t="str">
        <f>IFERROR(INDEX(Product_Structure[Product group],MATCH(Товары[[#This Row],[SubGroup]],Product_Structure[Subgroup],0)),"")</f>
        <v>WSS_C</v>
      </c>
      <c r="G1818" s="113" t="str">
        <f>IFERROR(INDEX(Product_Structure[Product group name ENG],MATCH(Товары[[#This Row],[SubGroup]],Product_Structure[Subgroup],0)),"")</f>
        <v>Watering Systems Sprinklersystem, MDS, SP</v>
      </c>
      <c r="H1818" s="113" t="str">
        <f>IFERROR(INDEX(Product_Structure[Generic Name (long)3],MATCH(Товары[[#This Row],[SubGroup]],Product_Structure[Subgroup],0)),"")</f>
        <v>Система микрокапельного полива</v>
      </c>
      <c r="I1818" s="36">
        <v>9033</v>
      </c>
      <c r="J1818" s="36" t="str">
        <f>IFERROR(INDEX(Product_Structure[Generic Name (long)],MATCH(Товары[[#This Row],[SubGroup]],Product_Structure[Subgroup],0)),"")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Row],[SubGroup]],DIY!$B:$C,2,FALSE),0)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3" t="str">
        <f>IFERROR(INDEX(Product_Structure[SuperCategory],MATCH(Товары[[#This Row],[SubGroup]],Product_Structure[Subgroup],0)),"")</f>
        <v>W</v>
      </c>
      <c r="D1819" s="113" t="str">
        <f>IFERROR(INDEX(Product_Structure[SuperCategory Name ENG],MATCH(Товары[[#This Row],[SubGroup]],Product_Structure[Subgroup],0)),"")</f>
        <v>Watering (mobile, sprinkler system&amp;MDS, Ponds)</v>
      </c>
      <c r="E181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19" s="113" t="str">
        <f>IFERROR(INDEX(Product_Structure[Product group],MATCH(Товары[[#This Row],[SubGroup]],Product_Structure[Subgroup],0)),"")</f>
        <v>WSS_C</v>
      </c>
      <c r="G1819" s="113" t="str">
        <f>IFERROR(INDEX(Product_Structure[Product group name ENG],MATCH(Товары[[#This Row],[SubGroup]],Product_Structure[Subgroup],0)),"")</f>
        <v>Watering Systems Sprinklersystem, MDS, SP</v>
      </c>
      <c r="H1819" s="113" t="str">
        <f>IFERROR(INDEX(Product_Structure[Generic Name (long)3],MATCH(Товары[[#This Row],[SubGroup]],Product_Structure[Subgroup],0)),"")</f>
        <v>Система микрокапельного полива</v>
      </c>
      <c r="I1819" s="36">
        <v>9033</v>
      </c>
      <c r="J1819" s="36" t="str">
        <f>IFERROR(INDEX(Product_Structure[Generic Name (long)],MATCH(Товары[[#This Row],[SubGroup]],Product_Structure[Subgroup],0)),"")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Row],[SubGroup]],DIY!$B:$C,2,FALSE),0)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3" t="str">
        <f>IFERROR(INDEX(Product_Structure[SuperCategory],MATCH(Товары[[#This Row],[SubGroup]],Product_Structure[Subgroup],0)),"")</f>
        <v>W</v>
      </c>
      <c r="D1820" s="113" t="str">
        <f>IFERROR(INDEX(Product_Structure[SuperCategory Name ENG],MATCH(Товары[[#This Row],[SubGroup]],Product_Structure[Subgroup],0)),"")</f>
        <v>Watering (mobile, sprinkler system&amp;MDS, Ponds)</v>
      </c>
      <c r="E182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0" s="113" t="str">
        <f>IFERROR(INDEX(Product_Structure[Product group],MATCH(Товары[[#This Row],[SubGroup]],Product_Structure[Subgroup],0)),"")</f>
        <v>WSS_C</v>
      </c>
      <c r="G1820" s="113" t="str">
        <f>IFERROR(INDEX(Product_Structure[Product group name ENG],MATCH(Товары[[#This Row],[SubGroup]],Product_Structure[Subgroup],0)),"")</f>
        <v>Watering Systems Sprinklersystem, MDS, SP</v>
      </c>
      <c r="H1820" s="113" t="str">
        <f>IFERROR(INDEX(Product_Structure[Generic Name (long)3],MATCH(Товары[[#This Row],[SubGroup]],Product_Structure[Subgroup],0)),"")</f>
        <v>Система микрокапельного полива</v>
      </c>
      <c r="I1820" s="36">
        <v>9033</v>
      </c>
      <c r="J1820" s="36" t="str">
        <f>IFERROR(INDEX(Product_Structure[Generic Name (long)],MATCH(Товары[[#This Row],[SubGroup]],Product_Structure[Subgroup],0)),"")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Row],[SubGroup]],DIY!$B:$C,2,FALSE),0)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3" t="str">
        <f>IFERROR(INDEX(Product_Structure[SuperCategory],MATCH(Товары[[#This Row],[SubGroup]],Product_Structure[Subgroup],0)),"")</f>
        <v>W</v>
      </c>
      <c r="D1821" s="113" t="str">
        <f>IFERROR(INDEX(Product_Structure[SuperCategory Name ENG],MATCH(Товары[[#This Row],[SubGroup]],Product_Structure[Subgroup],0)),"")</f>
        <v>Watering (mobile, sprinkler system&amp;MDS, Ponds)</v>
      </c>
      <c r="E182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1" s="113" t="str">
        <f>IFERROR(INDEX(Product_Structure[Product group],MATCH(Товары[[#This Row],[SubGroup]],Product_Structure[Subgroup],0)),"")</f>
        <v>WSS_C</v>
      </c>
      <c r="G1821" s="113" t="str">
        <f>IFERROR(INDEX(Product_Structure[Product group name ENG],MATCH(Товары[[#This Row],[SubGroup]],Product_Structure[Subgroup],0)),"")</f>
        <v>Watering Systems Sprinklersystem, MDS, SP</v>
      </c>
      <c r="H1821" s="113" t="str">
        <f>IFERROR(INDEX(Product_Structure[Generic Name (long)3],MATCH(Товары[[#This Row],[SubGroup]],Product_Structure[Subgroup],0)),"")</f>
        <v>Система микрокапельного полива</v>
      </c>
      <c r="I1821" s="36">
        <v>9033</v>
      </c>
      <c r="J1821" s="36" t="str">
        <f>IFERROR(INDEX(Product_Structure[Generic Name (long)],MATCH(Товары[[#This Row],[SubGroup]],Product_Structure[Subgroup],0)),"")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Row],[SubGroup]],DIY!$B:$C,2,FALSE),0)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3" t="str">
        <f>IFERROR(INDEX(Product_Structure[SuperCategory],MATCH(Товары[[#This Row],[SubGroup]],Product_Structure[Subgroup],0)),"")</f>
        <v>W</v>
      </c>
      <c r="D1822" s="113" t="str">
        <f>IFERROR(INDEX(Product_Structure[SuperCategory Name ENG],MATCH(Товары[[#This Row],[SubGroup]],Product_Structure[Subgroup],0)),"")</f>
        <v>Watering (mobile, sprinkler system&amp;MDS, Ponds)</v>
      </c>
      <c r="E182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2" s="113" t="str">
        <f>IFERROR(INDEX(Product_Structure[Product group],MATCH(Товары[[#This Row],[SubGroup]],Product_Structure[Subgroup],0)),"")</f>
        <v>WSS_C</v>
      </c>
      <c r="G1822" s="113" t="str">
        <f>IFERROR(INDEX(Product_Structure[Product group name ENG],MATCH(Товары[[#This Row],[SubGroup]],Product_Structure[Subgroup],0)),"")</f>
        <v>Watering Systems Sprinklersystem, MDS, SP</v>
      </c>
      <c r="H1822" s="113" t="str">
        <f>IFERROR(INDEX(Product_Structure[Generic Name (long)3],MATCH(Товары[[#This Row],[SubGroup]],Product_Structure[Subgroup],0)),"")</f>
        <v>Система микрокапельного полива</v>
      </c>
      <c r="I1822" s="36">
        <v>9033</v>
      </c>
      <c r="J1822" s="36" t="str">
        <f>IFERROR(INDEX(Product_Structure[Generic Name (long)],MATCH(Товары[[#This Row],[SubGroup]],Product_Structure[Subgroup],0)),"")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Row],[SubGroup]],DIY!$B:$C,2,FALSE),0)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3" t="str">
        <f>IFERROR(INDEX(Product_Structure[SuperCategory],MATCH(Товары[[#This Row],[SubGroup]],Product_Structure[Subgroup],0)),"")</f>
        <v>W</v>
      </c>
      <c r="D1823" s="113" t="str">
        <f>IFERROR(INDEX(Product_Structure[SuperCategory Name ENG],MATCH(Товары[[#This Row],[SubGroup]],Product_Structure[Subgroup],0)),"")</f>
        <v>Watering (mobile, sprinkler system&amp;MDS, Ponds)</v>
      </c>
      <c r="E182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3" s="113" t="str">
        <f>IFERROR(INDEX(Product_Structure[Product group],MATCH(Товары[[#This Row],[SubGroup]],Product_Structure[Subgroup],0)),"")</f>
        <v>WSS_C</v>
      </c>
      <c r="G1823" s="113" t="str">
        <f>IFERROR(INDEX(Product_Structure[Product group name ENG],MATCH(Товары[[#This Row],[SubGroup]],Product_Structure[Subgroup],0)),"")</f>
        <v>Watering Systems Sprinklersystem, MDS, SP</v>
      </c>
      <c r="H1823" s="113" t="str">
        <f>IFERROR(INDEX(Product_Structure[Generic Name (long)3],MATCH(Товары[[#This Row],[SubGroup]],Product_Structure[Subgroup],0)),"")</f>
        <v>Система микрокапельного полива</v>
      </c>
      <c r="I1823" s="36">
        <v>9033</v>
      </c>
      <c r="J1823" s="36" t="str">
        <f>IFERROR(INDEX(Product_Structure[Generic Name (long)],MATCH(Товары[[#This Row],[SubGroup]],Product_Structure[Subgroup],0)),"")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Row],[SubGroup]],DIY!$B:$C,2,FALSE),0)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3" t="str">
        <f>IFERROR(INDEX(Product_Structure[SuperCategory],MATCH(Товары[[#This Row],[SubGroup]],Product_Structure[Subgroup],0)),"")</f>
        <v>W</v>
      </c>
      <c r="D1824" s="113" t="str">
        <f>IFERROR(INDEX(Product_Structure[SuperCategory Name ENG],MATCH(Товары[[#This Row],[SubGroup]],Product_Structure[Subgroup],0)),"")</f>
        <v>Watering (mobile, sprinkler system&amp;MDS, Ponds)</v>
      </c>
      <c r="E182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4" s="113" t="str">
        <f>IFERROR(INDEX(Product_Structure[Product group],MATCH(Товары[[#This Row],[SubGroup]],Product_Structure[Subgroup],0)),"")</f>
        <v>WSS_C</v>
      </c>
      <c r="G1824" s="113" t="str">
        <f>IFERROR(INDEX(Product_Structure[Product group name ENG],MATCH(Товары[[#This Row],[SubGroup]],Product_Structure[Subgroup],0)),"")</f>
        <v>Watering Systems Sprinklersystem, MDS, SP</v>
      </c>
      <c r="H1824" s="113" t="str">
        <f>IFERROR(INDEX(Product_Structure[Generic Name (long)3],MATCH(Товары[[#This Row],[SubGroup]],Product_Structure[Subgroup],0)),"")</f>
        <v>Система микрокапельного полива</v>
      </c>
      <c r="I1824" s="36">
        <v>9033</v>
      </c>
      <c r="J1824" s="36" t="str">
        <f>IFERROR(INDEX(Product_Structure[Generic Name (long)],MATCH(Товары[[#This Row],[SubGroup]],Product_Structure[Subgroup],0)),"")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Row],[SubGroup]],DIY!$B:$C,2,FALSE),0)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3" t="str">
        <f>IFERROR(INDEX(Product_Structure[SuperCategory],MATCH(Товары[[#This Row],[SubGroup]],Product_Structure[Subgroup],0)),"")</f>
        <v>W</v>
      </c>
      <c r="D1825" s="113" t="str">
        <f>IFERROR(INDEX(Product_Structure[SuperCategory Name ENG],MATCH(Товары[[#This Row],[SubGroup]],Product_Structure[Subgroup],0)),"")</f>
        <v>Watering (mobile, sprinkler system&amp;MDS, Ponds)</v>
      </c>
      <c r="E182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5" s="113" t="str">
        <f>IFERROR(INDEX(Product_Structure[Product group],MATCH(Товары[[#This Row],[SubGroup]],Product_Structure[Subgroup],0)),"")</f>
        <v>WSS_C</v>
      </c>
      <c r="G1825" s="113" t="str">
        <f>IFERROR(INDEX(Product_Structure[Product group name ENG],MATCH(Товары[[#This Row],[SubGroup]],Product_Structure[Subgroup],0)),"")</f>
        <v>Watering Systems Sprinklersystem, MDS, SP</v>
      </c>
      <c r="H1825" s="113" t="str">
        <f>IFERROR(INDEX(Product_Structure[Generic Name (long)3],MATCH(Товары[[#This Row],[SubGroup]],Product_Structure[Subgroup],0)),"")</f>
        <v>Система микрокапельного полива</v>
      </c>
      <c r="I1825" s="36">
        <v>9033</v>
      </c>
      <c r="J1825" s="36" t="str">
        <f>IFERROR(INDEX(Product_Structure[Generic Name (long)],MATCH(Товары[[#This Row],[SubGroup]],Product_Structure[Subgroup],0)),"")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Row],[SubGroup]],DIY!$B:$C,2,FALSE),0)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3" t="str">
        <f>IFERROR(INDEX(Product_Structure[SuperCategory],MATCH(Товары[[#This Row],[SubGroup]],Product_Structure[Subgroup],0)),"")</f>
        <v>W</v>
      </c>
      <c r="D1826" s="113" t="str">
        <f>IFERROR(INDEX(Product_Structure[SuperCategory Name ENG],MATCH(Товары[[#This Row],[SubGroup]],Product_Structure[Subgroup],0)),"")</f>
        <v>Watering (mobile, sprinkler system&amp;MDS, Ponds)</v>
      </c>
      <c r="E182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6" s="113" t="str">
        <f>IFERROR(INDEX(Product_Structure[Product group],MATCH(Товары[[#This Row],[SubGroup]],Product_Structure[Subgroup],0)),"")</f>
        <v>WSS_C</v>
      </c>
      <c r="G1826" s="113" t="str">
        <f>IFERROR(INDEX(Product_Structure[Product group name ENG],MATCH(Товары[[#This Row],[SubGroup]],Product_Structure[Subgroup],0)),"")</f>
        <v>Watering Systems Sprinklersystem, MDS, SP</v>
      </c>
      <c r="H1826" s="113" t="str">
        <f>IFERROR(INDEX(Product_Structure[Generic Name (long)3],MATCH(Товары[[#This Row],[SubGroup]],Product_Structure[Subgroup],0)),"")</f>
        <v>Система микрокапельного полива</v>
      </c>
      <c r="I1826" s="36">
        <v>9033</v>
      </c>
      <c r="J1826" s="36" t="str">
        <f>IFERROR(INDEX(Product_Structure[Generic Name (long)],MATCH(Товары[[#This Row],[SubGroup]],Product_Structure[Subgroup],0)),"")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Row],[SubGroup]],DIY!$B:$C,2,FALSE),0)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3" t="str">
        <f>IFERROR(INDEX(Product_Structure[SuperCategory],MATCH(Товары[[#This Row],[SubGroup]],Product_Structure[Subgroup],0)),"")</f>
        <v>W</v>
      </c>
      <c r="D1827" s="113" t="str">
        <f>IFERROR(INDEX(Product_Structure[SuperCategory Name ENG],MATCH(Товары[[#This Row],[SubGroup]],Product_Structure[Subgroup],0)),"")</f>
        <v>Watering (mobile, sprinkler system&amp;MDS, Ponds)</v>
      </c>
      <c r="E182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7" s="113" t="str">
        <f>IFERROR(INDEX(Product_Structure[Product group],MATCH(Товары[[#This Row],[SubGroup]],Product_Structure[Subgroup],0)),"")</f>
        <v>WSS_C</v>
      </c>
      <c r="G1827" s="113" t="str">
        <f>IFERROR(INDEX(Product_Structure[Product group name ENG],MATCH(Товары[[#This Row],[SubGroup]],Product_Structure[Subgroup],0)),"")</f>
        <v>Watering Systems Sprinklersystem, MDS, SP</v>
      </c>
      <c r="H1827" s="113" t="str">
        <f>IFERROR(INDEX(Product_Structure[Generic Name (long)3],MATCH(Товары[[#This Row],[SubGroup]],Product_Structure[Subgroup],0)),"")</f>
        <v>Система микрокапельного полива</v>
      </c>
      <c r="I1827" s="36">
        <v>9033</v>
      </c>
      <c r="J1827" s="36" t="str">
        <f>IFERROR(INDEX(Product_Structure[Generic Name (long)],MATCH(Товары[[#This Row],[SubGroup]],Product_Structure[Subgroup],0)),"")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Row],[SubGroup]],DIY!$B:$C,2,FALSE),0)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3" t="str">
        <f>IFERROR(INDEX(Product_Structure[SuperCategory],MATCH(Товары[[#This Row],[SubGroup]],Product_Structure[Subgroup],0)),"")</f>
        <v>W</v>
      </c>
      <c r="D1828" s="113" t="str">
        <f>IFERROR(INDEX(Product_Structure[SuperCategory Name ENG],MATCH(Товары[[#This Row],[SubGroup]],Product_Structure[Subgroup],0)),"")</f>
        <v>Watering (mobile, sprinkler system&amp;MDS, Ponds)</v>
      </c>
      <c r="E182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8" s="113" t="str">
        <f>IFERROR(INDEX(Product_Structure[Product group],MATCH(Товары[[#This Row],[SubGroup]],Product_Structure[Subgroup],0)),"")</f>
        <v>WSS_C</v>
      </c>
      <c r="G1828" s="113" t="str">
        <f>IFERROR(INDEX(Product_Structure[Product group name ENG],MATCH(Товары[[#This Row],[SubGroup]],Product_Structure[Subgroup],0)),"")</f>
        <v>Watering Systems Sprinklersystem, MDS, SP</v>
      </c>
      <c r="H1828" s="113" t="str">
        <f>IFERROR(INDEX(Product_Structure[Generic Name (long)3],MATCH(Товары[[#This Row],[SubGroup]],Product_Structure[Subgroup],0)),"")</f>
        <v>Система микрокапельного полива</v>
      </c>
      <c r="I1828" s="36">
        <v>9033</v>
      </c>
      <c r="J1828" s="36" t="str">
        <f>IFERROR(INDEX(Product_Structure[Generic Name (long)],MATCH(Товары[[#This Row],[SubGroup]],Product_Structure[Subgroup],0)),"")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Row],[SubGroup]],DIY!$B:$C,2,FALSE),0)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3" t="str">
        <f>IFERROR(INDEX(Product_Structure[SuperCategory],MATCH(Товары[[#This Row],[SubGroup]],Product_Structure[Subgroup],0)),"")</f>
        <v>W</v>
      </c>
      <c r="D1829" s="113" t="str">
        <f>IFERROR(INDEX(Product_Structure[SuperCategory Name ENG],MATCH(Товары[[#This Row],[SubGroup]],Product_Structure[Subgroup],0)),"")</f>
        <v>Watering (mobile, sprinkler system&amp;MDS, Ponds)</v>
      </c>
      <c r="E182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29" s="113" t="str">
        <f>IFERROR(INDEX(Product_Structure[Product group],MATCH(Товары[[#This Row],[SubGroup]],Product_Structure[Subgroup],0)),"")</f>
        <v>WSS_C</v>
      </c>
      <c r="G1829" s="113" t="str">
        <f>IFERROR(INDEX(Product_Structure[Product group name ENG],MATCH(Товары[[#This Row],[SubGroup]],Product_Structure[Subgroup],0)),"")</f>
        <v>Watering Systems Sprinklersystem, MDS, SP</v>
      </c>
      <c r="H1829" s="113" t="str">
        <f>IFERROR(INDEX(Product_Structure[Generic Name (long)3],MATCH(Товары[[#This Row],[SubGroup]],Product_Structure[Subgroup],0)),"")</f>
        <v>Система микрокапельного полива</v>
      </c>
      <c r="I1829" s="36">
        <v>9033</v>
      </c>
      <c r="J1829" s="36" t="str">
        <f>IFERROR(INDEX(Product_Structure[Generic Name (long)],MATCH(Товары[[#This Row],[SubGroup]],Product_Structure[Subgroup],0)),"")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Row],[SubGroup]],DIY!$B:$C,2,FALSE),0)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3" t="str">
        <f>IFERROR(INDEX(Product_Structure[SuperCategory],MATCH(Товары[[#This Row],[SubGroup]],Product_Structure[Subgroup],0)),"")</f>
        <v>W</v>
      </c>
      <c r="D1830" s="113" t="str">
        <f>IFERROR(INDEX(Product_Structure[SuperCategory Name ENG],MATCH(Товары[[#This Row],[SubGroup]],Product_Structure[Subgroup],0)),"")</f>
        <v>Watering (mobile, sprinkler system&amp;MDS, Ponds)</v>
      </c>
      <c r="E183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0" s="113" t="str">
        <f>IFERROR(INDEX(Product_Structure[Product group],MATCH(Товары[[#This Row],[SubGroup]],Product_Structure[Subgroup],0)),"")</f>
        <v>WSS_C</v>
      </c>
      <c r="G1830" s="113" t="str">
        <f>IFERROR(INDEX(Product_Structure[Product group name ENG],MATCH(Товары[[#This Row],[SubGroup]],Product_Structure[Subgroup],0)),"")</f>
        <v>Watering Systems Sprinklersystem, MDS, SP</v>
      </c>
      <c r="H1830" s="113" t="str">
        <f>IFERROR(INDEX(Product_Structure[Generic Name (long)3],MATCH(Товары[[#This Row],[SubGroup]],Product_Structure[Subgroup],0)),"")</f>
        <v>Система микрокапельного полива</v>
      </c>
      <c r="I1830" s="36">
        <v>9033</v>
      </c>
      <c r="J1830" s="36" t="str">
        <f>IFERROR(INDEX(Product_Structure[Generic Name (long)],MATCH(Товары[[#This Row],[SubGroup]],Product_Structure[Subgroup],0)),"")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Row],[SubGroup]],DIY!$B:$C,2,FALSE),0)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3" t="str">
        <f>IFERROR(INDEX(Product_Structure[SuperCategory],MATCH(Товары[[#This Row],[SubGroup]],Product_Structure[Subgroup],0)),"")</f>
        <v>W</v>
      </c>
      <c r="D1831" s="113" t="str">
        <f>IFERROR(INDEX(Product_Structure[SuperCategory Name ENG],MATCH(Товары[[#This Row],[SubGroup]],Product_Structure[Subgroup],0)),"")</f>
        <v>Watering (mobile, sprinkler system&amp;MDS, Ponds)</v>
      </c>
      <c r="E183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1" s="113" t="str">
        <f>IFERROR(INDEX(Product_Structure[Product group],MATCH(Товары[[#This Row],[SubGroup]],Product_Structure[Subgroup],0)),"")</f>
        <v>WSS_C</v>
      </c>
      <c r="G1831" s="113" t="str">
        <f>IFERROR(INDEX(Product_Structure[Product group name ENG],MATCH(Товары[[#This Row],[SubGroup]],Product_Structure[Subgroup],0)),"")</f>
        <v>Watering Systems Sprinklersystem, MDS, SP</v>
      </c>
      <c r="H1831" s="113" t="str">
        <f>IFERROR(INDEX(Product_Structure[Generic Name (long)3],MATCH(Товары[[#This Row],[SubGroup]],Product_Structure[Subgroup],0)),"")</f>
        <v>Система микрокапельного полива</v>
      </c>
      <c r="I1831" s="36">
        <v>9033</v>
      </c>
      <c r="J1831" s="36" t="str">
        <f>IFERROR(INDEX(Product_Structure[Generic Name (long)],MATCH(Товары[[#This Row],[SubGroup]],Product_Structure[Subgroup],0)),"")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Row],[SubGroup]],DIY!$B:$C,2,FALSE),0)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3" t="str">
        <f>IFERROR(INDEX(Product_Structure[SuperCategory],MATCH(Товары[[#This Row],[SubGroup]],Product_Structure[Subgroup],0)),"")</f>
        <v>W</v>
      </c>
      <c r="D1832" s="113" t="str">
        <f>IFERROR(INDEX(Product_Structure[SuperCategory Name ENG],MATCH(Товары[[#This Row],[SubGroup]],Product_Structure[Subgroup],0)),"")</f>
        <v>Watering (mobile, sprinkler system&amp;MDS, Ponds)</v>
      </c>
      <c r="E183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2" s="113" t="str">
        <f>IFERROR(INDEX(Product_Structure[Product group],MATCH(Товары[[#This Row],[SubGroup]],Product_Structure[Subgroup],0)),"")</f>
        <v>WSS_C</v>
      </c>
      <c r="G1832" s="113" t="str">
        <f>IFERROR(INDEX(Product_Structure[Product group name ENG],MATCH(Товары[[#This Row],[SubGroup]],Product_Structure[Subgroup],0)),"")</f>
        <v>Watering Systems Sprinklersystem, MDS, SP</v>
      </c>
      <c r="H1832" s="113" t="str">
        <f>IFERROR(INDEX(Product_Structure[Generic Name (long)3],MATCH(Товары[[#This Row],[SubGroup]],Product_Structure[Subgroup],0)),"")</f>
        <v>Система микрокапельного полива</v>
      </c>
      <c r="I1832" s="36">
        <v>9033</v>
      </c>
      <c r="J1832" s="36" t="str">
        <f>IFERROR(INDEX(Product_Structure[Generic Name (long)],MATCH(Товары[[#This Row],[SubGroup]],Product_Structure[Subgroup],0)),"")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Row],[SubGroup]],DIY!$B:$C,2,FALSE),0)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3" t="str">
        <f>IFERROR(INDEX(Product_Structure[SuperCategory],MATCH(Товары[[#This Row],[SubGroup]],Product_Structure[Subgroup],0)),"")</f>
        <v>W</v>
      </c>
      <c r="D1833" s="113" t="str">
        <f>IFERROR(INDEX(Product_Structure[SuperCategory Name ENG],MATCH(Товары[[#This Row],[SubGroup]],Product_Structure[Subgroup],0)),"")</f>
        <v>Watering (mobile, sprinkler system&amp;MDS, Ponds)</v>
      </c>
      <c r="E183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3" s="113" t="str">
        <f>IFERROR(INDEX(Product_Structure[Product group],MATCH(Товары[[#This Row],[SubGroup]],Product_Structure[Subgroup],0)),"")</f>
        <v>WSS_C</v>
      </c>
      <c r="G1833" s="113" t="str">
        <f>IFERROR(INDEX(Product_Structure[Product group name ENG],MATCH(Товары[[#This Row],[SubGroup]],Product_Structure[Subgroup],0)),"")</f>
        <v>Watering Systems Sprinklersystem, MDS, SP</v>
      </c>
      <c r="H1833" s="113" t="str">
        <f>IFERROR(INDEX(Product_Structure[Generic Name (long)3],MATCH(Товары[[#This Row],[SubGroup]],Product_Structure[Subgroup],0)),"")</f>
        <v>Система микрокапельного полива</v>
      </c>
      <c r="I1833" s="36">
        <v>9033</v>
      </c>
      <c r="J1833" s="36" t="str">
        <f>IFERROR(INDEX(Product_Structure[Generic Name (long)],MATCH(Товары[[#This Row],[SubGroup]],Product_Structure[Subgroup],0)),"")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Row],[SubGroup]],DIY!$B:$C,2,FALSE),0)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3" t="str">
        <f>IFERROR(INDEX(Product_Structure[SuperCategory],MATCH(Товары[[#This Row],[SubGroup]],Product_Structure[Subgroup],0)),"")</f>
        <v>W</v>
      </c>
      <c r="D1834" s="113" t="str">
        <f>IFERROR(INDEX(Product_Structure[SuperCategory Name ENG],MATCH(Товары[[#This Row],[SubGroup]],Product_Structure[Subgroup],0)),"")</f>
        <v>Watering (mobile, sprinkler system&amp;MDS, Ponds)</v>
      </c>
      <c r="E183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4" s="113" t="str">
        <f>IFERROR(INDEX(Product_Structure[Product group],MATCH(Товары[[#This Row],[SubGroup]],Product_Structure[Subgroup],0)),"")</f>
        <v>WSS_C</v>
      </c>
      <c r="G1834" s="113" t="str">
        <f>IFERROR(INDEX(Product_Structure[Product group name ENG],MATCH(Товары[[#This Row],[SubGroup]],Product_Structure[Subgroup],0)),"")</f>
        <v>Watering Systems Sprinklersystem, MDS, SP</v>
      </c>
      <c r="H1834" s="113" t="str">
        <f>IFERROR(INDEX(Product_Structure[Generic Name (long)3],MATCH(Товары[[#This Row],[SubGroup]],Product_Structure[Subgroup],0)),"")</f>
        <v>Система микрокапельного полива</v>
      </c>
      <c r="I1834" s="36">
        <v>9033</v>
      </c>
      <c r="J1834" s="36" t="str">
        <f>IFERROR(INDEX(Product_Structure[Generic Name (long)],MATCH(Товары[[#This Row],[SubGroup]],Product_Structure[Subgroup],0)),"")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Row],[SubGroup]],DIY!$B:$C,2,FALSE),0)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3" t="str">
        <f>IFERROR(INDEX(Product_Structure[SuperCategory],MATCH(Товары[[#This Row],[SubGroup]],Product_Structure[Subgroup],0)),"")</f>
        <v>W</v>
      </c>
      <c r="D1835" s="113" t="str">
        <f>IFERROR(INDEX(Product_Structure[SuperCategory Name ENG],MATCH(Товары[[#This Row],[SubGroup]],Product_Structure[Subgroup],0)),"")</f>
        <v>Watering (mobile, sprinkler system&amp;MDS, Ponds)</v>
      </c>
      <c r="E183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5" s="113" t="str">
        <f>IFERROR(INDEX(Product_Structure[Product group],MATCH(Товары[[#This Row],[SubGroup]],Product_Structure[Subgroup],0)),"")</f>
        <v>WSS_C</v>
      </c>
      <c r="G1835" s="113" t="str">
        <f>IFERROR(INDEX(Product_Structure[Product group name ENG],MATCH(Товары[[#This Row],[SubGroup]],Product_Structure[Subgroup],0)),"")</f>
        <v>Watering Systems Sprinklersystem, MDS, SP</v>
      </c>
      <c r="H1835" s="113" t="str">
        <f>IFERROR(INDEX(Product_Structure[Generic Name (long)3],MATCH(Товары[[#This Row],[SubGroup]],Product_Structure[Subgroup],0)),"")</f>
        <v>Система микрокапельного полива</v>
      </c>
      <c r="I1835" s="36">
        <v>9033</v>
      </c>
      <c r="J1835" s="36" t="str">
        <f>IFERROR(INDEX(Product_Structure[Generic Name (long)],MATCH(Товары[[#This Row],[SubGroup]],Product_Structure[Subgroup],0)),"")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Row],[SubGroup]],DIY!$B:$C,2,FALSE),0)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3" t="str">
        <f>IFERROR(INDEX(Product_Structure[SuperCategory],MATCH(Товары[[#This Row],[SubGroup]],Product_Structure[Subgroup],0)),"")</f>
        <v>W</v>
      </c>
      <c r="D1836" s="113" t="str">
        <f>IFERROR(INDEX(Product_Structure[SuperCategory Name ENG],MATCH(Товары[[#This Row],[SubGroup]],Product_Structure[Subgroup],0)),"")</f>
        <v>Watering (mobile, sprinkler system&amp;MDS, Ponds)</v>
      </c>
      <c r="E183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6" s="113" t="str">
        <f>IFERROR(INDEX(Product_Structure[Product group],MATCH(Товары[[#This Row],[SubGroup]],Product_Structure[Subgroup],0)),"")</f>
        <v>WSS_C</v>
      </c>
      <c r="G1836" s="113" t="str">
        <f>IFERROR(INDEX(Product_Structure[Product group name ENG],MATCH(Товары[[#This Row],[SubGroup]],Product_Structure[Subgroup],0)),"")</f>
        <v>Watering Systems Sprinklersystem, MDS, SP</v>
      </c>
      <c r="H1836" s="113" t="str">
        <f>IFERROR(INDEX(Product_Structure[Generic Name (long)3],MATCH(Товары[[#This Row],[SubGroup]],Product_Structure[Subgroup],0)),"")</f>
        <v>Система микрокапельного полива</v>
      </c>
      <c r="I1836" s="36">
        <v>9033</v>
      </c>
      <c r="J1836" s="36" t="str">
        <f>IFERROR(INDEX(Product_Structure[Generic Name (long)],MATCH(Товары[[#This Row],[SubGroup]],Product_Structure[Subgroup],0)),"")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Row],[SubGroup]],DIY!$B:$C,2,FALSE),0)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3" t="str">
        <f>IFERROR(INDEX(Product_Structure[SuperCategory],MATCH(Товары[[#This Row],[SubGroup]],Product_Structure[Subgroup],0)),"")</f>
        <v>W</v>
      </c>
      <c r="D1837" s="113" t="str">
        <f>IFERROR(INDEX(Product_Structure[SuperCategory Name ENG],MATCH(Товары[[#This Row],[SubGroup]],Product_Structure[Subgroup],0)),"")</f>
        <v>Watering (mobile, sprinkler system&amp;MDS, Ponds)</v>
      </c>
      <c r="E183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7" s="113" t="str">
        <f>IFERROR(INDEX(Product_Structure[Product group],MATCH(Товары[[#This Row],[SubGroup]],Product_Structure[Subgroup],0)),"")</f>
        <v>WSS_C</v>
      </c>
      <c r="G1837" s="113" t="str">
        <f>IFERROR(INDEX(Product_Structure[Product group name ENG],MATCH(Товары[[#This Row],[SubGroup]],Product_Structure[Subgroup],0)),"")</f>
        <v>Watering Systems Sprinklersystem, MDS, SP</v>
      </c>
      <c r="H1837" s="113" t="str">
        <f>IFERROR(INDEX(Product_Structure[Generic Name (long)3],MATCH(Товары[[#This Row],[SubGroup]],Product_Structure[Subgroup],0)),"")</f>
        <v>Система микрокапельного полива</v>
      </c>
      <c r="I1837" s="36">
        <v>9033</v>
      </c>
      <c r="J1837" s="36" t="str">
        <f>IFERROR(INDEX(Product_Structure[Generic Name (long)],MATCH(Товары[[#This Row],[SubGroup]],Product_Structure[Subgroup],0)),"")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Row],[SubGroup]],DIY!$B:$C,2,FALSE),0)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3" t="str">
        <f>IFERROR(INDEX(Product_Structure[SuperCategory],MATCH(Товары[[#This Row],[SubGroup]],Product_Structure[Subgroup],0)),"")</f>
        <v>W</v>
      </c>
      <c r="D1838" s="113" t="str">
        <f>IFERROR(INDEX(Product_Structure[SuperCategory Name ENG],MATCH(Товары[[#This Row],[SubGroup]],Product_Structure[Subgroup],0)),"")</f>
        <v>Watering (mobile, sprinkler system&amp;MDS, Ponds)</v>
      </c>
      <c r="E183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8" s="113" t="str">
        <f>IFERROR(INDEX(Product_Structure[Product group],MATCH(Товары[[#This Row],[SubGroup]],Product_Structure[Subgroup],0)),"")</f>
        <v>WSS_C</v>
      </c>
      <c r="G1838" s="113" t="str">
        <f>IFERROR(INDEX(Product_Structure[Product group name ENG],MATCH(Товары[[#This Row],[SubGroup]],Product_Structure[Subgroup],0)),"")</f>
        <v>Watering Systems Sprinklersystem, MDS, SP</v>
      </c>
      <c r="H1838" s="113" t="str">
        <f>IFERROR(INDEX(Product_Structure[Generic Name (long)3],MATCH(Товары[[#This Row],[SubGroup]],Product_Structure[Subgroup],0)),"")</f>
        <v>Система микрокапельного полива</v>
      </c>
      <c r="I1838" s="36">
        <v>9033</v>
      </c>
      <c r="J1838" s="36" t="str">
        <f>IFERROR(INDEX(Product_Structure[Generic Name (long)],MATCH(Товары[[#This Row],[SubGroup]],Product_Structure[Subgroup],0)),"")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Row],[SubGroup]],DIY!$B:$C,2,FALSE),0)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3" t="str">
        <f>IFERROR(INDEX(Product_Structure[SuperCategory],MATCH(Товары[[#This Row],[SubGroup]],Product_Structure[Subgroup],0)),"")</f>
        <v>W</v>
      </c>
      <c r="D1839" s="113" t="str">
        <f>IFERROR(INDEX(Product_Structure[SuperCategory Name ENG],MATCH(Товары[[#This Row],[SubGroup]],Product_Structure[Subgroup],0)),"")</f>
        <v>Watering (mobile, sprinkler system&amp;MDS, Ponds)</v>
      </c>
      <c r="E183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39" s="113" t="str">
        <f>IFERROR(INDEX(Product_Structure[Product group],MATCH(Товары[[#This Row],[SubGroup]],Product_Structure[Subgroup],0)),"")</f>
        <v>WSS_C</v>
      </c>
      <c r="G1839" s="113" t="str">
        <f>IFERROR(INDEX(Product_Structure[Product group name ENG],MATCH(Товары[[#This Row],[SubGroup]],Product_Structure[Subgroup],0)),"")</f>
        <v>Watering Systems Sprinklersystem, MDS, SP</v>
      </c>
      <c r="H1839" s="113" t="str">
        <f>IFERROR(INDEX(Product_Structure[Generic Name (long)3],MATCH(Товары[[#This Row],[SubGroup]],Product_Structure[Subgroup],0)),"")</f>
        <v>Система микрокапельного полива</v>
      </c>
      <c r="I1839" s="36">
        <v>9033</v>
      </c>
      <c r="J1839" s="36" t="str">
        <f>IFERROR(INDEX(Product_Structure[Generic Name (long)],MATCH(Товары[[#This Row],[SubGroup]],Product_Structure[Subgroup],0)),"")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Row],[SubGroup]],DIY!$B:$C,2,FALSE),0)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3" t="str">
        <f>IFERROR(INDEX(Product_Structure[SuperCategory],MATCH(Товары[[#This Row],[SubGroup]],Product_Structure[Subgroup],0)),"")</f>
        <v>W</v>
      </c>
      <c r="D1840" s="113" t="str">
        <f>IFERROR(INDEX(Product_Structure[SuperCategory Name ENG],MATCH(Товары[[#This Row],[SubGroup]],Product_Structure[Subgroup],0)),"")</f>
        <v>Watering (mobile, sprinkler system&amp;MDS, Ponds)</v>
      </c>
      <c r="E184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0" s="113" t="str">
        <f>IFERROR(INDEX(Product_Structure[Product group],MATCH(Товары[[#This Row],[SubGroup]],Product_Structure[Subgroup],0)),"")</f>
        <v>WSS_C</v>
      </c>
      <c r="G1840" s="113" t="str">
        <f>IFERROR(INDEX(Product_Structure[Product group name ENG],MATCH(Товары[[#This Row],[SubGroup]],Product_Structure[Subgroup],0)),"")</f>
        <v>Watering Systems Sprinklersystem, MDS, SP</v>
      </c>
      <c r="H1840" s="113" t="str">
        <f>IFERROR(INDEX(Product_Structure[Generic Name (long)3],MATCH(Товары[[#This Row],[SubGroup]],Product_Structure[Subgroup],0)),"")</f>
        <v>Система микрокапельного полива</v>
      </c>
      <c r="I1840" s="36">
        <v>9033</v>
      </c>
      <c r="J1840" s="36" t="str">
        <f>IFERROR(INDEX(Product_Structure[Generic Name (long)],MATCH(Товары[[#This Row],[SubGroup]],Product_Structure[Subgroup],0)),"")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Row],[SubGroup]],DIY!$B:$C,2,FALSE),0)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3" t="str">
        <f>IFERROR(INDEX(Product_Structure[SuperCategory],MATCH(Товары[[#This Row],[SubGroup]],Product_Structure[Subgroup],0)),"")</f>
        <v>W</v>
      </c>
      <c r="D1841" s="113" t="str">
        <f>IFERROR(INDEX(Product_Structure[SuperCategory Name ENG],MATCH(Товары[[#This Row],[SubGroup]],Product_Structure[Subgroup],0)),"")</f>
        <v>Watering (mobile, sprinkler system&amp;MDS, Ponds)</v>
      </c>
      <c r="E184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1" s="113" t="str">
        <f>IFERROR(INDEX(Product_Structure[Product group],MATCH(Товары[[#This Row],[SubGroup]],Product_Structure[Subgroup],0)),"")</f>
        <v>WSS_C</v>
      </c>
      <c r="G1841" s="113" t="str">
        <f>IFERROR(INDEX(Product_Structure[Product group name ENG],MATCH(Товары[[#This Row],[SubGroup]],Product_Structure[Subgroup],0)),"")</f>
        <v>Watering Systems Sprinklersystem, MDS, SP</v>
      </c>
      <c r="H1841" s="113" t="str">
        <f>IFERROR(INDEX(Product_Structure[Generic Name (long)3],MATCH(Товары[[#This Row],[SubGroup]],Product_Structure[Subgroup],0)),"")</f>
        <v>Система микрокапельного полива</v>
      </c>
      <c r="I1841" s="36">
        <v>9033</v>
      </c>
      <c r="J1841" s="36" t="str">
        <f>IFERROR(INDEX(Product_Structure[Generic Name (long)],MATCH(Товары[[#This Row],[SubGroup]],Product_Structure[Subgroup],0)),"")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Row],[SubGroup]],DIY!$B:$C,2,FALSE),0)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3" t="str">
        <f>IFERROR(INDEX(Product_Structure[SuperCategory],MATCH(Товары[[#This Row],[SubGroup]],Product_Structure[Subgroup],0)),"")</f>
        <v>W</v>
      </c>
      <c r="D1842" s="113" t="str">
        <f>IFERROR(INDEX(Product_Structure[SuperCategory Name ENG],MATCH(Товары[[#This Row],[SubGroup]],Product_Structure[Subgroup],0)),"")</f>
        <v>Watering (mobile, sprinkler system&amp;MDS, Ponds)</v>
      </c>
      <c r="E184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2" s="113" t="str">
        <f>IFERROR(INDEX(Product_Structure[Product group],MATCH(Товары[[#This Row],[SubGroup]],Product_Structure[Subgroup],0)),"")</f>
        <v>WSS_C</v>
      </c>
      <c r="G1842" s="113" t="str">
        <f>IFERROR(INDEX(Product_Structure[Product group name ENG],MATCH(Товары[[#This Row],[SubGroup]],Product_Structure[Subgroup],0)),"")</f>
        <v>Watering Systems Sprinklersystem, MDS, SP</v>
      </c>
      <c r="H1842" s="113" t="str">
        <f>IFERROR(INDEX(Product_Structure[Generic Name (long)3],MATCH(Товары[[#This Row],[SubGroup]],Product_Structure[Subgroup],0)),"")</f>
        <v>Система микрокапельного полива</v>
      </c>
      <c r="I1842" s="36">
        <v>9033</v>
      </c>
      <c r="J1842" s="36" t="str">
        <f>IFERROR(INDEX(Product_Structure[Generic Name (long)],MATCH(Товары[[#This Row],[SubGroup]],Product_Structure[Subgroup],0)),"")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Row],[SubGroup]],DIY!$B:$C,2,FALSE),0)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3" t="str">
        <f>IFERROR(INDEX(Product_Structure[SuperCategory],MATCH(Товары[[#This Row],[SubGroup]],Product_Structure[Subgroup],0)),"")</f>
        <v>W</v>
      </c>
      <c r="D1843" s="113" t="str">
        <f>IFERROR(INDEX(Product_Structure[SuperCategory Name ENG],MATCH(Товары[[#This Row],[SubGroup]],Product_Structure[Subgroup],0)),"")</f>
        <v>Watering (mobile, sprinkler system&amp;MDS, Ponds)</v>
      </c>
      <c r="E184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3" s="113" t="str">
        <f>IFERROR(INDEX(Product_Structure[Product group],MATCH(Товары[[#This Row],[SubGroup]],Product_Structure[Subgroup],0)),"")</f>
        <v>WSS_C</v>
      </c>
      <c r="G1843" s="113" t="str">
        <f>IFERROR(INDEX(Product_Structure[Product group name ENG],MATCH(Товары[[#This Row],[SubGroup]],Product_Structure[Subgroup],0)),"")</f>
        <v>Watering Systems Sprinklersystem, MDS, SP</v>
      </c>
      <c r="H1843" s="113" t="str">
        <f>IFERROR(INDEX(Product_Structure[Generic Name (long)3],MATCH(Товары[[#This Row],[SubGroup]],Product_Structure[Subgroup],0)),"")</f>
        <v>Система микрокапельного полива</v>
      </c>
      <c r="I1843" s="36">
        <v>9033</v>
      </c>
      <c r="J1843" s="36" t="str">
        <f>IFERROR(INDEX(Product_Structure[Generic Name (long)],MATCH(Товары[[#This Row],[SubGroup]],Product_Structure[Subgroup],0)),"")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Row],[SubGroup]],DIY!$B:$C,2,FALSE),0)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3" t="str">
        <f>IFERROR(INDEX(Product_Structure[SuperCategory],MATCH(Товары[[#This Row],[SubGroup]],Product_Structure[Subgroup],0)),"")</f>
        <v>W</v>
      </c>
      <c r="D1844" s="113" t="str">
        <f>IFERROR(INDEX(Product_Structure[SuperCategory Name ENG],MATCH(Товары[[#This Row],[SubGroup]],Product_Structure[Subgroup],0)),"")</f>
        <v>Watering (mobile, sprinkler system&amp;MDS, Ponds)</v>
      </c>
      <c r="E184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4" s="113" t="str">
        <f>IFERROR(INDEX(Product_Structure[Product group],MATCH(Товары[[#This Row],[SubGroup]],Product_Structure[Subgroup],0)),"")</f>
        <v>WSS_C</v>
      </c>
      <c r="G1844" s="113" t="str">
        <f>IFERROR(INDEX(Product_Structure[Product group name ENG],MATCH(Товары[[#This Row],[SubGroup]],Product_Structure[Subgroup],0)),"")</f>
        <v>Watering Systems Sprinklersystem, MDS, SP</v>
      </c>
      <c r="H1844" s="113" t="str">
        <f>IFERROR(INDEX(Product_Structure[Generic Name (long)3],MATCH(Товары[[#This Row],[SubGroup]],Product_Structure[Subgroup],0)),"")</f>
        <v>Система микрокапельного полива</v>
      </c>
      <c r="I1844" s="36">
        <v>9033</v>
      </c>
      <c r="J1844" s="36" t="str">
        <f>IFERROR(INDEX(Product_Structure[Generic Name (long)],MATCH(Товары[[#This Row],[SubGroup]],Product_Structure[Subgroup],0)),"")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Row],[SubGroup]],DIY!$B:$C,2,FALSE),0)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3" t="str">
        <f>IFERROR(INDEX(Product_Structure[SuperCategory],MATCH(Товары[[#This Row],[SubGroup]],Product_Structure[Subgroup],0)),"")</f>
        <v>W</v>
      </c>
      <c r="D1845" s="113" t="str">
        <f>IFERROR(INDEX(Product_Structure[SuperCategory Name ENG],MATCH(Товары[[#This Row],[SubGroup]],Product_Structure[Subgroup],0)),"")</f>
        <v>Watering (mobile, sprinkler system&amp;MDS, Ponds)</v>
      </c>
      <c r="E184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5" s="113" t="str">
        <f>IFERROR(INDEX(Product_Structure[Product group],MATCH(Товары[[#This Row],[SubGroup]],Product_Structure[Subgroup],0)),"")</f>
        <v>WSS_C</v>
      </c>
      <c r="G1845" s="113" t="str">
        <f>IFERROR(INDEX(Product_Structure[Product group name ENG],MATCH(Товары[[#This Row],[SubGroup]],Product_Structure[Subgroup],0)),"")</f>
        <v>Watering Systems Sprinklersystem, MDS, SP</v>
      </c>
      <c r="H1845" s="113" t="str">
        <f>IFERROR(INDEX(Product_Structure[Generic Name (long)3],MATCH(Товары[[#This Row],[SubGroup]],Product_Structure[Subgroup],0)),"")</f>
        <v>Система микрокапельного полива</v>
      </c>
      <c r="I1845" s="36">
        <v>9033</v>
      </c>
      <c r="J1845" s="36" t="str">
        <f>IFERROR(INDEX(Product_Structure[Generic Name (long)],MATCH(Товары[[#This Row],[SubGroup]],Product_Structure[Subgroup],0)),"")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Row],[SubGroup]],DIY!$B:$C,2,FALSE),0)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3" t="str">
        <f>IFERROR(INDEX(Product_Structure[SuperCategory],MATCH(Товары[[#This Row],[SubGroup]],Product_Structure[Subgroup],0)),"")</f>
        <v>W</v>
      </c>
      <c r="D1846" s="113" t="str">
        <f>IFERROR(INDEX(Product_Structure[SuperCategory Name ENG],MATCH(Товары[[#This Row],[SubGroup]],Product_Structure[Subgroup],0)),"")</f>
        <v>Watering (mobile, sprinkler system&amp;MDS, Ponds)</v>
      </c>
      <c r="E184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6" s="113" t="str">
        <f>IFERROR(INDEX(Product_Structure[Product group],MATCH(Товары[[#This Row],[SubGroup]],Product_Structure[Subgroup],0)),"")</f>
        <v>WSS_C</v>
      </c>
      <c r="G1846" s="113" t="str">
        <f>IFERROR(INDEX(Product_Structure[Product group name ENG],MATCH(Товары[[#This Row],[SubGroup]],Product_Structure[Subgroup],0)),"")</f>
        <v>Watering Systems Sprinklersystem, MDS, SP</v>
      </c>
      <c r="H1846" s="113" t="str">
        <f>IFERROR(INDEX(Product_Structure[Generic Name (long)3],MATCH(Товары[[#This Row],[SubGroup]],Product_Structure[Subgroup],0)),"")</f>
        <v>Система микрокапельного полива</v>
      </c>
      <c r="I1846" s="36">
        <v>9033</v>
      </c>
      <c r="J1846" s="36" t="str">
        <f>IFERROR(INDEX(Product_Structure[Generic Name (long)],MATCH(Товары[[#This Row],[SubGroup]],Product_Structure[Subgroup],0)),"")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Row],[SubGroup]],DIY!$B:$C,2,FALSE),0)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3" t="str">
        <f>IFERROR(INDEX(Product_Structure[SuperCategory],MATCH(Товары[[#This Row],[SubGroup]],Product_Structure[Subgroup],0)),"")</f>
        <v>W</v>
      </c>
      <c r="D1847" s="113" t="str">
        <f>IFERROR(INDEX(Product_Structure[SuperCategory Name ENG],MATCH(Товары[[#This Row],[SubGroup]],Product_Structure[Subgroup],0)),"")</f>
        <v>Watering (mobile, sprinkler system&amp;MDS, Ponds)</v>
      </c>
      <c r="E184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7" s="113" t="str">
        <f>IFERROR(INDEX(Product_Structure[Product group],MATCH(Товары[[#This Row],[SubGroup]],Product_Structure[Subgroup],0)),"")</f>
        <v>WSS_C</v>
      </c>
      <c r="G1847" s="113" t="str">
        <f>IFERROR(INDEX(Product_Structure[Product group name ENG],MATCH(Товары[[#This Row],[SubGroup]],Product_Structure[Subgroup],0)),"")</f>
        <v>Watering Systems Sprinklersystem, MDS, SP</v>
      </c>
      <c r="H1847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IFERROR(INDEX(Product_Structure[Generic Name (long)],MATCH(Товары[[#This Row],[SubGroup]],Product_Structure[Subgroup],0)),"")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Row],[SubGroup]],DIY!$B:$C,2,FALSE),0)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3" t="str">
        <f>IFERROR(INDEX(Product_Structure[SuperCategory],MATCH(Товары[[#This Row],[SubGroup]],Product_Structure[Subgroup],0)),"")</f>
        <v>W</v>
      </c>
      <c r="D1848" s="113" t="str">
        <f>IFERROR(INDEX(Product_Structure[SuperCategory Name ENG],MATCH(Товары[[#This Row],[SubGroup]],Product_Structure[Subgroup],0)),"")</f>
        <v>Watering (mobile, sprinkler system&amp;MDS, Ponds)</v>
      </c>
      <c r="E184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8" s="113" t="str">
        <f>IFERROR(INDEX(Product_Structure[Product group],MATCH(Товары[[#This Row],[SubGroup]],Product_Structure[Subgroup],0)),"")</f>
        <v>WSS_C</v>
      </c>
      <c r="G1848" s="113" t="str">
        <f>IFERROR(INDEX(Product_Structure[Product group name ENG],MATCH(Товары[[#This Row],[SubGroup]],Product_Structure[Subgroup],0)),"")</f>
        <v>Watering Systems Sprinklersystem, MDS, SP</v>
      </c>
      <c r="H1848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IFERROR(INDEX(Product_Structure[Generic Name (long)],MATCH(Товары[[#This Row],[SubGroup]],Product_Structure[Subgroup],0)),"")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Row],[SubGroup]],DIY!$B:$C,2,FALSE),0)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3" t="str">
        <f>IFERROR(INDEX(Product_Structure[SuperCategory],MATCH(Товары[[#This Row],[SubGroup]],Product_Structure[Subgroup],0)),"")</f>
        <v>W</v>
      </c>
      <c r="D1849" s="113" t="str">
        <f>IFERROR(INDEX(Product_Structure[SuperCategory Name ENG],MATCH(Товары[[#This Row],[SubGroup]],Product_Structure[Subgroup],0)),"")</f>
        <v>Watering (mobile, sprinkler system&amp;MDS, Ponds)</v>
      </c>
      <c r="E184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49" s="113" t="str">
        <f>IFERROR(INDEX(Product_Structure[Product group],MATCH(Товары[[#This Row],[SubGroup]],Product_Structure[Subgroup],0)),"")</f>
        <v>WSS_C</v>
      </c>
      <c r="G1849" s="113" t="str">
        <f>IFERROR(INDEX(Product_Structure[Product group name ENG],MATCH(Товары[[#This Row],[SubGroup]],Product_Structure[Subgroup],0)),"")</f>
        <v>Watering Systems Sprinklersystem, MDS, SP</v>
      </c>
      <c r="H1849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IFERROR(INDEX(Product_Structure[Generic Name (long)],MATCH(Товары[[#This Row],[SubGroup]],Product_Structure[Subgroup],0)),"")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Row],[SubGroup]],DIY!$B:$C,2,FALSE),0)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3" t="str">
        <f>IFERROR(INDEX(Product_Structure[SuperCategory],MATCH(Товары[[#This Row],[SubGroup]],Product_Structure[Subgroup],0)),"")</f>
        <v>W</v>
      </c>
      <c r="D1850" s="113" t="str">
        <f>IFERROR(INDEX(Product_Structure[SuperCategory Name ENG],MATCH(Товары[[#This Row],[SubGroup]],Product_Structure[Subgroup],0)),"")</f>
        <v>Watering (mobile, sprinkler system&amp;MDS, Ponds)</v>
      </c>
      <c r="E185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0" s="113" t="str">
        <f>IFERROR(INDEX(Product_Structure[Product group],MATCH(Товары[[#This Row],[SubGroup]],Product_Structure[Subgroup],0)),"")</f>
        <v>WSS_C</v>
      </c>
      <c r="G1850" s="113" t="str">
        <f>IFERROR(INDEX(Product_Structure[Product group name ENG],MATCH(Товары[[#This Row],[SubGroup]],Product_Structure[Subgroup],0)),"")</f>
        <v>Watering Systems Sprinklersystem, MDS, SP</v>
      </c>
      <c r="H1850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IFERROR(INDEX(Product_Structure[Generic Name (long)],MATCH(Товары[[#This Row],[SubGroup]],Product_Structure[Subgroup],0)),"")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Row],[SubGroup]],DIY!$B:$C,2,FALSE),0)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3" t="str">
        <f>IFERROR(INDEX(Product_Structure[SuperCategory],MATCH(Товары[[#This Row],[SubGroup]],Product_Structure[Subgroup],0)),"")</f>
        <v>W</v>
      </c>
      <c r="D1851" s="113" t="str">
        <f>IFERROR(INDEX(Product_Structure[SuperCategory Name ENG],MATCH(Товары[[#This Row],[SubGroup]],Product_Structure[Subgroup],0)),"")</f>
        <v>Watering (mobile, sprinkler system&amp;MDS, Ponds)</v>
      </c>
      <c r="E185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1" s="113" t="str">
        <f>IFERROR(INDEX(Product_Structure[Product group],MATCH(Товары[[#This Row],[SubGroup]],Product_Structure[Subgroup],0)),"")</f>
        <v>WSS_C</v>
      </c>
      <c r="G1851" s="113" t="str">
        <f>IFERROR(INDEX(Product_Structure[Product group name ENG],MATCH(Товары[[#This Row],[SubGroup]],Product_Structure[Subgroup],0)),"")</f>
        <v>Watering Systems Sprinklersystem, MDS, SP</v>
      </c>
      <c r="H1851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IFERROR(INDEX(Product_Structure[Generic Name (long)],MATCH(Товары[[#This Row],[SubGroup]],Product_Structure[Subgroup],0)),"")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Row],[SubGroup]],DIY!$B:$C,2,FALSE),0)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3" t="str">
        <f>IFERROR(INDEX(Product_Structure[SuperCategory],MATCH(Товары[[#This Row],[SubGroup]],Product_Structure[Subgroup],0)),"")</f>
        <v>W</v>
      </c>
      <c r="D1852" s="113" t="str">
        <f>IFERROR(INDEX(Product_Structure[SuperCategory Name ENG],MATCH(Товары[[#This Row],[SubGroup]],Product_Structure[Subgroup],0)),"")</f>
        <v>Watering (mobile, sprinkler system&amp;MDS, Ponds)</v>
      </c>
      <c r="E185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2" s="113" t="str">
        <f>IFERROR(INDEX(Product_Structure[Product group],MATCH(Товары[[#This Row],[SubGroup]],Product_Structure[Subgroup],0)),"")</f>
        <v>WSS_C</v>
      </c>
      <c r="G1852" s="113" t="str">
        <f>IFERROR(INDEX(Product_Structure[Product group name ENG],MATCH(Товары[[#This Row],[SubGroup]],Product_Structure[Subgroup],0)),"")</f>
        <v>Watering Systems Sprinklersystem, MDS, SP</v>
      </c>
      <c r="H1852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IFERROR(INDEX(Product_Structure[Generic Name (long)],MATCH(Товары[[#This Row],[SubGroup]],Product_Structure[Subgroup],0)),"")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Row],[SubGroup]],DIY!$B:$C,2,FALSE),0)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3" t="str">
        <f>IFERROR(INDEX(Product_Structure[SuperCategory],MATCH(Товары[[#This Row],[SubGroup]],Product_Structure[Subgroup],0)),"")</f>
        <v>W</v>
      </c>
      <c r="D1853" s="113" t="str">
        <f>IFERROR(INDEX(Product_Structure[SuperCategory Name ENG],MATCH(Товары[[#This Row],[SubGroup]],Product_Structure[Subgroup],0)),"")</f>
        <v>Watering (mobile, sprinkler system&amp;MDS, Ponds)</v>
      </c>
      <c r="E1853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3" s="113" t="str">
        <f>IFERROR(INDEX(Product_Structure[Product group],MATCH(Товары[[#This Row],[SubGroup]],Product_Structure[Subgroup],0)),"")</f>
        <v>WSS_C</v>
      </c>
      <c r="G1853" s="113" t="str">
        <f>IFERROR(INDEX(Product_Structure[Product group name ENG],MATCH(Товары[[#This Row],[SubGroup]],Product_Structure[Subgroup],0)),"")</f>
        <v>Watering Systems Sprinklersystem, MDS, SP</v>
      </c>
      <c r="H1853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IFERROR(INDEX(Product_Structure[Generic Name (long)],MATCH(Товары[[#This Row],[SubGroup]],Product_Structure[Subgroup],0)),"")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Row],[SubGroup]],DIY!$B:$C,2,FALSE),0)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3" t="str">
        <f>IFERROR(INDEX(Product_Structure[SuperCategory],MATCH(Товары[[#This Row],[SubGroup]],Product_Structure[Subgroup],0)),"")</f>
        <v>W</v>
      </c>
      <c r="D1854" s="113" t="str">
        <f>IFERROR(INDEX(Product_Structure[SuperCategory Name ENG],MATCH(Товары[[#This Row],[SubGroup]],Product_Structure[Subgroup],0)),"")</f>
        <v>Watering (mobile, sprinkler system&amp;MDS, Ponds)</v>
      </c>
      <c r="E1854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4" s="113" t="str">
        <f>IFERROR(INDEX(Product_Structure[Product group],MATCH(Товары[[#This Row],[SubGroup]],Product_Structure[Subgroup],0)),"")</f>
        <v>WSS_C</v>
      </c>
      <c r="G1854" s="113" t="str">
        <f>IFERROR(INDEX(Product_Structure[Product group name ENG],MATCH(Товары[[#This Row],[SubGroup]],Product_Structure[Subgroup],0)),"")</f>
        <v>Watering Systems Sprinklersystem, MDS, SP</v>
      </c>
      <c r="H1854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IFERROR(INDEX(Product_Structure[Generic Name (long)],MATCH(Товары[[#This Row],[SubGroup]],Product_Structure[Subgroup],0)),"")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Row],[SubGroup]],DIY!$B:$C,2,FALSE),0)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3" t="str">
        <f>IFERROR(INDEX(Product_Structure[SuperCategory],MATCH(Товары[[#This Row],[SubGroup]],Product_Structure[Subgroup],0)),"")</f>
        <v>W</v>
      </c>
      <c r="D1855" s="113" t="str">
        <f>IFERROR(INDEX(Product_Structure[SuperCategory Name ENG],MATCH(Товары[[#This Row],[SubGroup]],Product_Structure[Subgroup],0)),"")</f>
        <v>Watering (mobile, sprinkler system&amp;MDS, Ponds)</v>
      </c>
      <c r="E1855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5" s="113" t="str">
        <f>IFERROR(INDEX(Product_Structure[Product group],MATCH(Товары[[#This Row],[SubGroup]],Product_Structure[Subgroup],0)),"")</f>
        <v>WSS_C</v>
      </c>
      <c r="G1855" s="113" t="str">
        <f>IFERROR(INDEX(Product_Structure[Product group name ENG],MATCH(Товары[[#This Row],[SubGroup]],Product_Structure[Subgroup],0)),"")</f>
        <v>Watering Systems Sprinklersystem, MDS, SP</v>
      </c>
      <c r="H1855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IFERROR(INDEX(Product_Structure[Generic Name (long)],MATCH(Товары[[#This Row],[SubGroup]],Product_Structure[Subgroup],0)),"")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Row],[SubGroup]],DIY!$B:$C,2,FALSE),0)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3" t="str">
        <f>IFERROR(INDEX(Product_Structure[SuperCategory],MATCH(Товары[[#This Row],[SubGroup]],Product_Structure[Subgroup],0)),"")</f>
        <v>W</v>
      </c>
      <c r="D1856" s="113" t="str">
        <f>IFERROR(INDEX(Product_Structure[SuperCategory Name ENG],MATCH(Товары[[#This Row],[SubGroup]],Product_Structure[Subgroup],0)),"")</f>
        <v>Watering (mobile, sprinkler system&amp;MDS, Ponds)</v>
      </c>
      <c r="E1856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6" s="113" t="str">
        <f>IFERROR(INDEX(Product_Structure[Product group],MATCH(Товары[[#This Row],[SubGroup]],Product_Structure[Subgroup],0)),"")</f>
        <v>WSS_C</v>
      </c>
      <c r="G1856" s="113" t="str">
        <f>IFERROR(INDEX(Product_Structure[Product group name ENG],MATCH(Товары[[#This Row],[SubGroup]],Product_Structure[Subgroup],0)),"")</f>
        <v>Watering Systems Sprinklersystem, MDS, SP</v>
      </c>
      <c r="H1856" s="113" t="str">
        <f>IFERROR(INDEX(Product_Structure[Generic Name (long)3],MATCH(Товары[[#This Row],[SubGroup]],Product_Structure[Subgroup],0)),"")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IFERROR(INDEX(Product_Structure[Generic Name (long)],MATCH(Товары[[#This Row],[SubGroup]],Product_Structure[Subgroup],0)),"")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Row],[SubGroup]],DIY!$B:$C,2,FALSE),0)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3" t="str">
        <f>IFERROR(INDEX(Product_Structure[SuperCategory],MATCH(Товары[[#This Row],[SubGroup]],Product_Structure[Subgroup],0)),"")</f>
        <v>W</v>
      </c>
      <c r="D1857" s="113" t="str">
        <f>IFERROR(INDEX(Product_Structure[SuperCategory Name ENG],MATCH(Товары[[#This Row],[SubGroup]],Product_Structure[Subgroup],0)),"")</f>
        <v>Watering (mobile, sprinkler system&amp;MDS, Ponds)</v>
      </c>
      <c r="E1857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7" s="113" t="str">
        <f>IFERROR(INDEX(Product_Structure[Product group],MATCH(Товары[[#This Row],[SubGroup]],Product_Structure[Subgroup],0)),"")</f>
        <v>WSS_C</v>
      </c>
      <c r="G1857" s="113" t="str">
        <f>IFERROR(INDEX(Product_Structure[Product group name ENG],MATCH(Товары[[#This Row],[SubGroup]],Product_Structure[Subgroup],0)),"")</f>
        <v>Watering Systems Sprinklersystem, MDS, SP</v>
      </c>
      <c r="H1857" s="113" t="str">
        <f>IFERROR(INDEX(Product_Structure[Generic Name (long)3],MATCH(Товары[[#This Row],[SubGroup]],Product_Structure[Subgroup],0)),"")</f>
        <v>Система подземного полива</v>
      </c>
      <c r="I1857" s="36">
        <v>9032</v>
      </c>
      <c r="J1857" s="36" t="str">
        <f>IFERROR(INDEX(Product_Structure[Generic Name (long)],MATCH(Товары[[#This Row],[SubGroup]],Product_Structure[Subgroup],0)),"")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Row],[SubGroup]],DIY!$B:$C,2,FALSE),0)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3" t="str">
        <f>IFERROR(INDEX(Product_Structure[SuperCategory],MATCH(Товары[[#This Row],[SubGroup]],Product_Structure[Subgroup],0)),"")</f>
        <v>W</v>
      </c>
      <c r="D1858" s="113" t="str">
        <f>IFERROR(INDEX(Product_Structure[SuperCategory Name ENG],MATCH(Товары[[#This Row],[SubGroup]],Product_Structure[Subgroup],0)),"")</f>
        <v>Watering (mobile, sprinkler system&amp;MDS, Ponds)</v>
      </c>
      <c r="E1858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8" s="113" t="str">
        <f>IFERROR(INDEX(Product_Structure[Product group],MATCH(Товары[[#This Row],[SubGroup]],Product_Structure[Subgroup],0)),"")</f>
        <v>WSS_C</v>
      </c>
      <c r="G1858" s="113" t="str">
        <f>IFERROR(INDEX(Product_Structure[Product group name ENG],MATCH(Товары[[#This Row],[SubGroup]],Product_Structure[Subgroup],0)),"")</f>
        <v>Watering Systems Sprinklersystem, MDS, SP</v>
      </c>
      <c r="H1858" s="113" t="str">
        <f>IFERROR(INDEX(Product_Structure[Generic Name (long)3],MATCH(Товары[[#This Row],[SubGroup]],Product_Structure[Subgroup],0)),"")</f>
        <v>Система микрокапельного полива</v>
      </c>
      <c r="I1858" s="36">
        <v>9033</v>
      </c>
      <c r="J1858" s="36" t="str">
        <f>IFERROR(INDEX(Product_Structure[Generic Name (long)],MATCH(Товары[[#This Row],[SubGroup]],Product_Structure[Subgroup],0)),"")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Row],[SubGroup]],DIY!$B:$C,2,FALSE),0)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3" t="str">
        <f>IFERROR(INDEX(Product_Structure[SuperCategory],MATCH(Товары[[#This Row],[SubGroup]],Product_Structure[Subgroup],0)),"")</f>
        <v>W</v>
      </c>
      <c r="D1859" s="113" t="str">
        <f>IFERROR(INDEX(Product_Structure[SuperCategory Name ENG],MATCH(Товары[[#This Row],[SubGroup]],Product_Structure[Subgroup],0)),"")</f>
        <v>Watering (mobile, sprinkler system&amp;MDS, Ponds)</v>
      </c>
      <c r="E1859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59" s="113" t="str">
        <f>IFERROR(INDEX(Product_Structure[Product group],MATCH(Товары[[#This Row],[SubGroup]],Product_Structure[Subgroup],0)),"")</f>
        <v>WSS_C</v>
      </c>
      <c r="G1859" s="113" t="str">
        <f>IFERROR(INDEX(Product_Structure[Product group name ENG],MATCH(Товары[[#This Row],[SubGroup]],Product_Structure[Subgroup],0)),"")</f>
        <v>Watering Systems Sprinklersystem, MDS, SP</v>
      </c>
      <c r="H1859" s="113" t="str">
        <f>IFERROR(INDEX(Product_Structure[Generic Name (long)3],MATCH(Товары[[#This Row],[SubGroup]],Product_Structure[Subgroup],0)),"")</f>
        <v>Система микрокапельного полива</v>
      </c>
      <c r="I1859" s="36">
        <v>9033</v>
      </c>
      <c r="J1859" s="36" t="str">
        <f>IFERROR(INDEX(Product_Structure[Generic Name (long)],MATCH(Товары[[#This Row],[SubGroup]],Product_Structure[Subgroup],0)),"")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Row],[SubGroup]],DIY!$B:$C,2,FALSE),0)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3" t="str">
        <f>IFERROR(INDEX(Product_Structure[SuperCategory],MATCH(Товары[[#This Row],[SubGroup]],Product_Structure[Subgroup],0)),"")</f>
        <v>W</v>
      </c>
      <c r="D1860" s="113" t="str">
        <f>IFERROR(INDEX(Product_Structure[SuperCategory Name ENG],MATCH(Товары[[#This Row],[SubGroup]],Product_Structure[Subgroup],0)),"")</f>
        <v>Watering (mobile, sprinkler system&amp;MDS, Ponds)</v>
      </c>
      <c r="E1860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60" s="113" t="str">
        <f>IFERROR(INDEX(Product_Structure[Product group],MATCH(Товары[[#This Row],[SubGroup]],Product_Structure[Subgroup],0)),"")</f>
        <v>WSS_C</v>
      </c>
      <c r="G1860" s="113" t="str">
        <f>IFERROR(INDEX(Product_Structure[Product group name ENG],MATCH(Товары[[#This Row],[SubGroup]],Product_Structure[Subgroup],0)),"")</f>
        <v>Watering Systems Sprinklersystem, MDS, SP</v>
      </c>
      <c r="H1860" s="113" t="str">
        <f>IFERROR(INDEX(Product_Structure[Generic Name (long)3],MATCH(Товары[[#This Row],[SubGroup]],Product_Structure[Subgroup],0)),"")</f>
        <v>Система микрокапельного полива</v>
      </c>
      <c r="I1860" s="36">
        <v>9033</v>
      </c>
      <c r="J1860" s="36" t="str">
        <f>IFERROR(INDEX(Product_Structure[Generic Name (long)],MATCH(Товары[[#This Row],[SubGroup]],Product_Structure[Subgroup],0)),"")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Row],[SubGroup]],DIY!$B:$C,2,FALSE),0)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3" t="str">
        <f>IFERROR(INDEX(Product_Structure[SuperCategory],MATCH(Товары[[#This Row],[SubGroup]],Product_Structure[Subgroup],0)),"")</f>
        <v>W</v>
      </c>
      <c r="D1861" s="113" t="str">
        <f>IFERROR(INDEX(Product_Structure[SuperCategory Name ENG],MATCH(Товары[[#This Row],[SubGroup]],Product_Structure[Subgroup],0)),"")</f>
        <v>Watering (mobile, sprinkler system&amp;MDS, Ponds)</v>
      </c>
      <c r="E1861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61" s="113" t="str">
        <f>IFERROR(INDEX(Product_Structure[Product group],MATCH(Товары[[#This Row],[SubGroup]],Product_Structure[Subgroup],0)),"")</f>
        <v>WSS_C</v>
      </c>
      <c r="G1861" s="113" t="str">
        <f>IFERROR(INDEX(Product_Structure[Product group name ENG],MATCH(Товары[[#This Row],[SubGroup]],Product_Structure[Subgroup],0)),"")</f>
        <v>Watering Systems Sprinklersystem, MDS, SP</v>
      </c>
      <c r="H1861" s="113" t="str">
        <f>IFERROR(INDEX(Product_Structure[Generic Name (long)3],MATCH(Товары[[#This Row],[SubGroup]],Product_Structure[Subgroup],0)),"")</f>
        <v>Система микрокапельного полива</v>
      </c>
      <c r="I1861" s="36">
        <v>9033</v>
      </c>
      <c r="J1861" s="36" t="str">
        <f>IFERROR(INDEX(Product_Structure[Generic Name (long)],MATCH(Товары[[#This Row],[SubGroup]],Product_Structure[Subgroup],0)),"")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Row],[SubGroup]],DIY!$B:$C,2,FALSE),0)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3" t="str">
        <f>IFERROR(INDEX(Product_Structure[SuperCategory],MATCH(Товары[[#This Row],[SubGroup]],Product_Structure[Subgroup],0)),"")</f>
        <v>W</v>
      </c>
      <c r="D1862" s="113" t="str">
        <f>IFERROR(INDEX(Product_Structure[SuperCategory Name ENG],MATCH(Товары[[#This Row],[SubGroup]],Product_Structure[Subgroup],0)),"")</f>
        <v>Watering (mobile, sprinkler system&amp;MDS, Ponds)</v>
      </c>
      <c r="E1862" s="113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862" s="113" t="str">
        <f>IFERROR(INDEX(Product_Structure[Product group],MATCH(Товары[[#This Row],[SubGroup]],Product_Structure[Subgroup],0)),"")</f>
        <v>WSS_C</v>
      </c>
      <c r="G1862" s="113" t="str">
        <f>IFERROR(INDEX(Product_Structure[Product group name ENG],MATCH(Товары[[#This Row],[SubGroup]],Product_Structure[Subgroup],0)),"")</f>
        <v>Watering Systems Sprinklersystem, MDS, SP</v>
      </c>
      <c r="H1862" s="113" t="str">
        <f>IFERROR(INDEX(Product_Structure[Generic Name (long)3],MATCH(Товары[[#This Row],[SubGroup]],Product_Structure[Subgroup],0)),"")</f>
        <v>Система микрокапельного полива</v>
      </c>
      <c r="I1862" s="36">
        <v>9033</v>
      </c>
      <c r="J1862" s="36" t="str">
        <f>IFERROR(INDEX(Product_Structure[Generic Name (long)],MATCH(Товары[[#This Row],[SubGroup]],Product_Structure[Subgroup],0)),"")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Row],[SubGroup]],DIY!$B:$C,2,FALSE),0)</f>
        <v>0.30000000000000016</v>
      </c>
      <c r="AY1862" s="44">
        <v>0</v>
      </c>
    </row>
  </sheetData>
  <phoneticPr fontId="3" type="noConversion"/>
  <conditionalFormatting sqref="AW3:AW1862">
    <cfRule type="cellIs" dxfId="495" priority="8" operator="lessThanOrEqual">
      <formula>0.98</formula>
    </cfRule>
  </conditionalFormatting>
  <conditionalFormatting sqref="A3:AL1862">
    <cfRule type="expression" dxfId="18" priority="19">
      <formula>$AM3="Новинка следующего года"</formula>
    </cfRule>
    <cfRule type="expression" dxfId="17" priority="20">
      <formula>$AM3="Новинка текущего года"</formula>
    </cfRule>
    <cfRule type="expression" dxfId="16" priority="21">
      <formula>$AM3="Выведено из ассортимента текущего года"</formula>
    </cfRule>
  </conditionalFormatting>
  <conditionalFormatting sqref="AN3:AN1862">
    <cfRule type="expression" dxfId="12" priority="1">
      <formula>OR(AN3="Dealer",AN3="Regional",AN3="Online")</formula>
    </cfRule>
    <cfRule type="cellIs" dxfId="11" priority="2" operator="equal">
      <formula>"DIY канал"</formula>
    </cfRule>
    <cfRule type="cellIs" dxfId="10" priority="3" operator="equal">
      <formula>"ОБИ"</formula>
    </cfRule>
    <cfRule type="cellIs" dxfId="9" priority="4" operator="equal">
      <formula>"ЛЕРУА МЕРЛЕН"</formula>
    </cfRule>
  </conditionalFormatting>
  <conditionalFormatting sqref="AM3:AO1862">
    <cfRule type="expression" dxfId="8" priority="5">
      <formula>$AM3="Новинка следующего года"</formula>
    </cfRule>
    <cfRule type="expression" dxfId="7" priority="6">
      <formula>$AM3="Новинка текущего года"</formula>
    </cfRule>
    <cfRule type="expression" dxfId="6" priority="7">
      <formula>$AM3="Выведено из ассортимента текущего года"</formula>
    </cfRule>
  </conditionalFormatting>
  <dataValidations count="4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AO3:AO1862" xr:uid="{723B5C01-2E9F-4BEC-8F99-1C2E5B91FA1F}">
      <formula1>"Да, Нет"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A6" sqref="A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746"/>
  <sheetViews>
    <sheetView topLeftCell="A55" workbookViewId="0">
      <selection activeCell="F113" sqref="F113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1" customWidth="1"/>
  </cols>
  <sheetData>
    <row r="1" spans="1:6" ht="30" x14ac:dyDescent="0.25">
      <c r="A1" s="16" t="s">
        <v>0</v>
      </c>
      <c r="B1" s="15" t="s">
        <v>16</v>
      </c>
      <c r="C1" s="16" t="s">
        <v>28</v>
      </c>
      <c r="D1" s="16" t="s">
        <v>29</v>
      </c>
      <c r="E1" s="16" t="s">
        <v>30</v>
      </c>
      <c r="F1" s="17" t="s">
        <v>27</v>
      </c>
    </row>
    <row r="2" spans="1:6" x14ac:dyDescent="0.25">
      <c r="A2">
        <v>1</v>
      </c>
      <c r="B2" s="35" t="s">
        <v>3021</v>
      </c>
      <c r="D2">
        <v>659</v>
      </c>
      <c r="E2">
        <v>412</v>
      </c>
      <c r="F2" s="11">
        <v>43952</v>
      </c>
    </row>
    <row r="3" spans="1:6" x14ac:dyDescent="0.25">
      <c r="A3">
        <v>2</v>
      </c>
      <c r="B3" s="35" t="s">
        <v>1870</v>
      </c>
      <c r="D3">
        <v>6390</v>
      </c>
      <c r="E3">
        <v>3887</v>
      </c>
      <c r="F3" s="11">
        <v>43952</v>
      </c>
    </row>
    <row r="4" spans="1:6" x14ac:dyDescent="0.25">
      <c r="A4">
        <v>3</v>
      </c>
      <c r="B4" s="35" t="s">
        <v>1844</v>
      </c>
      <c r="D4">
        <v>990</v>
      </c>
      <c r="E4">
        <v>578</v>
      </c>
      <c r="F4" s="11">
        <v>43952</v>
      </c>
    </row>
    <row r="5" spans="1:6" x14ac:dyDescent="0.25">
      <c r="A5">
        <v>4</v>
      </c>
      <c r="B5" s="35" t="s">
        <v>1892</v>
      </c>
      <c r="D5">
        <v>2790</v>
      </c>
      <c r="E5">
        <v>1744</v>
      </c>
      <c r="F5" s="11">
        <v>43952</v>
      </c>
    </row>
    <row r="6" spans="1:6" x14ac:dyDescent="0.25">
      <c r="A6">
        <v>5</v>
      </c>
      <c r="B6" s="35" t="s">
        <v>1899</v>
      </c>
      <c r="D6">
        <v>5290</v>
      </c>
      <c r="E6">
        <v>3086</v>
      </c>
      <c r="F6" s="11">
        <v>43952</v>
      </c>
    </row>
    <row r="7" spans="1:6" x14ac:dyDescent="0.25">
      <c r="A7">
        <v>6</v>
      </c>
      <c r="B7" s="35" t="s">
        <v>1900</v>
      </c>
      <c r="D7">
        <v>4990</v>
      </c>
      <c r="E7">
        <v>2911</v>
      </c>
      <c r="F7" s="11">
        <v>43952</v>
      </c>
    </row>
    <row r="8" spans="1:6" x14ac:dyDescent="0.25">
      <c r="A8">
        <v>7</v>
      </c>
      <c r="B8" s="35" t="s">
        <v>1903</v>
      </c>
      <c r="D8">
        <v>5490</v>
      </c>
      <c r="E8">
        <v>3203</v>
      </c>
      <c r="F8" s="11">
        <v>43952</v>
      </c>
    </row>
    <row r="9" spans="1:6" x14ac:dyDescent="0.25">
      <c r="A9">
        <v>8</v>
      </c>
      <c r="B9" s="35" t="s">
        <v>1896</v>
      </c>
      <c r="D9">
        <v>3790</v>
      </c>
      <c r="E9">
        <v>2211</v>
      </c>
      <c r="F9" s="11">
        <v>43952</v>
      </c>
    </row>
    <row r="10" spans="1:6" x14ac:dyDescent="0.25">
      <c r="A10">
        <v>9</v>
      </c>
      <c r="B10" s="35" t="s">
        <v>1897</v>
      </c>
      <c r="D10">
        <v>3190</v>
      </c>
      <c r="E10">
        <v>1861</v>
      </c>
      <c r="F10" s="11">
        <v>43952</v>
      </c>
    </row>
    <row r="11" spans="1:6" x14ac:dyDescent="0.25">
      <c r="A11">
        <v>10</v>
      </c>
      <c r="B11" s="35" t="s">
        <v>1762</v>
      </c>
      <c r="D11">
        <v>3890</v>
      </c>
      <c r="E11">
        <v>2496</v>
      </c>
      <c r="F11" s="11">
        <v>43952</v>
      </c>
    </row>
    <row r="12" spans="1:6" x14ac:dyDescent="0.25">
      <c r="A12">
        <v>11</v>
      </c>
      <c r="B12" s="35" t="s">
        <v>1769</v>
      </c>
      <c r="D12">
        <v>1190</v>
      </c>
      <c r="E12">
        <v>694</v>
      </c>
      <c r="F12" s="11">
        <v>43952</v>
      </c>
    </row>
    <row r="13" spans="1:6" x14ac:dyDescent="0.25">
      <c r="A13">
        <v>12</v>
      </c>
      <c r="B13" s="35" t="s">
        <v>1770</v>
      </c>
      <c r="D13">
        <v>2290</v>
      </c>
      <c r="E13">
        <v>1336</v>
      </c>
      <c r="F13" s="11">
        <v>43952</v>
      </c>
    </row>
    <row r="14" spans="1:6" x14ac:dyDescent="0.25">
      <c r="A14">
        <v>13</v>
      </c>
      <c r="B14" s="35" t="s">
        <v>1771</v>
      </c>
      <c r="D14">
        <v>3099</v>
      </c>
      <c r="E14">
        <v>1808</v>
      </c>
      <c r="F14" s="11">
        <v>43952</v>
      </c>
    </row>
    <row r="15" spans="1:6" x14ac:dyDescent="0.25">
      <c r="A15">
        <v>14</v>
      </c>
      <c r="B15" s="35" t="s">
        <v>1772</v>
      </c>
      <c r="D15">
        <v>1190</v>
      </c>
      <c r="E15">
        <v>694</v>
      </c>
      <c r="F15" s="11">
        <v>43952</v>
      </c>
    </row>
    <row r="16" spans="1:6" x14ac:dyDescent="0.25">
      <c r="A16">
        <v>15</v>
      </c>
      <c r="B16" s="35" t="s">
        <v>1773</v>
      </c>
      <c r="D16">
        <v>2290</v>
      </c>
      <c r="E16">
        <v>1336</v>
      </c>
      <c r="F16" s="11">
        <v>43952</v>
      </c>
    </row>
    <row r="17" spans="1:6" x14ac:dyDescent="0.25">
      <c r="A17">
        <v>16</v>
      </c>
      <c r="B17" s="35" t="s">
        <v>1774</v>
      </c>
      <c r="D17">
        <v>3099</v>
      </c>
      <c r="E17">
        <v>1808</v>
      </c>
      <c r="F17" s="11">
        <v>43952</v>
      </c>
    </row>
    <row r="18" spans="1:6" x14ac:dyDescent="0.25">
      <c r="A18">
        <v>17</v>
      </c>
      <c r="B18" s="35" t="s">
        <v>1791</v>
      </c>
      <c r="D18">
        <v>959</v>
      </c>
      <c r="E18">
        <v>519</v>
      </c>
      <c r="F18" s="11">
        <v>43952</v>
      </c>
    </row>
    <row r="19" spans="1:6" x14ac:dyDescent="0.25">
      <c r="A19">
        <v>18</v>
      </c>
      <c r="B19" s="35" t="s">
        <v>1792</v>
      </c>
      <c r="D19">
        <v>959</v>
      </c>
      <c r="E19">
        <v>519</v>
      </c>
      <c r="F19" s="11">
        <v>43952</v>
      </c>
    </row>
    <row r="20" spans="1:6" x14ac:dyDescent="0.25">
      <c r="A20">
        <v>19</v>
      </c>
      <c r="B20" s="35" t="s">
        <v>1793</v>
      </c>
      <c r="D20">
        <v>1599</v>
      </c>
      <c r="E20">
        <v>866</v>
      </c>
      <c r="F20" s="11">
        <v>43952</v>
      </c>
    </row>
    <row r="21" spans="1:6" x14ac:dyDescent="0.25">
      <c r="A21">
        <v>20</v>
      </c>
      <c r="B21" s="35" t="s">
        <v>1787</v>
      </c>
      <c r="D21">
        <v>1599</v>
      </c>
      <c r="E21">
        <v>866</v>
      </c>
      <c r="F21" s="11">
        <v>43952</v>
      </c>
    </row>
    <row r="22" spans="1:6" x14ac:dyDescent="0.25">
      <c r="A22">
        <v>21</v>
      </c>
      <c r="B22" s="35" t="s">
        <v>1782</v>
      </c>
      <c r="D22">
        <v>2469</v>
      </c>
      <c r="E22">
        <v>1543</v>
      </c>
      <c r="F22" s="11">
        <v>43952</v>
      </c>
    </row>
    <row r="23" spans="1:6" x14ac:dyDescent="0.25">
      <c r="A23">
        <v>22</v>
      </c>
      <c r="B23" s="35" t="s">
        <v>1783</v>
      </c>
      <c r="D23">
        <v>2469</v>
      </c>
      <c r="E23">
        <v>1543</v>
      </c>
      <c r="F23" s="11">
        <v>43952</v>
      </c>
    </row>
    <row r="24" spans="1:6" x14ac:dyDescent="0.25">
      <c r="A24">
        <v>23</v>
      </c>
      <c r="B24" s="35" t="s">
        <v>1780</v>
      </c>
      <c r="D24">
        <v>6249</v>
      </c>
      <c r="E24">
        <v>3645</v>
      </c>
      <c r="F24" s="11">
        <v>43952</v>
      </c>
    </row>
    <row r="25" spans="1:6" x14ac:dyDescent="0.25">
      <c r="A25">
        <v>24</v>
      </c>
      <c r="B25" s="35" t="s">
        <v>1781</v>
      </c>
      <c r="D25">
        <v>7489</v>
      </c>
      <c r="E25">
        <v>4369</v>
      </c>
      <c r="F25" s="11">
        <v>43952</v>
      </c>
    </row>
    <row r="26" spans="1:6" x14ac:dyDescent="0.25">
      <c r="A26">
        <v>25</v>
      </c>
      <c r="B26" s="35" t="s">
        <v>1775</v>
      </c>
      <c r="D26">
        <v>11359</v>
      </c>
      <c r="E26">
        <v>6626</v>
      </c>
      <c r="F26" s="11">
        <v>43952</v>
      </c>
    </row>
    <row r="27" spans="1:6" x14ac:dyDescent="0.25">
      <c r="A27">
        <v>26</v>
      </c>
      <c r="B27" s="35" t="s">
        <v>1777</v>
      </c>
      <c r="D27">
        <v>1734</v>
      </c>
      <c r="E27">
        <v>982</v>
      </c>
      <c r="F27" s="11">
        <v>43952</v>
      </c>
    </row>
    <row r="28" spans="1:6" x14ac:dyDescent="0.25">
      <c r="A28">
        <v>27</v>
      </c>
      <c r="B28" s="35" t="s">
        <v>1778</v>
      </c>
      <c r="D28">
        <v>1061</v>
      </c>
      <c r="E28">
        <v>601</v>
      </c>
      <c r="F28" s="11">
        <v>43952</v>
      </c>
    </row>
    <row r="29" spans="1:6" x14ac:dyDescent="0.25">
      <c r="A29">
        <v>28</v>
      </c>
      <c r="B29" s="35" t="s">
        <v>1779</v>
      </c>
      <c r="D29">
        <v>3080</v>
      </c>
      <c r="E29">
        <v>1745</v>
      </c>
      <c r="F29" s="11">
        <v>43952</v>
      </c>
    </row>
    <row r="30" spans="1:6" x14ac:dyDescent="0.25">
      <c r="A30">
        <v>29</v>
      </c>
      <c r="B30" s="35" t="s">
        <v>2751</v>
      </c>
      <c r="D30">
        <v>1199</v>
      </c>
      <c r="E30">
        <v>729</v>
      </c>
      <c r="F30" s="11">
        <v>43952</v>
      </c>
    </row>
    <row r="31" spans="1:6" x14ac:dyDescent="0.25">
      <c r="A31">
        <v>30</v>
      </c>
      <c r="B31" s="35" t="s">
        <v>2740</v>
      </c>
      <c r="D31">
        <v>1309</v>
      </c>
      <c r="E31">
        <v>796</v>
      </c>
      <c r="F31" s="11">
        <v>43952</v>
      </c>
    </row>
    <row r="32" spans="1:6" x14ac:dyDescent="0.25">
      <c r="A32">
        <v>31</v>
      </c>
      <c r="B32" s="35" t="s">
        <v>3287</v>
      </c>
      <c r="D32">
        <v>2590</v>
      </c>
      <c r="E32">
        <v>1511</v>
      </c>
      <c r="F32" s="11">
        <v>43952</v>
      </c>
    </row>
    <row r="33" spans="1:6" x14ac:dyDescent="0.25">
      <c r="A33">
        <v>32</v>
      </c>
      <c r="B33" s="35" t="s">
        <v>3275</v>
      </c>
      <c r="D33">
        <v>1290</v>
      </c>
      <c r="E33">
        <v>753</v>
      </c>
      <c r="F33" s="11">
        <v>43952</v>
      </c>
    </row>
    <row r="34" spans="1:6" x14ac:dyDescent="0.25">
      <c r="A34">
        <v>33</v>
      </c>
      <c r="B34" s="35" t="s">
        <v>3276</v>
      </c>
      <c r="D34">
        <v>7590</v>
      </c>
      <c r="E34">
        <v>4428</v>
      </c>
      <c r="F34" s="11">
        <v>43952</v>
      </c>
    </row>
    <row r="35" spans="1:6" x14ac:dyDescent="0.25">
      <c r="A35">
        <v>34</v>
      </c>
      <c r="B35" s="35" t="s">
        <v>3277</v>
      </c>
      <c r="D35">
        <v>9590</v>
      </c>
      <c r="E35">
        <v>5594</v>
      </c>
      <c r="F35" s="11">
        <v>43952</v>
      </c>
    </row>
    <row r="36" spans="1:6" x14ac:dyDescent="0.25">
      <c r="A36">
        <v>35</v>
      </c>
      <c r="B36" s="35" t="s">
        <v>3304</v>
      </c>
      <c r="D36">
        <v>9390</v>
      </c>
      <c r="E36">
        <v>5478</v>
      </c>
      <c r="F36" s="11">
        <v>43952</v>
      </c>
    </row>
    <row r="37" spans="1:6" x14ac:dyDescent="0.25">
      <c r="A37">
        <v>36</v>
      </c>
      <c r="B37" s="35" t="s">
        <v>3278</v>
      </c>
      <c r="D37">
        <v>5490</v>
      </c>
      <c r="E37">
        <v>3203</v>
      </c>
      <c r="F37" s="11">
        <v>43952</v>
      </c>
    </row>
    <row r="38" spans="1:6" x14ac:dyDescent="0.25">
      <c r="A38">
        <v>37</v>
      </c>
      <c r="B38" s="35" t="s">
        <v>3279</v>
      </c>
      <c r="D38">
        <v>8190</v>
      </c>
      <c r="E38">
        <v>4778</v>
      </c>
      <c r="F38" s="11">
        <v>43952</v>
      </c>
    </row>
    <row r="39" spans="1:6" x14ac:dyDescent="0.25">
      <c r="A39">
        <v>38</v>
      </c>
      <c r="B39" s="35" t="s">
        <v>3280</v>
      </c>
      <c r="D39">
        <v>5490</v>
      </c>
      <c r="E39">
        <v>3203</v>
      </c>
      <c r="F39" s="11">
        <v>43952</v>
      </c>
    </row>
    <row r="40" spans="1:6" x14ac:dyDescent="0.25">
      <c r="A40">
        <v>39</v>
      </c>
      <c r="B40" s="35" t="s">
        <v>3281</v>
      </c>
      <c r="D40">
        <v>10490</v>
      </c>
      <c r="E40">
        <v>6119</v>
      </c>
      <c r="F40" s="11">
        <v>43952</v>
      </c>
    </row>
    <row r="41" spans="1:6" x14ac:dyDescent="0.25">
      <c r="A41">
        <v>40</v>
      </c>
      <c r="B41" s="35" t="s">
        <v>3305</v>
      </c>
      <c r="D41">
        <v>6990</v>
      </c>
      <c r="E41">
        <v>4078</v>
      </c>
      <c r="F41" s="11">
        <v>43952</v>
      </c>
    </row>
    <row r="42" spans="1:6" x14ac:dyDescent="0.25">
      <c r="A42">
        <v>41</v>
      </c>
      <c r="B42" s="35" t="s">
        <v>3283</v>
      </c>
      <c r="D42">
        <v>5290</v>
      </c>
      <c r="E42">
        <v>3086</v>
      </c>
      <c r="F42" s="11">
        <v>43952</v>
      </c>
    </row>
    <row r="43" spans="1:6" x14ac:dyDescent="0.25">
      <c r="A43">
        <v>42</v>
      </c>
      <c r="B43" s="35" t="s">
        <v>3284</v>
      </c>
      <c r="D43">
        <v>6290</v>
      </c>
      <c r="E43">
        <v>3669</v>
      </c>
      <c r="F43" s="11">
        <v>43952</v>
      </c>
    </row>
    <row r="44" spans="1:6" x14ac:dyDescent="0.25">
      <c r="A44">
        <v>43</v>
      </c>
      <c r="B44" s="35" t="s">
        <v>3285</v>
      </c>
      <c r="D44">
        <v>1990</v>
      </c>
      <c r="E44">
        <v>1161</v>
      </c>
      <c r="F44" s="11">
        <v>43952</v>
      </c>
    </row>
    <row r="45" spans="1:6" x14ac:dyDescent="0.25">
      <c r="A45">
        <v>44</v>
      </c>
      <c r="B45" s="35" t="s">
        <v>3286</v>
      </c>
      <c r="D45">
        <v>9890</v>
      </c>
      <c r="E45">
        <v>5769</v>
      </c>
      <c r="F45" s="11">
        <v>43952</v>
      </c>
    </row>
    <row r="46" spans="1:6" x14ac:dyDescent="0.25">
      <c r="A46">
        <v>45</v>
      </c>
      <c r="B46" s="35" t="s">
        <v>3441</v>
      </c>
      <c r="D46">
        <v>539</v>
      </c>
      <c r="E46">
        <v>314</v>
      </c>
      <c r="F46" s="11">
        <v>43952</v>
      </c>
    </row>
    <row r="47" spans="1:6" x14ac:dyDescent="0.25">
      <c r="A47">
        <v>46</v>
      </c>
      <c r="B47" s="35" t="s">
        <v>3453</v>
      </c>
      <c r="D47">
        <v>1199</v>
      </c>
      <c r="E47">
        <v>699</v>
      </c>
      <c r="F47" s="11">
        <v>43952</v>
      </c>
    </row>
    <row r="48" spans="1:6" x14ac:dyDescent="0.25">
      <c r="A48">
        <v>47</v>
      </c>
      <c r="B48" s="35" t="s">
        <v>3455</v>
      </c>
      <c r="D48">
        <v>1199</v>
      </c>
      <c r="E48">
        <v>699</v>
      </c>
      <c r="F48" s="11">
        <v>43952</v>
      </c>
    </row>
    <row r="49" spans="1:6" x14ac:dyDescent="0.25">
      <c r="A49">
        <v>48</v>
      </c>
      <c r="B49" s="35" t="s">
        <v>3467</v>
      </c>
      <c r="D49">
        <v>869</v>
      </c>
      <c r="E49">
        <v>507</v>
      </c>
      <c r="F49" s="11">
        <v>43952</v>
      </c>
    </row>
    <row r="50" spans="1:6" x14ac:dyDescent="0.25">
      <c r="A50">
        <v>49</v>
      </c>
      <c r="B50" s="35" t="s">
        <v>3421</v>
      </c>
      <c r="D50">
        <v>2959</v>
      </c>
      <c r="E50">
        <v>1726</v>
      </c>
      <c r="F50" s="11">
        <v>43952</v>
      </c>
    </row>
    <row r="51" spans="1:6" x14ac:dyDescent="0.25">
      <c r="A51">
        <v>50</v>
      </c>
      <c r="B51" s="35" t="s">
        <v>3422</v>
      </c>
      <c r="D51">
        <v>1859</v>
      </c>
      <c r="E51">
        <v>1084</v>
      </c>
      <c r="F51" s="11">
        <v>43952</v>
      </c>
    </row>
    <row r="52" spans="1:6" x14ac:dyDescent="0.25">
      <c r="A52">
        <v>51</v>
      </c>
      <c r="B52" s="35" t="s">
        <v>3476</v>
      </c>
      <c r="D52">
        <v>539</v>
      </c>
      <c r="E52">
        <v>314</v>
      </c>
      <c r="F52" s="11">
        <v>43952</v>
      </c>
    </row>
    <row r="53" spans="1:6" x14ac:dyDescent="0.25">
      <c r="A53">
        <v>52</v>
      </c>
      <c r="B53" s="35" t="s">
        <v>3485</v>
      </c>
      <c r="D53">
        <v>539</v>
      </c>
      <c r="E53">
        <v>314</v>
      </c>
      <c r="F53" s="11">
        <v>43952</v>
      </c>
    </row>
    <row r="54" spans="1:6" x14ac:dyDescent="0.25">
      <c r="A54">
        <v>53</v>
      </c>
      <c r="B54" s="35" t="s">
        <v>3486</v>
      </c>
      <c r="D54">
        <v>539</v>
      </c>
      <c r="E54">
        <v>314</v>
      </c>
      <c r="F54" s="11">
        <v>43952</v>
      </c>
    </row>
    <row r="55" spans="1:6" x14ac:dyDescent="0.25">
      <c r="A55">
        <v>54</v>
      </c>
      <c r="B55" s="35" t="s">
        <v>3477</v>
      </c>
      <c r="D55">
        <v>539</v>
      </c>
      <c r="E55">
        <v>314</v>
      </c>
      <c r="F55" s="11">
        <v>43952</v>
      </c>
    </row>
    <row r="56" spans="1:6" x14ac:dyDescent="0.25">
      <c r="A56">
        <v>55</v>
      </c>
      <c r="B56" s="35" t="s">
        <v>3479</v>
      </c>
      <c r="D56">
        <v>539</v>
      </c>
      <c r="E56">
        <v>314</v>
      </c>
      <c r="F56" s="11">
        <v>43952</v>
      </c>
    </row>
    <row r="57" spans="1:6" x14ac:dyDescent="0.25">
      <c r="A57">
        <v>56</v>
      </c>
      <c r="B57" s="35" t="s">
        <v>3480</v>
      </c>
      <c r="D57">
        <v>539</v>
      </c>
      <c r="E57">
        <v>314</v>
      </c>
      <c r="F57" s="11">
        <v>43952</v>
      </c>
    </row>
    <row r="58" spans="1:6" x14ac:dyDescent="0.25">
      <c r="A58">
        <v>57</v>
      </c>
      <c r="B58" s="35" t="s">
        <v>3482</v>
      </c>
      <c r="D58">
        <v>539</v>
      </c>
      <c r="E58">
        <v>314</v>
      </c>
      <c r="F58" s="11">
        <v>43952</v>
      </c>
    </row>
    <row r="59" spans="1:6" x14ac:dyDescent="0.25">
      <c r="A59">
        <v>58</v>
      </c>
      <c r="B59" s="35" t="s">
        <v>3346</v>
      </c>
      <c r="D59">
        <v>5159</v>
      </c>
      <c r="E59">
        <v>3224</v>
      </c>
      <c r="F59" s="11">
        <v>43952</v>
      </c>
    </row>
    <row r="60" spans="1:6" x14ac:dyDescent="0.25">
      <c r="A60">
        <v>59</v>
      </c>
      <c r="B60" s="35" t="s">
        <v>3424</v>
      </c>
      <c r="D60">
        <v>1089</v>
      </c>
      <c r="E60">
        <v>635</v>
      </c>
      <c r="F60" s="11">
        <v>43952</v>
      </c>
    </row>
    <row r="61" spans="1:6" x14ac:dyDescent="0.25">
      <c r="A61">
        <v>60</v>
      </c>
      <c r="B61" s="35" t="s">
        <v>3452</v>
      </c>
      <c r="D61">
        <v>979</v>
      </c>
      <c r="E61">
        <v>571</v>
      </c>
      <c r="F61" s="11">
        <v>43952</v>
      </c>
    </row>
    <row r="62" spans="1:6" x14ac:dyDescent="0.25">
      <c r="A62">
        <v>61</v>
      </c>
      <c r="B62" s="35" t="s">
        <v>3483</v>
      </c>
      <c r="D62">
        <v>649</v>
      </c>
      <c r="E62">
        <v>379</v>
      </c>
      <c r="F62" s="11">
        <v>43952</v>
      </c>
    </row>
    <row r="63" spans="1:6" x14ac:dyDescent="0.25">
      <c r="A63">
        <v>62</v>
      </c>
      <c r="B63" s="35" t="s">
        <v>3252</v>
      </c>
      <c r="D63">
        <v>19390</v>
      </c>
      <c r="E63">
        <v>11964</v>
      </c>
      <c r="F63" s="11">
        <v>43952</v>
      </c>
    </row>
    <row r="64" spans="1:6" x14ac:dyDescent="0.25">
      <c r="A64">
        <v>63</v>
      </c>
      <c r="B64" s="35" t="s">
        <v>3168</v>
      </c>
      <c r="D64">
        <v>36890</v>
      </c>
      <c r="E64">
        <v>22169</v>
      </c>
      <c r="F64" s="11">
        <v>43952</v>
      </c>
    </row>
    <row r="65" spans="1:6" x14ac:dyDescent="0.25">
      <c r="A65">
        <v>64</v>
      </c>
      <c r="B65" s="35" t="s">
        <v>3169</v>
      </c>
      <c r="D65">
        <v>30790</v>
      </c>
      <c r="E65">
        <v>19736</v>
      </c>
      <c r="F65" s="11">
        <v>43952</v>
      </c>
    </row>
    <row r="66" spans="1:6" x14ac:dyDescent="0.25">
      <c r="A66">
        <v>65</v>
      </c>
      <c r="B66" s="35" t="s">
        <v>3171</v>
      </c>
      <c r="D66">
        <v>34890</v>
      </c>
      <c r="E66">
        <v>22388</v>
      </c>
      <c r="F66" s="11">
        <v>43952</v>
      </c>
    </row>
    <row r="67" spans="1:6" x14ac:dyDescent="0.25">
      <c r="A67">
        <v>66</v>
      </c>
      <c r="B67" s="35" t="s">
        <v>3417</v>
      </c>
      <c r="D67">
        <v>2131</v>
      </c>
      <c r="E67">
        <v>1243</v>
      </c>
      <c r="F67" s="11">
        <v>43952</v>
      </c>
    </row>
    <row r="68" spans="1:6" x14ac:dyDescent="0.25">
      <c r="A68">
        <v>67</v>
      </c>
      <c r="B68" s="35" t="s">
        <v>3379</v>
      </c>
      <c r="D68">
        <v>979</v>
      </c>
      <c r="E68">
        <v>571</v>
      </c>
      <c r="F68" s="11">
        <v>43952</v>
      </c>
    </row>
    <row r="69" spans="1:6" x14ac:dyDescent="0.25">
      <c r="A69">
        <v>68</v>
      </c>
      <c r="B69" s="35" t="s">
        <v>3380</v>
      </c>
      <c r="D69">
        <v>979</v>
      </c>
      <c r="E69">
        <v>571</v>
      </c>
      <c r="F69" s="11">
        <v>43952</v>
      </c>
    </row>
    <row r="70" spans="1:6" x14ac:dyDescent="0.25">
      <c r="A70">
        <v>69</v>
      </c>
      <c r="B70" s="35" t="s">
        <v>3381</v>
      </c>
      <c r="D70">
        <v>979</v>
      </c>
      <c r="E70">
        <v>571</v>
      </c>
      <c r="F70" s="11">
        <v>43952</v>
      </c>
    </row>
    <row r="71" spans="1:6" x14ac:dyDescent="0.25">
      <c r="A71">
        <v>70</v>
      </c>
      <c r="B71" s="35" t="s">
        <v>3382</v>
      </c>
      <c r="D71">
        <v>979</v>
      </c>
      <c r="E71">
        <v>571</v>
      </c>
      <c r="F71" s="11">
        <v>43952</v>
      </c>
    </row>
    <row r="72" spans="1:6" x14ac:dyDescent="0.25">
      <c r="A72">
        <v>71</v>
      </c>
      <c r="B72" s="35" t="s">
        <v>3375</v>
      </c>
      <c r="D72">
        <v>2629</v>
      </c>
      <c r="E72">
        <v>1534</v>
      </c>
      <c r="F72" s="11">
        <v>43952</v>
      </c>
    </row>
    <row r="73" spans="1:6" x14ac:dyDescent="0.25">
      <c r="A73">
        <v>72</v>
      </c>
      <c r="B73" s="35" t="s">
        <v>3378</v>
      </c>
      <c r="D73">
        <v>979</v>
      </c>
      <c r="E73">
        <v>571</v>
      </c>
      <c r="F73" s="11">
        <v>43952</v>
      </c>
    </row>
    <row r="74" spans="1:6" x14ac:dyDescent="0.25">
      <c r="A74">
        <v>73</v>
      </c>
      <c r="B74" s="35" t="s">
        <v>3176</v>
      </c>
      <c r="D74">
        <v>8990</v>
      </c>
      <c r="E74">
        <v>5835</v>
      </c>
      <c r="F74" s="11">
        <v>43952</v>
      </c>
    </row>
    <row r="75" spans="1:6" x14ac:dyDescent="0.25">
      <c r="A75">
        <v>74</v>
      </c>
      <c r="B75" s="35" t="s">
        <v>3177</v>
      </c>
      <c r="D75">
        <v>9790</v>
      </c>
      <c r="E75">
        <v>6276</v>
      </c>
      <c r="F75" s="11">
        <v>43952</v>
      </c>
    </row>
    <row r="76" spans="1:6" x14ac:dyDescent="0.25">
      <c r="A76">
        <v>75</v>
      </c>
      <c r="B76" s="35" t="s">
        <v>3179</v>
      </c>
      <c r="D76">
        <v>10790</v>
      </c>
      <c r="E76">
        <v>6917</v>
      </c>
      <c r="F76" s="11">
        <v>43952</v>
      </c>
    </row>
    <row r="77" spans="1:6" x14ac:dyDescent="0.25">
      <c r="A77">
        <v>76</v>
      </c>
      <c r="B77" s="35" t="s">
        <v>3053</v>
      </c>
      <c r="D77">
        <v>539</v>
      </c>
      <c r="E77">
        <v>294</v>
      </c>
      <c r="F77" s="11">
        <v>43952</v>
      </c>
    </row>
    <row r="78" spans="1:6" x14ac:dyDescent="0.25">
      <c r="A78">
        <v>77</v>
      </c>
      <c r="B78" s="35" t="s">
        <v>3054</v>
      </c>
      <c r="D78">
        <v>539</v>
      </c>
      <c r="E78">
        <v>294</v>
      </c>
      <c r="F78" s="11">
        <v>43952</v>
      </c>
    </row>
    <row r="79" spans="1:6" x14ac:dyDescent="0.25">
      <c r="A79">
        <v>78</v>
      </c>
      <c r="B79" s="35" t="s">
        <v>3190</v>
      </c>
      <c r="D79">
        <v>14790</v>
      </c>
      <c r="E79">
        <v>9481</v>
      </c>
      <c r="F79" s="11">
        <v>43952</v>
      </c>
    </row>
    <row r="80" spans="1:6" x14ac:dyDescent="0.25">
      <c r="A80">
        <v>79</v>
      </c>
      <c r="B80" s="35" t="s">
        <v>3191</v>
      </c>
      <c r="D80">
        <v>18090</v>
      </c>
      <c r="E80">
        <v>11596</v>
      </c>
      <c r="F80" s="11">
        <v>43952</v>
      </c>
    </row>
    <row r="81" spans="1:6" x14ac:dyDescent="0.25">
      <c r="A81">
        <v>80</v>
      </c>
      <c r="B81" s="35" t="s">
        <v>3192</v>
      </c>
      <c r="D81">
        <v>23190</v>
      </c>
      <c r="E81">
        <v>14865</v>
      </c>
      <c r="F81" s="11">
        <v>43952</v>
      </c>
    </row>
    <row r="82" spans="1:6" x14ac:dyDescent="0.25">
      <c r="A82">
        <v>81</v>
      </c>
      <c r="B82" s="35" t="s">
        <v>3255</v>
      </c>
      <c r="D82">
        <v>9190</v>
      </c>
      <c r="E82">
        <v>5670</v>
      </c>
      <c r="F82" s="11">
        <v>43952</v>
      </c>
    </row>
    <row r="83" spans="1:6" x14ac:dyDescent="0.25">
      <c r="A83">
        <v>82</v>
      </c>
      <c r="B83" s="35" t="s">
        <v>3256</v>
      </c>
      <c r="D83">
        <v>7919</v>
      </c>
      <c r="E83">
        <v>4953</v>
      </c>
      <c r="F83" s="11">
        <v>43952</v>
      </c>
    </row>
    <row r="84" spans="1:6" x14ac:dyDescent="0.25">
      <c r="A84">
        <v>83</v>
      </c>
      <c r="B84" s="35" t="s">
        <v>3257</v>
      </c>
      <c r="D84">
        <v>12890</v>
      </c>
      <c r="E84">
        <v>7953</v>
      </c>
      <c r="F84" s="11">
        <v>43952</v>
      </c>
    </row>
    <row r="85" spans="1:6" x14ac:dyDescent="0.25">
      <c r="A85">
        <v>84</v>
      </c>
      <c r="B85" s="35" t="s">
        <v>3051</v>
      </c>
      <c r="D85">
        <v>11590</v>
      </c>
      <c r="E85">
        <v>6886</v>
      </c>
      <c r="F85" s="11">
        <v>43952</v>
      </c>
    </row>
    <row r="86" spans="1:6" x14ac:dyDescent="0.25">
      <c r="A86">
        <v>85</v>
      </c>
      <c r="B86" s="35" t="s">
        <v>3199</v>
      </c>
      <c r="D86">
        <v>15390</v>
      </c>
      <c r="E86">
        <v>9143</v>
      </c>
      <c r="F86" s="11">
        <v>43952</v>
      </c>
    </row>
    <row r="87" spans="1:6" x14ac:dyDescent="0.25">
      <c r="A87">
        <v>86</v>
      </c>
      <c r="B87" s="35" t="s">
        <v>3200</v>
      </c>
      <c r="D87">
        <v>22090</v>
      </c>
      <c r="E87">
        <v>13124</v>
      </c>
      <c r="F87" s="11">
        <v>43952</v>
      </c>
    </row>
    <row r="88" spans="1:6" x14ac:dyDescent="0.25">
      <c r="A88">
        <v>87</v>
      </c>
      <c r="B88" s="35" t="s">
        <v>3201</v>
      </c>
      <c r="D88">
        <v>26490</v>
      </c>
      <c r="E88">
        <v>15531</v>
      </c>
      <c r="F88" s="11">
        <v>43952</v>
      </c>
    </row>
    <row r="89" spans="1:6" x14ac:dyDescent="0.25">
      <c r="A89">
        <v>88</v>
      </c>
      <c r="B89" s="35" t="s">
        <v>3202</v>
      </c>
      <c r="D89">
        <v>30190</v>
      </c>
      <c r="E89">
        <v>17701</v>
      </c>
      <c r="F89" s="11">
        <v>43952</v>
      </c>
    </row>
    <row r="90" spans="1:6" x14ac:dyDescent="0.25">
      <c r="A90">
        <v>89</v>
      </c>
      <c r="B90" s="35" t="s">
        <v>3258</v>
      </c>
      <c r="D90">
        <v>17090</v>
      </c>
      <c r="E90">
        <v>10421</v>
      </c>
      <c r="F90" s="11">
        <v>43952</v>
      </c>
    </row>
    <row r="91" spans="1:6" x14ac:dyDescent="0.25">
      <c r="A91">
        <v>90</v>
      </c>
      <c r="B91" s="35" t="s">
        <v>3203</v>
      </c>
      <c r="D91">
        <v>21490</v>
      </c>
      <c r="E91">
        <v>13104</v>
      </c>
      <c r="F91" s="11">
        <v>43952</v>
      </c>
    </row>
    <row r="92" spans="1:6" x14ac:dyDescent="0.25">
      <c r="A92">
        <v>91</v>
      </c>
      <c r="B92" s="35" t="s">
        <v>3205</v>
      </c>
      <c r="D92">
        <v>26390</v>
      </c>
      <c r="E92">
        <v>15473</v>
      </c>
      <c r="F92" s="11">
        <v>43952</v>
      </c>
    </row>
    <row r="93" spans="1:6" x14ac:dyDescent="0.25">
      <c r="A93">
        <v>92</v>
      </c>
      <c r="B93" s="35" t="s">
        <v>3206</v>
      </c>
      <c r="D93">
        <v>32190</v>
      </c>
      <c r="E93">
        <v>18873</v>
      </c>
      <c r="F93" s="11">
        <v>43952</v>
      </c>
    </row>
    <row r="94" spans="1:6" x14ac:dyDescent="0.25">
      <c r="A94">
        <v>93</v>
      </c>
      <c r="B94" s="35" t="s">
        <v>3213</v>
      </c>
      <c r="D94">
        <v>9090</v>
      </c>
      <c r="E94">
        <v>5542</v>
      </c>
      <c r="F94" s="11">
        <v>43952</v>
      </c>
    </row>
    <row r="95" spans="1:6" x14ac:dyDescent="0.25">
      <c r="A95">
        <v>94</v>
      </c>
      <c r="B95" s="35" t="s">
        <v>3216</v>
      </c>
      <c r="D95">
        <v>15990</v>
      </c>
      <c r="E95">
        <v>9375</v>
      </c>
      <c r="F95" s="11">
        <v>43952</v>
      </c>
    </row>
    <row r="96" spans="1:6" x14ac:dyDescent="0.25">
      <c r="A96">
        <v>95</v>
      </c>
      <c r="B96" s="35" t="s">
        <v>3217</v>
      </c>
      <c r="D96">
        <v>19790</v>
      </c>
      <c r="E96">
        <v>11602</v>
      </c>
      <c r="F96" s="11">
        <v>43952</v>
      </c>
    </row>
    <row r="97" spans="1:6" x14ac:dyDescent="0.25">
      <c r="A97">
        <v>96</v>
      </c>
      <c r="B97" s="35" t="s">
        <v>3218</v>
      </c>
      <c r="D97">
        <v>9990</v>
      </c>
      <c r="E97">
        <v>6091</v>
      </c>
      <c r="F97" s="11">
        <v>43952</v>
      </c>
    </row>
    <row r="98" spans="1:6" x14ac:dyDescent="0.25">
      <c r="A98">
        <v>97</v>
      </c>
      <c r="B98" s="35" t="s">
        <v>3219</v>
      </c>
      <c r="D98">
        <v>14090</v>
      </c>
      <c r="E98">
        <v>8261</v>
      </c>
      <c r="F98" s="11">
        <v>43952</v>
      </c>
    </row>
    <row r="99" spans="1:6" x14ac:dyDescent="0.25">
      <c r="A99">
        <v>98</v>
      </c>
      <c r="B99" s="35" t="s">
        <v>3220</v>
      </c>
      <c r="D99">
        <v>16590</v>
      </c>
      <c r="E99">
        <v>9726</v>
      </c>
      <c r="F99" s="11">
        <v>43952</v>
      </c>
    </row>
    <row r="100" spans="1:6" x14ac:dyDescent="0.25">
      <c r="A100">
        <v>99</v>
      </c>
      <c r="B100" s="35" t="s">
        <v>3221</v>
      </c>
      <c r="D100">
        <v>20690</v>
      </c>
      <c r="E100">
        <v>12130</v>
      </c>
      <c r="F100" s="11">
        <v>43952</v>
      </c>
    </row>
    <row r="101" spans="1:6" x14ac:dyDescent="0.25">
      <c r="A101">
        <v>100</v>
      </c>
      <c r="B101" s="35" t="s">
        <v>3288</v>
      </c>
      <c r="D101">
        <v>13790</v>
      </c>
      <c r="E101">
        <v>8044</v>
      </c>
      <c r="F101" s="11">
        <v>43952</v>
      </c>
    </row>
    <row r="102" spans="1:6" x14ac:dyDescent="0.25">
      <c r="A102">
        <v>101</v>
      </c>
      <c r="B102" s="35" t="s">
        <v>2913</v>
      </c>
      <c r="D102">
        <v>2290</v>
      </c>
      <c r="E102">
        <v>1336</v>
      </c>
      <c r="F102" s="11">
        <v>43952</v>
      </c>
    </row>
    <row r="103" spans="1:6" x14ac:dyDescent="0.25">
      <c r="A103">
        <v>102</v>
      </c>
      <c r="B103" s="35" t="s">
        <v>2916</v>
      </c>
      <c r="D103">
        <v>1290</v>
      </c>
      <c r="E103">
        <v>753</v>
      </c>
      <c r="F103" s="11">
        <v>43952</v>
      </c>
    </row>
    <row r="104" spans="1:6" x14ac:dyDescent="0.25">
      <c r="A104">
        <v>103</v>
      </c>
      <c r="B104" s="35" t="s">
        <v>2942</v>
      </c>
      <c r="D104">
        <v>2490</v>
      </c>
      <c r="E104">
        <v>1536</v>
      </c>
      <c r="F104" s="11">
        <v>43952</v>
      </c>
    </row>
    <row r="105" spans="1:6" x14ac:dyDescent="0.25">
      <c r="A105">
        <v>104</v>
      </c>
      <c r="B105" s="35" t="s">
        <v>2945</v>
      </c>
      <c r="D105">
        <v>3890</v>
      </c>
      <c r="E105">
        <v>2399</v>
      </c>
      <c r="F105" s="11">
        <v>43952</v>
      </c>
    </row>
    <row r="106" spans="1:6" x14ac:dyDescent="0.25">
      <c r="A106">
        <v>105</v>
      </c>
      <c r="B106" s="35" t="s">
        <v>2925</v>
      </c>
      <c r="D106">
        <v>3290</v>
      </c>
      <c r="E106">
        <v>1919</v>
      </c>
      <c r="F106" s="11">
        <v>43952</v>
      </c>
    </row>
    <row r="107" spans="1:6" x14ac:dyDescent="0.25">
      <c r="A107">
        <v>106</v>
      </c>
      <c r="B107" s="35" t="s">
        <v>2926</v>
      </c>
      <c r="D107">
        <v>3790</v>
      </c>
      <c r="E107">
        <v>2212</v>
      </c>
      <c r="F107" s="11">
        <v>43952</v>
      </c>
    </row>
    <row r="108" spans="1:6" x14ac:dyDescent="0.25">
      <c r="A108">
        <v>107</v>
      </c>
      <c r="B108" s="35" t="s">
        <v>2927</v>
      </c>
      <c r="D108">
        <v>4890</v>
      </c>
      <c r="E108">
        <v>2853</v>
      </c>
      <c r="F108" s="11">
        <v>43952</v>
      </c>
    </row>
    <row r="109" spans="1:6" x14ac:dyDescent="0.25">
      <c r="A109">
        <v>108</v>
      </c>
      <c r="B109" s="35" t="s">
        <v>2924</v>
      </c>
      <c r="D109">
        <v>6290</v>
      </c>
      <c r="E109">
        <v>3670</v>
      </c>
      <c r="F109" s="11">
        <v>43952</v>
      </c>
    </row>
    <row r="110" spans="1:6" x14ac:dyDescent="0.25">
      <c r="A110">
        <v>109</v>
      </c>
      <c r="B110" s="35" t="s">
        <v>2943</v>
      </c>
      <c r="D110">
        <v>199</v>
      </c>
      <c r="E110">
        <v>123</v>
      </c>
      <c r="F110" s="11">
        <v>43952</v>
      </c>
    </row>
    <row r="111" spans="1:6" x14ac:dyDescent="0.25">
      <c r="A111">
        <v>110</v>
      </c>
      <c r="B111" s="35" t="s">
        <v>2944</v>
      </c>
      <c r="D111">
        <v>1390</v>
      </c>
      <c r="E111">
        <v>857</v>
      </c>
      <c r="F111" s="11">
        <v>43952</v>
      </c>
    </row>
    <row r="112" spans="1:6" x14ac:dyDescent="0.25">
      <c r="A112">
        <v>111</v>
      </c>
      <c r="B112" s="35" t="s">
        <v>2952</v>
      </c>
      <c r="D112">
        <v>2790</v>
      </c>
      <c r="E112">
        <v>1721</v>
      </c>
      <c r="F112" s="11">
        <v>43952</v>
      </c>
    </row>
    <row r="113" spans="1:6" x14ac:dyDescent="0.25">
      <c r="A113">
        <v>112</v>
      </c>
      <c r="B113" s="35" t="s">
        <v>2949</v>
      </c>
      <c r="D113">
        <v>4290</v>
      </c>
      <c r="E113">
        <v>2646</v>
      </c>
      <c r="F113" s="11">
        <v>43952</v>
      </c>
    </row>
    <row r="114" spans="1:6" x14ac:dyDescent="0.25">
      <c r="A114">
        <v>113</v>
      </c>
      <c r="B114" s="35" t="s">
        <v>2906</v>
      </c>
      <c r="D114">
        <v>2690</v>
      </c>
      <c r="E114">
        <v>1569</v>
      </c>
      <c r="F114" s="11">
        <v>43952</v>
      </c>
    </row>
    <row r="115" spans="1:6" x14ac:dyDescent="0.25">
      <c r="A115">
        <v>114</v>
      </c>
      <c r="B115" s="35" t="s">
        <v>2907</v>
      </c>
      <c r="D115">
        <v>3690</v>
      </c>
      <c r="E115">
        <v>2153</v>
      </c>
      <c r="F115" s="11">
        <v>43952</v>
      </c>
    </row>
    <row r="116" spans="1:6" x14ac:dyDescent="0.25">
      <c r="A116">
        <v>115</v>
      </c>
      <c r="B116" s="35" t="s">
        <v>2910</v>
      </c>
      <c r="D116">
        <v>2090</v>
      </c>
      <c r="E116">
        <v>1219</v>
      </c>
      <c r="F116" s="11">
        <v>43952</v>
      </c>
    </row>
    <row r="117" spans="1:6" x14ac:dyDescent="0.25">
      <c r="A117">
        <v>116</v>
      </c>
      <c r="B117" s="35" t="s">
        <v>2936</v>
      </c>
      <c r="D117">
        <v>2190</v>
      </c>
      <c r="E117">
        <v>1278</v>
      </c>
      <c r="F117" s="11">
        <v>43952</v>
      </c>
    </row>
    <row r="118" spans="1:6" x14ac:dyDescent="0.25">
      <c r="A118">
        <v>117</v>
      </c>
      <c r="B118" s="35" t="s">
        <v>2934</v>
      </c>
      <c r="D118">
        <v>3390</v>
      </c>
      <c r="E118">
        <v>1979</v>
      </c>
      <c r="F118" s="11">
        <v>43952</v>
      </c>
    </row>
    <row r="119" spans="1:6" x14ac:dyDescent="0.25">
      <c r="A119">
        <v>118</v>
      </c>
      <c r="B119" s="35" t="s">
        <v>2984</v>
      </c>
      <c r="D119">
        <v>24190</v>
      </c>
      <c r="E119">
        <v>15119</v>
      </c>
      <c r="F119" s="11">
        <v>43952</v>
      </c>
    </row>
    <row r="120" spans="1:6" x14ac:dyDescent="0.25">
      <c r="A120">
        <v>119</v>
      </c>
      <c r="B120" s="35" t="s">
        <v>2977</v>
      </c>
      <c r="D120">
        <v>4390</v>
      </c>
      <c r="E120">
        <v>2744</v>
      </c>
      <c r="F120" s="11">
        <v>43952</v>
      </c>
    </row>
    <row r="121" spans="1:6" x14ac:dyDescent="0.25">
      <c r="A121">
        <v>120</v>
      </c>
      <c r="B121" s="35" t="s">
        <v>3411</v>
      </c>
      <c r="D121">
        <v>2959</v>
      </c>
      <c r="E121">
        <v>1726</v>
      </c>
      <c r="F121" s="11">
        <v>43952</v>
      </c>
    </row>
    <row r="122" spans="1:6" x14ac:dyDescent="0.25">
      <c r="A122">
        <v>121</v>
      </c>
      <c r="B122" s="35" t="s">
        <v>3415</v>
      </c>
      <c r="D122">
        <v>3729</v>
      </c>
      <c r="E122">
        <v>2175</v>
      </c>
      <c r="F122" s="11">
        <v>43952</v>
      </c>
    </row>
    <row r="123" spans="1:6" x14ac:dyDescent="0.25">
      <c r="A123">
        <v>122</v>
      </c>
      <c r="B123" s="35" t="s">
        <v>3402</v>
      </c>
      <c r="D123">
        <v>1089</v>
      </c>
      <c r="E123">
        <v>635</v>
      </c>
      <c r="F123" s="11">
        <v>43952</v>
      </c>
    </row>
    <row r="124" spans="1:6" x14ac:dyDescent="0.25">
      <c r="A124">
        <v>123</v>
      </c>
      <c r="B124" s="35" t="s">
        <v>3403</v>
      </c>
      <c r="D124">
        <v>1089</v>
      </c>
      <c r="E124">
        <v>635</v>
      </c>
      <c r="F124" s="11">
        <v>43952</v>
      </c>
    </row>
    <row r="125" spans="1:6" x14ac:dyDescent="0.25">
      <c r="A125">
        <v>124</v>
      </c>
      <c r="B125" s="35" t="s">
        <v>3404</v>
      </c>
      <c r="D125">
        <v>209</v>
      </c>
      <c r="E125">
        <v>122</v>
      </c>
      <c r="F125" s="11">
        <v>43952</v>
      </c>
    </row>
    <row r="126" spans="1:6" x14ac:dyDescent="0.25">
      <c r="A126">
        <v>125</v>
      </c>
      <c r="B126" s="35" t="s">
        <v>3405</v>
      </c>
      <c r="D126">
        <v>209</v>
      </c>
      <c r="E126">
        <v>122</v>
      </c>
      <c r="F126" s="11">
        <v>43952</v>
      </c>
    </row>
    <row r="127" spans="1:6" x14ac:dyDescent="0.25">
      <c r="A127">
        <v>126</v>
      </c>
      <c r="B127" s="35" t="s">
        <v>3347</v>
      </c>
      <c r="D127">
        <v>1529</v>
      </c>
      <c r="E127">
        <v>892</v>
      </c>
      <c r="F127" s="11">
        <v>43952</v>
      </c>
    </row>
    <row r="128" spans="1:6" x14ac:dyDescent="0.25">
      <c r="A128">
        <v>127</v>
      </c>
      <c r="B128" s="35" t="s">
        <v>3348</v>
      </c>
      <c r="D128">
        <v>869</v>
      </c>
      <c r="E128">
        <v>507</v>
      </c>
      <c r="F128" s="11">
        <v>43952</v>
      </c>
    </row>
    <row r="129" spans="1:6" x14ac:dyDescent="0.25">
      <c r="A129">
        <v>128</v>
      </c>
      <c r="B129" s="35" t="s">
        <v>3350</v>
      </c>
      <c r="D129">
        <v>869</v>
      </c>
      <c r="E129">
        <v>507</v>
      </c>
      <c r="F129" s="11">
        <v>43952</v>
      </c>
    </row>
    <row r="130" spans="1:6" x14ac:dyDescent="0.25">
      <c r="A130">
        <v>129</v>
      </c>
      <c r="B130" s="35" t="s">
        <v>3351</v>
      </c>
      <c r="D130">
        <v>319</v>
      </c>
      <c r="E130">
        <v>186</v>
      </c>
      <c r="F130" s="11">
        <v>43952</v>
      </c>
    </row>
    <row r="131" spans="1:6" x14ac:dyDescent="0.25">
      <c r="A131">
        <v>130</v>
      </c>
      <c r="B131" s="35" t="s">
        <v>3352</v>
      </c>
      <c r="D131">
        <v>319</v>
      </c>
      <c r="E131">
        <v>186</v>
      </c>
      <c r="F131" s="11">
        <v>43952</v>
      </c>
    </row>
    <row r="132" spans="1:6" x14ac:dyDescent="0.25">
      <c r="A132">
        <v>131</v>
      </c>
      <c r="B132" s="35" t="s">
        <v>3349</v>
      </c>
      <c r="D132">
        <v>759</v>
      </c>
      <c r="E132">
        <v>443</v>
      </c>
      <c r="F132" s="11">
        <v>43952</v>
      </c>
    </row>
    <row r="133" spans="1:6" x14ac:dyDescent="0.25">
      <c r="A133">
        <v>132</v>
      </c>
      <c r="B133" s="35" t="s">
        <v>3353</v>
      </c>
      <c r="D133">
        <v>319</v>
      </c>
      <c r="E133">
        <v>186</v>
      </c>
      <c r="F133" s="11">
        <v>43952</v>
      </c>
    </row>
    <row r="134" spans="1:6" x14ac:dyDescent="0.25">
      <c r="A134">
        <v>133</v>
      </c>
      <c r="B134" s="35" t="s">
        <v>3409</v>
      </c>
      <c r="D134">
        <v>1419</v>
      </c>
      <c r="E134">
        <v>828</v>
      </c>
      <c r="F134" s="11">
        <v>43952</v>
      </c>
    </row>
    <row r="135" spans="1:6" x14ac:dyDescent="0.25">
      <c r="A135">
        <v>134</v>
      </c>
      <c r="B135" s="35" t="s">
        <v>3395</v>
      </c>
      <c r="D135">
        <v>429</v>
      </c>
      <c r="E135">
        <v>250</v>
      </c>
      <c r="F135" s="11">
        <v>43952</v>
      </c>
    </row>
    <row r="136" spans="1:6" x14ac:dyDescent="0.25">
      <c r="A136">
        <v>135</v>
      </c>
      <c r="B136" s="35" t="s">
        <v>3396</v>
      </c>
      <c r="D136">
        <v>429</v>
      </c>
      <c r="E136">
        <v>250</v>
      </c>
      <c r="F136" s="11">
        <v>43952</v>
      </c>
    </row>
    <row r="137" spans="1:6" x14ac:dyDescent="0.25">
      <c r="A137">
        <v>136</v>
      </c>
      <c r="B137" s="35" t="s">
        <v>3397</v>
      </c>
      <c r="D137">
        <v>429</v>
      </c>
      <c r="E137">
        <v>250</v>
      </c>
      <c r="F137" s="11">
        <v>43952</v>
      </c>
    </row>
    <row r="138" spans="1:6" x14ac:dyDescent="0.25">
      <c r="A138">
        <v>137</v>
      </c>
      <c r="B138" s="35" t="s">
        <v>3401</v>
      </c>
      <c r="D138">
        <v>869</v>
      </c>
      <c r="E138">
        <v>507</v>
      </c>
      <c r="F138" s="11">
        <v>43952</v>
      </c>
    </row>
    <row r="139" spans="1:6" x14ac:dyDescent="0.25">
      <c r="A139">
        <v>138</v>
      </c>
      <c r="B139" s="35" t="s">
        <v>3406</v>
      </c>
      <c r="D139">
        <v>649</v>
      </c>
      <c r="E139">
        <v>379</v>
      </c>
      <c r="F139" s="11">
        <v>43952</v>
      </c>
    </row>
    <row r="140" spans="1:6" x14ac:dyDescent="0.25">
      <c r="A140">
        <v>139</v>
      </c>
      <c r="B140" s="35" t="s">
        <v>3407</v>
      </c>
      <c r="D140">
        <v>649</v>
      </c>
      <c r="E140">
        <v>379</v>
      </c>
      <c r="F140" s="11">
        <v>43952</v>
      </c>
    </row>
    <row r="141" spans="1:6" x14ac:dyDescent="0.25">
      <c r="A141">
        <v>140</v>
      </c>
      <c r="B141" s="35" t="s">
        <v>3408</v>
      </c>
      <c r="D141">
        <v>649</v>
      </c>
      <c r="E141">
        <v>379</v>
      </c>
      <c r="F141" s="11">
        <v>43952</v>
      </c>
    </row>
    <row r="142" spans="1:6" x14ac:dyDescent="0.25">
      <c r="A142">
        <v>141</v>
      </c>
      <c r="B142" s="35" t="s">
        <v>3359</v>
      </c>
      <c r="D142">
        <v>759</v>
      </c>
      <c r="E142">
        <v>443</v>
      </c>
      <c r="F142" s="11">
        <v>43952</v>
      </c>
    </row>
    <row r="143" spans="1:6" x14ac:dyDescent="0.25">
      <c r="A143">
        <v>142</v>
      </c>
      <c r="B143" s="35" t="s">
        <v>3363</v>
      </c>
      <c r="D143">
        <v>1199</v>
      </c>
      <c r="E143">
        <v>699</v>
      </c>
      <c r="F143" s="11">
        <v>43952</v>
      </c>
    </row>
    <row r="144" spans="1:6" x14ac:dyDescent="0.25">
      <c r="A144">
        <v>143</v>
      </c>
      <c r="B144" s="35" t="s">
        <v>3360</v>
      </c>
      <c r="D144">
        <v>649</v>
      </c>
      <c r="E144">
        <v>379</v>
      </c>
      <c r="F144" s="11">
        <v>43952</v>
      </c>
    </row>
    <row r="145" spans="1:6" x14ac:dyDescent="0.25">
      <c r="A145">
        <v>144</v>
      </c>
      <c r="B145" s="35" t="s">
        <v>3364</v>
      </c>
      <c r="D145">
        <v>869</v>
      </c>
      <c r="E145">
        <v>507</v>
      </c>
      <c r="F145" s="11">
        <v>43952</v>
      </c>
    </row>
    <row r="146" spans="1:6" x14ac:dyDescent="0.25">
      <c r="A146">
        <v>145</v>
      </c>
      <c r="B146" s="35" t="s">
        <v>3361</v>
      </c>
      <c r="D146">
        <v>539</v>
      </c>
      <c r="E146">
        <v>314</v>
      </c>
      <c r="F146" s="11">
        <v>43952</v>
      </c>
    </row>
    <row r="147" spans="1:6" x14ac:dyDescent="0.25">
      <c r="A147">
        <v>146</v>
      </c>
      <c r="B147" s="35" t="s">
        <v>3365</v>
      </c>
      <c r="D147">
        <v>869</v>
      </c>
      <c r="E147">
        <v>507</v>
      </c>
      <c r="F147" s="11">
        <v>43952</v>
      </c>
    </row>
    <row r="148" spans="1:6" x14ac:dyDescent="0.25">
      <c r="A148">
        <v>147</v>
      </c>
      <c r="B148" s="35" t="s">
        <v>3366</v>
      </c>
      <c r="D148">
        <v>869</v>
      </c>
      <c r="E148">
        <v>507</v>
      </c>
      <c r="F148" s="11">
        <v>43952</v>
      </c>
    </row>
    <row r="149" spans="1:6" x14ac:dyDescent="0.25">
      <c r="A149">
        <v>148</v>
      </c>
      <c r="B149" s="35" t="s">
        <v>3362</v>
      </c>
      <c r="D149">
        <v>429</v>
      </c>
      <c r="E149">
        <v>250</v>
      </c>
      <c r="F149" s="11">
        <v>43952</v>
      </c>
    </row>
    <row r="150" spans="1:6" x14ac:dyDescent="0.25">
      <c r="A150">
        <v>149</v>
      </c>
      <c r="B150" s="35" t="s">
        <v>3367</v>
      </c>
      <c r="D150">
        <v>759</v>
      </c>
      <c r="E150">
        <v>443</v>
      </c>
      <c r="F150" s="11">
        <v>43952</v>
      </c>
    </row>
    <row r="151" spans="1:6" x14ac:dyDescent="0.25">
      <c r="A151">
        <v>150</v>
      </c>
      <c r="B151" s="35" t="s">
        <v>3388</v>
      </c>
      <c r="D151">
        <v>539</v>
      </c>
      <c r="E151">
        <v>314</v>
      </c>
      <c r="F151" s="11">
        <v>43952</v>
      </c>
    </row>
    <row r="152" spans="1:6" x14ac:dyDescent="0.25">
      <c r="A152">
        <v>151</v>
      </c>
      <c r="B152" s="35" t="s">
        <v>3389</v>
      </c>
      <c r="D152">
        <v>539</v>
      </c>
      <c r="E152">
        <v>314</v>
      </c>
      <c r="F152" s="11">
        <v>43952</v>
      </c>
    </row>
    <row r="153" spans="1:6" x14ac:dyDescent="0.25">
      <c r="A153">
        <v>152</v>
      </c>
      <c r="B153" s="35" t="s">
        <v>3390</v>
      </c>
      <c r="D153">
        <v>759</v>
      </c>
      <c r="E153">
        <v>443</v>
      </c>
      <c r="F153" s="11">
        <v>43952</v>
      </c>
    </row>
    <row r="154" spans="1:6" x14ac:dyDescent="0.25">
      <c r="A154">
        <v>153</v>
      </c>
      <c r="B154" s="35" t="s">
        <v>3391</v>
      </c>
      <c r="D154">
        <v>759</v>
      </c>
      <c r="E154">
        <v>443</v>
      </c>
      <c r="F154" s="11">
        <v>43952</v>
      </c>
    </row>
    <row r="155" spans="1:6" x14ac:dyDescent="0.25">
      <c r="A155">
        <v>154</v>
      </c>
      <c r="B155" s="35" t="s">
        <v>3399</v>
      </c>
      <c r="D155">
        <v>539</v>
      </c>
      <c r="E155">
        <v>314</v>
      </c>
      <c r="F155" s="11">
        <v>43952</v>
      </c>
    </row>
    <row r="156" spans="1:6" x14ac:dyDescent="0.25">
      <c r="A156">
        <v>155</v>
      </c>
      <c r="B156" s="35" t="s">
        <v>3400</v>
      </c>
      <c r="D156">
        <v>759</v>
      </c>
      <c r="E156">
        <v>443</v>
      </c>
      <c r="F156" s="11">
        <v>43952</v>
      </c>
    </row>
    <row r="157" spans="1:6" x14ac:dyDescent="0.25">
      <c r="A157">
        <v>156</v>
      </c>
      <c r="B157" s="35" t="s">
        <v>3392</v>
      </c>
      <c r="D157">
        <v>759</v>
      </c>
      <c r="E157">
        <v>443</v>
      </c>
      <c r="F157" s="11">
        <v>43952</v>
      </c>
    </row>
    <row r="158" spans="1:6" x14ac:dyDescent="0.25">
      <c r="A158">
        <v>157</v>
      </c>
      <c r="B158" s="35" t="s">
        <v>3393</v>
      </c>
      <c r="D158">
        <v>759</v>
      </c>
      <c r="E158">
        <v>443</v>
      </c>
      <c r="F158" s="11">
        <v>43952</v>
      </c>
    </row>
    <row r="159" spans="1:6" x14ac:dyDescent="0.25">
      <c r="A159">
        <v>158</v>
      </c>
      <c r="B159" s="35" t="s">
        <v>3394</v>
      </c>
      <c r="D159">
        <v>759</v>
      </c>
      <c r="E159">
        <v>443</v>
      </c>
      <c r="F159" s="11">
        <v>43952</v>
      </c>
    </row>
    <row r="160" spans="1:6" x14ac:dyDescent="0.25">
      <c r="A160">
        <v>159</v>
      </c>
      <c r="B160" s="35" t="s">
        <v>3398</v>
      </c>
      <c r="D160">
        <v>869</v>
      </c>
      <c r="E160">
        <v>507</v>
      </c>
      <c r="F160" s="11">
        <v>43952</v>
      </c>
    </row>
    <row r="161" spans="1:6" x14ac:dyDescent="0.25">
      <c r="A161">
        <v>160</v>
      </c>
      <c r="B161" s="35" t="s">
        <v>3356</v>
      </c>
      <c r="D161">
        <v>4939</v>
      </c>
      <c r="E161">
        <v>2881</v>
      </c>
      <c r="F161" s="11">
        <v>43952</v>
      </c>
    </row>
    <row r="162" spans="1:6" x14ac:dyDescent="0.25">
      <c r="A162">
        <v>161</v>
      </c>
      <c r="B162" s="35" t="s">
        <v>3357</v>
      </c>
      <c r="D162">
        <v>9559</v>
      </c>
      <c r="E162">
        <v>5576</v>
      </c>
      <c r="F162" s="11">
        <v>43952</v>
      </c>
    </row>
    <row r="163" spans="1:6" x14ac:dyDescent="0.25">
      <c r="A163">
        <v>162</v>
      </c>
      <c r="B163" s="35" t="s">
        <v>3358</v>
      </c>
      <c r="D163">
        <v>12969</v>
      </c>
      <c r="E163">
        <v>7565</v>
      </c>
      <c r="F163" s="11">
        <v>43952</v>
      </c>
    </row>
    <row r="164" spans="1:6" x14ac:dyDescent="0.25">
      <c r="A164">
        <v>163</v>
      </c>
      <c r="B164" s="35" t="s">
        <v>2838</v>
      </c>
      <c r="D164">
        <v>429</v>
      </c>
      <c r="E164">
        <v>250</v>
      </c>
      <c r="F164" s="11">
        <v>43952</v>
      </c>
    </row>
    <row r="165" spans="1:6" x14ac:dyDescent="0.25">
      <c r="A165">
        <v>164</v>
      </c>
      <c r="B165" s="35" t="s">
        <v>2841</v>
      </c>
      <c r="D165">
        <v>429</v>
      </c>
      <c r="E165">
        <v>250</v>
      </c>
      <c r="F165" s="11">
        <v>43952</v>
      </c>
    </row>
    <row r="166" spans="1:6" x14ac:dyDescent="0.25">
      <c r="A166">
        <v>165</v>
      </c>
      <c r="B166" s="35" t="s">
        <v>2852</v>
      </c>
      <c r="D166">
        <v>979</v>
      </c>
      <c r="E166">
        <v>571</v>
      </c>
      <c r="F166" s="11">
        <v>43952</v>
      </c>
    </row>
    <row r="167" spans="1:6" x14ac:dyDescent="0.25">
      <c r="A167">
        <v>166</v>
      </c>
      <c r="B167" s="35" t="s">
        <v>2840</v>
      </c>
      <c r="D167">
        <v>979</v>
      </c>
      <c r="E167">
        <v>571</v>
      </c>
      <c r="F167" s="11">
        <v>43952</v>
      </c>
    </row>
    <row r="168" spans="1:6" x14ac:dyDescent="0.25">
      <c r="A168">
        <v>167</v>
      </c>
      <c r="B168" s="35" t="s">
        <v>2854</v>
      </c>
      <c r="D168">
        <v>1089</v>
      </c>
      <c r="E168">
        <v>635</v>
      </c>
      <c r="F168" s="11">
        <v>43952</v>
      </c>
    </row>
    <row r="169" spans="1:6" x14ac:dyDescent="0.25">
      <c r="A169">
        <v>168</v>
      </c>
      <c r="B169" s="35" t="s">
        <v>2853</v>
      </c>
      <c r="D169">
        <v>1639</v>
      </c>
      <c r="E169">
        <v>956</v>
      </c>
      <c r="F169" s="11">
        <v>43952</v>
      </c>
    </row>
    <row r="170" spans="1:6" x14ac:dyDescent="0.25">
      <c r="A170">
        <v>169</v>
      </c>
      <c r="B170" s="35" t="s">
        <v>2843</v>
      </c>
      <c r="D170">
        <v>429</v>
      </c>
      <c r="E170">
        <v>250</v>
      </c>
      <c r="F170" s="11">
        <v>43952</v>
      </c>
    </row>
    <row r="171" spans="1:6" x14ac:dyDescent="0.25">
      <c r="A171">
        <v>170</v>
      </c>
      <c r="B171" s="35" t="s">
        <v>2846</v>
      </c>
      <c r="D171">
        <v>539</v>
      </c>
      <c r="E171">
        <v>314</v>
      </c>
      <c r="F171" s="11">
        <v>43952</v>
      </c>
    </row>
    <row r="172" spans="1:6" x14ac:dyDescent="0.25">
      <c r="A172">
        <v>171</v>
      </c>
      <c r="B172" s="35" t="s">
        <v>2848</v>
      </c>
      <c r="D172">
        <v>539</v>
      </c>
      <c r="E172">
        <v>314</v>
      </c>
      <c r="F172" s="11">
        <v>43952</v>
      </c>
    </row>
    <row r="173" spans="1:6" x14ac:dyDescent="0.25">
      <c r="A173">
        <v>172</v>
      </c>
      <c r="B173" s="35" t="s">
        <v>2851</v>
      </c>
      <c r="D173">
        <v>759</v>
      </c>
      <c r="E173">
        <v>443</v>
      </c>
      <c r="F173" s="11">
        <v>43952</v>
      </c>
    </row>
    <row r="174" spans="1:6" x14ac:dyDescent="0.25">
      <c r="A174">
        <v>173</v>
      </c>
      <c r="B174" s="35" t="s">
        <v>2849</v>
      </c>
      <c r="D174">
        <v>759</v>
      </c>
      <c r="E174">
        <v>443</v>
      </c>
      <c r="F174" s="11">
        <v>43952</v>
      </c>
    </row>
    <row r="175" spans="1:6" x14ac:dyDescent="0.25">
      <c r="A175">
        <v>174</v>
      </c>
      <c r="B175" s="35" t="s">
        <v>2850</v>
      </c>
      <c r="D175">
        <v>759</v>
      </c>
      <c r="E175">
        <v>443</v>
      </c>
      <c r="F175" s="11">
        <v>43952</v>
      </c>
    </row>
    <row r="176" spans="1:6" x14ac:dyDescent="0.25">
      <c r="A176">
        <v>175</v>
      </c>
      <c r="B176" s="35" t="s">
        <v>2750</v>
      </c>
      <c r="D176">
        <v>826</v>
      </c>
      <c r="E176">
        <v>502</v>
      </c>
      <c r="F176" s="11">
        <v>43952</v>
      </c>
    </row>
    <row r="177" spans="1:6" x14ac:dyDescent="0.25">
      <c r="A177">
        <v>176</v>
      </c>
      <c r="B177" s="35" t="s">
        <v>2801</v>
      </c>
      <c r="D177">
        <v>319</v>
      </c>
      <c r="E177">
        <v>197</v>
      </c>
      <c r="F177" s="11">
        <v>43952</v>
      </c>
    </row>
    <row r="178" spans="1:6" x14ac:dyDescent="0.25">
      <c r="A178">
        <v>177</v>
      </c>
      <c r="B178" s="35" t="s">
        <v>2788</v>
      </c>
      <c r="D178">
        <v>429</v>
      </c>
      <c r="E178">
        <v>265</v>
      </c>
      <c r="F178" s="11">
        <v>43952</v>
      </c>
    </row>
    <row r="179" spans="1:6" x14ac:dyDescent="0.25">
      <c r="A179">
        <v>178</v>
      </c>
      <c r="B179" s="35" t="s">
        <v>2800</v>
      </c>
      <c r="D179">
        <v>979</v>
      </c>
      <c r="E179">
        <v>596</v>
      </c>
      <c r="F179" s="11">
        <v>43952</v>
      </c>
    </row>
    <row r="180" spans="1:6" x14ac:dyDescent="0.25">
      <c r="A180">
        <v>179</v>
      </c>
      <c r="B180" s="35" t="s">
        <v>2806</v>
      </c>
      <c r="D180">
        <v>1089</v>
      </c>
      <c r="E180">
        <v>662</v>
      </c>
      <c r="F180" s="11">
        <v>43952</v>
      </c>
    </row>
    <row r="181" spans="1:6" x14ac:dyDescent="0.25">
      <c r="A181">
        <v>180</v>
      </c>
      <c r="B181" s="35" t="s">
        <v>2789</v>
      </c>
      <c r="D181">
        <v>1309</v>
      </c>
      <c r="E181">
        <v>807</v>
      </c>
      <c r="F181" s="11">
        <v>43952</v>
      </c>
    </row>
    <row r="182" spans="1:6" x14ac:dyDescent="0.25">
      <c r="A182">
        <v>181</v>
      </c>
      <c r="B182" s="35" t="s">
        <v>2790</v>
      </c>
      <c r="D182">
        <v>1309</v>
      </c>
      <c r="E182">
        <v>807</v>
      </c>
      <c r="F182" s="11">
        <v>43952</v>
      </c>
    </row>
    <row r="183" spans="1:6" x14ac:dyDescent="0.25">
      <c r="A183">
        <v>182</v>
      </c>
      <c r="B183" s="35" t="s">
        <v>2749</v>
      </c>
      <c r="D183">
        <v>779</v>
      </c>
      <c r="E183">
        <v>474</v>
      </c>
      <c r="F183" s="11">
        <v>43952</v>
      </c>
    </row>
    <row r="184" spans="1:6" x14ac:dyDescent="0.25">
      <c r="A184">
        <v>183</v>
      </c>
      <c r="B184" s="35" t="s">
        <v>2756</v>
      </c>
      <c r="D184">
        <v>779</v>
      </c>
      <c r="E184">
        <v>474</v>
      </c>
      <c r="F184" s="11">
        <v>43952</v>
      </c>
    </row>
    <row r="185" spans="1:6" x14ac:dyDescent="0.25">
      <c r="A185">
        <v>184</v>
      </c>
      <c r="B185" s="35" t="s">
        <v>2047</v>
      </c>
      <c r="D185">
        <v>2390</v>
      </c>
      <c r="E185">
        <v>1434</v>
      </c>
      <c r="F185" s="11">
        <v>43952</v>
      </c>
    </row>
    <row r="186" spans="1:6" x14ac:dyDescent="0.25">
      <c r="A186">
        <v>185</v>
      </c>
      <c r="B186" s="35" t="s">
        <v>2048</v>
      </c>
      <c r="D186">
        <v>2190</v>
      </c>
      <c r="E186">
        <v>1460</v>
      </c>
      <c r="F186" s="11">
        <v>43952</v>
      </c>
    </row>
    <row r="187" spans="1:6" x14ac:dyDescent="0.25">
      <c r="A187">
        <v>186</v>
      </c>
      <c r="B187" s="35" t="s">
        <v>2046</v>
      </c>
      <c r="D187">
        <v>1790</v>
      </c>
      <c r="E187">
        <v>1193</v>
      </c>
      <c r="F187" s="11">
        <v>43952</v>
      </c>
    </row>
    <row r="188" spans="1:6" x14ac:dyDescent="0.25">
      <c r="A188">
        <v>187</v>
      </c>
      <c r="B188" s="35" t="s">
        <v>2104</v>
      </c>
      <c r="D188">
        <v>919</v>
      </c>
      <c r="E188">
        <v>596</v>
      </c>
      <c r="F188" s="11">
        <v>43952</v>
      </c>
    </row>
    <row r="189" spans="1:6" x14ac:dyDescent="0.25">
      <c r="A189">
        <v>188</v>
      </c>
      <c r="B189" s="35" t="s">
        <v>2049</v>
      </c>
      <c r="D189">
        <v>1790</v>
      </c>
      <c r="E189">
        <v>1074</v>
      </c>
      <c r="F189" s="11">
        <v>43952</v>
      </c>
    </row>
    <row r="190" spans="1:6" x14ac:dyDescent="0.25">
      <c r="A190">
        <v>189</v>
      </c>
      <c r="B190" s="35" t="s">
        <v>2052</v>
      </c>
      <c r="D190">
        <v>1190</v>
      </c>
      <c r="E190">
        <v>714</v>
      </c>
      <c r="F190" s="11">
        <v>43952</v>
      </c>
    </row>
    <row r="191" spans="1:6" x14ac:dyDescent="0.25">
      <c r="A191">
        <v>190</v>
      </c>
      <c r="B191" s="35" t="s">
        <v>2051</v>
      </c>
      <c r="D191">
        <v>2390</v>
      </c>
      <c r="E191">
        <v>1434</v>
      </c>
      <c r="F191" s="11">
        <v>43952</v>
      </c>
    </row>
    <row r="192" spans="1:6" x14ac:dyDescent="0.25">
      <c r="A192">
        <v>191</v>
      </c>
      <c r="B192" s="35" t="s">
        <v>2060</v>
      </c>
      <c r="D192">
        <v>2790</v>
      </c>
      <c r="E192">
        <v>1674</v>
      </c>
      <c r="F192" s="11">
        <v>43952</v>
      </c>
    </row>
    <row r="193" spans="1:6" x14ac:dyDescent="0.25">
      <c r="A193">
        <v>192</v>
      </c>
      <c r="B193" s="35" t="s">
        <v>2029</v>
      </c>
      <c r="D193">
        <v>1290</v>
      </c>
      <c r="E193">
        <v>774</v>
      </c>
      <c r="F193" s="11">
        <v>43952</v>
      </c>
    </row>
    <row r="194" spans="1:6" x14ac:dyDescent="0.25">
      <c r="A194">
        <v>193</v>
      </c>
      <c r="B194" s="35" t="s">
        <v>2016</v>
      </c>
      <c r="D194">
        <v>990</v>
      </c>
      <c r="E194">
        <v>594</v>
      </c>
      <c r="F194" s="11">
        <v>43952</v>
      </c>
    </row>
    <row r="195" spans="1:6" x14ac:dyDescent="0.25">
      <c r="A195">
        <v>194</v>
      </c>
      <c r="B195" s="35" t="s">
        <v>2018</v>
      </c>
      <c r="D195">
        <v>990</v>
      </c>
      <c r="E195">
        <v>594</v>
      </c>
      <c r="F195" s="11">
        <v>43952</v>
      </c>
    </row>
    <row r="196" spans="1:6" x14ac:dyDescent="0.25">
      <c r="A196">
        <v>195</v>
      </c>
      <c r="B196" s="35" t="s">
        <v>2039</v>
      </c>
      <c r="D196">
        <v>1690</v>
      </c>
      <c r="E196">
        <v>1014</v>
      </c>
      <c r="F196" s="11">
        <v>43952</v>
      </c>
    </row>
    <row r="197" spans="1:6" x14ac:dyDescent="0.25">
      <c r="A197">
        <v>196</v>
      </c>
      <c r="B197" s="35" t="s">
        <v>2041</v>
      </c>
      <c r="D197">
        <v>1190</v>
      </c>
      <c r="E197">
        <v>714</v>
      </c>
      <c r="F197" s="11">
        <v>43952</v>
      </c>
    </row>
    <row r="198" spans="1:6" x14ac:dyDescent="0.25">
      <c r="A198">
        <v>197</v>
      </c>
      <c r="B198" s="35" t="s">
        <v>2043</v>
      </c>
      <c r="D198">
        <v>1590</v>
      </c>
      <c r="E198">
        <v>954</v>
      </c>
      <c r="F198" s="11">
        <v>43952</v>
      </c>
    </row>
    <row r="199" spans="1:6" x14ac:dyDescent="0.25">
      <c r="A199">
        <v>198</v>
      </c>
      <c r="B199" s="35" t="s">
        <v>2031</v>
      </c>
      <c r="D199">
        <v>1190</v>
      </c>
      <c r="E199">
        <v>714</v>
      </c>
      <c r="F199" s="11">
        <v>43952</v>
      </c>
    </row>
    <row r="200" spans="1:6" x14ac:dyDescent="0.25">
      <c r="A200">
        <v>199</v>
      </c>
      <c r="B200" s="35" t="s">
        <v>2032</v>
      </c>
      <c r="D200">
        <v>1290</v>
      </c>
      <c r="E200">
        <v>774</v>
      </c>
      <c r="F200" s="11">
        <v>43952</v>
      </c>
    </row>
    <row r="201" spans="1:6" x14ac:dyDescent="0.25">
      <c r="A201">
        <v>200</v>
      </c>
      <c r="B201" s="35" t="s">
        <v>2035</v>
      </c>
      <c r="D201">
        <v>1390</v>
      </c>
      <c r="E201">
        <v>834</v>
      </c>
      <c r="F201" s="11">
        <v>43952</v>
      </c>
    </row>
    <row r="202" spans="1:6" x14ac:dyDescent="0.25">
      <c r="A202">
        <v>201</v>
      </c>
      <c r="B202" s="35" t="s">
        <v>2020</v>
      </c>
      <c r="D202">
        <v>3390</v>
      </c>
      <c r="E202">
        <v>2034</v>
      </c>
      <c r="F202" s="11">
        <v>43952</v>
      </c>
    </row>
    <row r="203" spans="1:6" x14ac:dyDescent="0.25">
      <c r="A203">
        <v>202</v>
      </c>
      <c r="B203" s="35" t="s">
        <v>2036</v>
      </c>
      <c r="D203">
        <v>1290</v>
      </c>
      <c r="E203">
        <v>774</v>
      </c>
      <c r="F203" s="11">
        <v>43952</v>
      </c>
    </row>
    <row r="204" spans="1:6" x14ac:dyDescent="0.25">
      <c r="A204">
        <v>203</v>
      </c>
      <c r="B204" s="35" t="s">
        <v>2038</v>
      </c>
      <c r="D204">
        <v>1590</v>
      </c>
      <c r="E204">
        <v>954</v>
      </c>
      <c r="F204" s="11">
        <v>43952</v>
      </c>
    </row>
    <row r="205" spans="1:6" x14ac:dyDescent="0.25">
      <c r="A205">
        <v>204</v>
      </c>
      <c r="B205" s="35" t="s">
        <v>2079</v>
      </c>
      <c r="D205">
        <v>1490</v>
      </c>
      <c r="E205">
        <v>870</v>
      </c>
      <c r="F205" s="11">
        <v>43952</v>
      </c>
    </row>
    <row r="206" spans="1:6" x14ac:dyDescent="0.25">
      <c r="A206">
        <v>205</v>
      </c>
      <c r="B206" s="35" t="s">
        <v>2080</v>
      </c>
      <c r="D206">
        <v>1890</v>
      </c>
      <c r="E206">
        <v>1103</v>
      </c>
      <c r="F206" s="11">
        <v>43952</v>
      </c>
    </row>
    <row r="207" spans="1:6" x14ac:dyDescent="0.25">
      <c r="A207">
        <v>206</v>
      </c>
      <c r="B207" s="35" t="s">
        <v>2081</v>
      </c>
      <c r="D207">
        <v>1490</v>
      </c>
      <c r="E207">
        <v>870</v>
      </c>
      <c r="F207" s="11">
        <v>43952</v>
      </c>
    </row>
    <row r="208" spans="1:6" x14ac:dyDescent="0.25">
      <c r="A208">
        <v>207</v>
      </c>
      <c r="B208" s="35" t="s">
        <v>2082</v>
      </c>
      <c r="D208">
        <v>1790</v>
      </c>
      <c r="E208">
        <v>1045</v>
      </c>
      <c r="F208" s="11">
        <v>43952</v>
      </c>
    </row>
    <row r="209" spans="1:6" x14ac:dyDescent="0.25">
      <c r="A209">
        <v>208</v>
      </c>
      <c r="B209" s="35" t="s">
        <v>2083</v>
      </c>
      <c r="D209">
        <v>1019</v>
      </c>
      <c r="E209">
        <v>595</v>
      </c>
      <c r="F209" s="11">
        <v>43952</v>
      </c>
    </row>
    <row r="210" spans="1:6" x14ac:dyDescent="0.25">
      <c r="A210">
        <v>209</v>
      </c>
      <c r="B210" s="35" t="s">
        <v>2087</v>
      </c>
      <c r="D210">
        <v>6990</v>
      </c>
      <c r="E210">
        <v>4079</v>
      </c>
      <c r="F210" s="11">
        <v>43952</v>
      </c>
    </row>
    <row r="211" spans="1:6" x14ac:dyDescent="0.25">
      <c r="A211">
        <v>210</v>
      </c>
      <c r="B211" s="35" t="s">
        <v>2054</v>
      </c>
      <c r="D211">
        <v>2490</v>
      </c>
      <c r="E211">
        <v>1494</v>
      </c>
      <c r="F211" s="11">
        <v>43952</v>
      </c>
    </row>
    <row r="212" spans="1:6" x14ac:dyDescent="0.25">
      <c r="A212">
        <v>211</v>
      </c>
      <c r="B212" s="35" t="s">
        <v>2058</v>
      </c>
      <c r="D212">
        <v>2490</v>
      </c>
      <c r="E212">
        <v>1494</v>
      </c>
      <c r="F212" s="11">
        <v>43952</v>
      </c>
    </row>
    <row r="213" spans="1:6" x14ac:dyDescent="0.25">
      <c r="A213">
        <v>212</v>
      </c>
      <c r="B213" s="35" t="s">
        <v>2057</v>
      </c>
      <c r="D213">
        <v>6290</v>
      </c>
      <c r="E213">
        <v>3774</v>
      </c>
      <c r="F213" s="11">
        <v>43952</v>
      </c>
    </row>
    <row r="214" spans="1:6" x14ac:dyDescent="0.25">
      <c r="A214">
        <v>213</v>
      </c>
      <c r="B214" s="35" t="s">
        <v>2103</v>
      </c>
      <c r="D214">
        <v>919</v>
      </c>
      <c r="E214">
        <v>537</v>
      </c>
      <c r="F214" s="11">
        <v>43952</v>
      </c>
    </row>
    <row r="215" spans="1:6" x14ac:dyDescent="0.25">
      <c r="A215">
        <v>214</v>
      </c>
      <c r="B215" s="35" t="s">
        <v>2105</v>
      </c>
      <c r="D215">
        <v>919</v>
      </c>
      <c r="E215">
        <v>535</v>
      </c>
      <c r="F215" s="11">
        <v>43952</v>
      </c>
    </row>
    <row r="216" spans="1:6" x14ac:dyDescent="0.25">
      <c r="A216">
        <v>215</v>
      </c>
      <c r="B216" s="35" t="s">
        <v>2154</v>
      </c>
      <c r="D216">
        <v>2490</v>
      </c>
      <c r="E216">
        <v>1453</v>
      </c>
      <c r="F216" s="11">
        <v>43952</v>
      </c>
    </row>
    <row r="217" spans="1:6" x14ac:dyDescent="0.25">
      <c r="A217">
        <v>216</v>
      </c>
      <c r="B217" s="35" t="s">
        <v>2155</v>
      </c>
      <c r="D217">
        <v>490</v>
      </c>
      <c r="E217">
        <v>286</v>
      </c>
      <c r="F217" s="11">
        <v>43952</v>
      </c>
    </row>
    <row r="218" spans="1:6" x14ac:dyDescent="0.25">
      <c r="A218">
        <v>217</v>
      </c>
      <c r="B218" s="35" t="s">
        <v>1733</v>
      </c>
      <c r="D218">
        <v>4390</v>
      </c>
      <c r="E218">
        <v>2634</v>
      </c>
      <c r="F218" s="11">
        <v>43952</v>
      </c>
    </row>
    <row r="219" spans="1:6" x14ac:dyDescent="0.25">
      <c r="A219">
        <v>218</v>
      </c>
      <c r="B219" s="35" t="s">
        <v>2068</v>
      </c>
      <c r="D219">
        <v>1190</v>
      </c>
      <c r="E219">
        <v>704</v>
      </c>
      <c r="F219" s="11">
        <v>43952</v>
      </c>
    </row>
    <row r="220" spans="1:6" x14ac:dyDescent="0.25">
      <c r="A220">
        <v>219</v>
      </c>
      <c r="B220" s="35" t="s">
        <v>2145</v>
      </c>
      <c r="D220">
        <v>1590</v>
      </c>
      <c r="E220">
        <v>981</v>
      </c>
      <c r="F220" s="11">
        <v>43952</v>
      </c>
    </row>
    <row r="221" spans="1:6" x14ac:dyDescent="0.25">
      <c r="A221">
        <v>220</v>
      </c>
      <c r="B221" s="35" t="s">
        <v>2146</v>
      </c>
      <c r="D221">
        <v>1790</v>
      </c>
      <c r="E221">
        <v>1104</v>
      </c>
      <c r="F221" s="11">
        <v>43952</v>
      </c>
    </row>
    <row r="222" spans="1:6" x14ac:dyDescent="0.25">
      <c r="A222">
        <v>221</v>
      </c>
      <c r="B222" s="35" t="s">
        <v>2150</v>
      </c>
      <c r="D222">
        <v>3490</v>
      </c>
      <c r="E222">
        <v>2152</v>
      </c>
      <c r="F222" s="11">
        <v>43952</v>
      </c>
    </row>
    <row r="223" spans="1:6" x14ac:dyDescent="0.25">
      <c r="A223">
        <v>222</v>
      </c>
      <c r="B223" s="35" t="s">
        <v>2151</v>
      </c>
      <c r="D223">
        <v>4290</v>
      </c>
      <c r="E223">
        <v>2646</v>
      </c>
      <c r="F223" s="11">
        <v>43952</v>
      </c>
    </row>
    <row r="224" spans="1:6" x14ac:dyDescent="0.25">
      <c r="A224">
        <v>223</v>
      </c>
      <c r="B224" s="35" t="s">
        <v>2147</v>
      </c>
      <c r="D224">
        <v>990</v>
      </c>
      <c r="E224">
        <v>611</v>
      </c>
      <c r="F224" s="11">
        <v>43952</v>
      </c>
    </row>
    <row r="225" spans="1:6" x14ac:dyDescent="0.25">
      <c r="A225">
        <v>224</v>
      </c>
      <c r="B225" s="35" t="s">
        <v>2148</v>
      </c>
      <c r="D225">
        <v>1390</v>
      </c>
      <c r="E225">
        <v>857</v>
      </c>
      <c r="F225" s="11">
        <v>43952</v>
      </c>
    </row>
    <row r="226" spans="1:6" x14ac:dyDescent="0.25">
      <c r="A226">
        <v>225</v>
      </c>
      <c r="B226" s="35" t="s">
        <v>2149</v>
      </c>
      <c r="D226">
        <v>1690</v>
      </c>
      <c r="E226">
        <v>1042</v>
      </c>
      <c r="F226" s="11">
        <v>43952</v>
      </c>
    </row>
    <row r="227" spans="1:6" x14ac:dyDescent="0.25">
      <c r="A227">
        <v>226</v>
      </c>
      <c r="B227" s="35" t="s">
        <v>2144</v>
      </c>
      <c r="D227">
        <v>1590</v>
      </c>
      <c r="E227">
        <v>994</v>
      </c>
      <c r="F227" s="11">
        <v>43952</v>
      </c>
    </row>
    <row r="228" spans="1:6" x14ac:dyDescent="0.25">
      <c r="A228">
        <v>227</v>
      </c>
      <c r="B228" s="35" t="s">
        <v>2403</v>
      </c>
      <c r="D228">
        <v>8890</v>
      </c>
      <c r="E228">
        <v>6075</v>
      </c>
      <c r="F228" s="11">
        <v>43952</v>
      </c>
    </row>
    <row r="229" spans="1:6" x14ac:dyDescent="0.25">
      <c r="A229">
        <v>228</v>
      </c>
      <c r="B229" s="35" t="s">
        <v>2405</v>
      </c>
      <c r="D229">
        <v>12090</v>
      </c>
      <c r="E229">
        <v>8262</v>
      </c>
      <c r="F229" s="11">
        <v>43952</v>
      </c>
    </row>
    <row r="230" spans="1:6" x14ac:dyDescent="0.25">
      <c r="A230">
        <v>229</v>
      </c>
      <c r="B230" s="35" t="s">
        <v>2400</v>
      </c>
      <c r="D230">
        <v>3490</v>
      </c>
      <c r="E230">
        <v>2385</v>
      </c>
      <c r="F230" s="11">
        <v>43952</v>
      </c>
    </row>
    <row r="231" spans="1:6" x14ac:dyDescent="0.25">
      <c r="A231">
        <v>230</v>
      </c>
      <c r="B231" s="35" t="s">
        <v>2706</v>
      </c>
      <c r="D231">
        <v>529</v>
      </c>
      <c r="E231">
        <v>309</v>
      </c>
      <c r="F231" s="11">
        <v>43952</v>
      </c>
    </row>
    <row r="232" spans="1:6" x14ac:dyDescent="0.25">
      <c r="A232">
        <v>231</v>
      </c>
      <c r="B232" s="35" t="s">
        <v>2707</v>
      </c>
      <c r="D232">
        <v>745</v>
      </c>
      <c r="E232">
        <v>435</v>
      </c>
      <c r="F232" s="11">
        <v>43952</v>
      </c>
    </row>
    <row r="233" spans="1:6" x14ac:dyDescent="0.25">
      <c r="A233">
        <v>232</v>
      </c>
      <c r="B233" s="35" t="s">
        <v>3156</v>
      </c>
      <c r="D233">
        <v>209</v>
      </c>
      <c r="E233">
        <v>122</v>
      </c>
      <c r="F233" s="11">
        <v>43952</v>
      </c>
    </row>
    <row r="234" spans="1:6" x14ac:dyDescent="0.25">
      <c r="A234">
        <v>233</v>
      </c>
      <c r="B234" s="35" t="s">
        <v>3157</v>
      </c>
      <c r="D234">
        <v>209</v>
      </c>
      <c r="E234">
        <v>122</v>
      </c>
      <c r="F234" s="11">
        <v>43952</v>
      </c>
    </row>
    <row r="235" spans="1:6" x14ac:dyDescent="0.25">
      <c r="A235">
        <v>234</v>
      </c>
      <c r="B235" s="35" t="s">
        <v>3158</v>
      </c>
      <c r="D235">
        <v>319</v>
      </c>
      <c r="E235">
        <v>186</v>
      </c>
      <c r="F235" s="11">
        <v>43952</v>
      </c>
    </row>
    <row r="236" spans="1:6" x14ac:dyDescent="0.25">
      <c r="A236">
        <v>235</v>
      </c>
      <c r="B236" s="35" t="s">
        <v>3159</v>
      </c>
      <c r="D236">
        <v>319</v>
      </c>
      <c r="E236">
        <v>186</v>
      </c>
      <c r="F236" s="11">
        <v>43952</v>
      </c>
    </row>
    <row r="237" spans="1:6" x14ac:dyDescent="0.25">
      <c r="A237">
        <v>236</v>
      </c>
      <c r="B237" s="35" t="s">
        <v>3160</v>
      </c>
      <c r="D237">
        <v>319</v>
      </c>
      <c r="E237">
        <v>186</v>
      </c>
      <c r="F237" s="11">
        <v>43952</v>
      </c>
    </row>
    <row r="238" spans="1:6" x14ac:dyDescent="0.25">
      <c r="A238">
        <v>237</v>
      </c>
      <c r="B238" s="35" t="s">
        <v>3161</v>
      </c>
      <c r="D238">
        <v>72</v>
      </c>
      <c r="E238">
        <v>42</v>
      </c>
      <c r="F238" s="11">
        <v>43952</v>
      </c>
    </row>
    <row r="239" spans="1:6" x14ac:dyDescent="0.25">
      <c r="A239">
        <v>238</v>
      </c>
      <c r="B239" s="35" t="s">
        <v>3162</v>
      </c>
      <c r="D239">
        <v>140</v>
      </c>
      <c r="E239">
        <v>82</v>
      </c>
      <c r="F239" s="11">
        <v>43952</v>
      </c>
    </row>
    <row r="240" spans="1:6" x14ac:dyDescent="0.25">
      <c r="A240">
        <v>239</v>
      </c>
      <c r="B240" s="35" t="s">
        <v>3163</v>
      </c>
      <c r="D240">
        <v>209</v>
      </c>
      <c r="E240">
        <v>122</v>
      </c>
      <c r="F240" s="11">
        <v>43952</v>
      </c>
    </row>
    <row r="241" spans="1:6" x14ac:dyDescent="0.25">
      <c r="A241">
        <v>240</v>
      </c>
      <c r="B241" s="35" t="s">
        <v>3164</v>
      </c>
      <c r="D241">
        <v>209</v>
      </c>
      <c r="E241">
        <v>122</v>
      </c>
      <c r="F241" s="11">
        <v>43952</v>
      </c>
    </row>
    <row r="242" spans="1:6" x14ac:dyDescent="0.25">
      <c r="A242">
        <v>241</v>
      </c>
      <c r="B242" s="35" t="s">
        <v>2948</v>
      </c>
      <c r="D242">
        <v>1390</v>
      </c>
      <c r="E242">
        <v>857</v>
      </c>
      <c r="F242" s="11">
        <v>43952</v>
      </c>
    </row>
    <row r="243" spans="1:6" x14ac:dyDescent="0.25">
      <c r="A243">
        <v>242</v>
      </c>
      <c r="B243" s="35" t="s">
        <v>2978</v>
      </c>
      <c r="D243">
        <v>4390</v>
      </c>
      <c r="E243">
        <v>2707</v>
      </c>
      <c r="F243" s="11">
        <v>43952</v>
      </c>
    </row>
    <row r="244" spans="1:6" x14ac:dyDescent="0.25">
      <c r="A244">
        <v>243</v>
      </c>
      <c r="B244" s="35" t="s">
        <v>2979</v>
      </c>
      <c r="D244">
        <v>4390</v>
      </c>
      <c r="E244">
        <v>2744</v>
      </c>
      <c r="F244" s="11">
        <v>43952</v>
      </c>
    </row>
    <row r="245" spans="1:6" x14ac:dyDescent="0.25">
      <c r="A245">
        <v>244</v>
      </c>
      <c r="B245" s="35" t="s">
        <v>3017</v>
      </c>
      <c r="D245">
        <v>16590</v>
      </c>
      <c r="E245">
        <v>10369</v>
      </c>
      <c r="F245" s="11">
        <v>43952</v>
      </c>
    </row>
    <row r="246" spans="1:6" x14ac:dyDescent="0.25">
      <c r="A246">
        <v>245</v>
      </c>
      <c r="B246" s="35" t="s">
        <v>2940</v>
      </c>
      <c r="D246">
        <v>3490</v>
      </c>
      <c r="E246">
        <v>2037</v>
      </c>
      <c r="F246" s="11">
        <v>43952</v>
      </c>
    </row>
    <row r="247" spans="1:6" x14ac:dyDescent="0.25">
      <c r="A247">
        <v>246</v>
      </c>
      <c r="B247" s="35" t="s">
        <v>2953</v>
      </c>
      <c r="D247">
        <v>4590</v>
      </c>
      <c r="E247">
        <v>2678</v>
      </c>
      <c r="F247" s="11">
        <v>43952</v>
      </c>
    </row>
    <row r="248" spans="1:6" x14ac:dyDescent="0.25">
      <c r="A248">
        <v>247</v>
      </c>
      <c r="B248" s="35" t="s">
        <v>2954</v>
      </c>
      <c r="D248">
        <v>4190</v>
      </c>
      <c r="E248">
        <v>2444</v>
      </c>
      <c r="F248" s="11">
        <v>43952</v>
      </c>
    </row>
    <row r="249" spans="1:6" x14ac:dyDescent="0.25">
      <c r="A249">
        <v>248</v>
      </c>
      <c r="B249" s="35" t="s">
        <v>2958</v>
      </c>
      <c r="D249">
        <v>3190</v>
      </c>
      <c r="E249">
        <v>1861</v>
      </c>
      <c r="F249" s="11">
        <v>43952</v>
      </c>
    </row>
    <row r="250" spans="1:6" x14ac:dyDescent="0.25">
      <c r="A250">
        <v>249</v>
      </c>
      <c r="B250" s="35" t="s">
        <v>2960</v>
      </c>
      <c r="D250">
        <v>3690</v>
      </c>
      <c r="E250">
        <v>2153</v>
      </c>
      <c r="F250" s="11">
        <v>43952</v>
      </c>
    </row>
    <row r="251" spans="1:6" x14ac:dyDescent="0.25">
      <c r="A251">
        <v>250</v>
      </c>
      <c r="B251" s="35" t="s">
        <v>2757</v>
      </c>
      <c r="D251">
        <v>1445</v>
      </c>
      <c r="E251">
        <v>879</v>
      </c>
      <c r="F251" s="11">
        <v>43952</v>
      </c>
    </row>
    <row r="252" spans="1:6" x14ac:dyDescent="0.25">
      <c r="A252">
        <v>251</v>
      </c>
      <c r="B252" s="35" t="s">
        <v>2758</v>
      </c>
      <c r="D252">
        <v>2629</v>
      </c>
      <c r="E252">
        <v>1577</v>
      </c>
      <c r="F252" s="11">
        <v>43952</v>
      </c>
    </row>
    <row r="253" spans="1:6" x14ac:dyDescent="0.25">
      <c r="A253">
        <v>252</v>
      </c>
      <c r="B253" s="35" t="s">
        <v>2742</v>
      </c>
      <c r="D253">
        <v>2629</v>
      </c>
      <c r="E253">
        <v>1599</v>
      </c>
      <c r="F253" s="11">
        <v>43952</v>
      </c>
    </row>
    <row r="254" spans="1:6" x14ac:dyDescent="0.25">
      <c r="A254">
        <v>253</v>
      </c>
      <c r="B254" s="35" t="s">
        <v>2744</v>
      </c>
      <c r="D254">
        <v>4279</v>
      </c>
      <c r="E254">
        <v>2603</v>
      </c>
      <c r="F254" s="11">
        <v>43952</v>
      </c>
    </row>
    <row r="255" spans="1:6" x14ac:dyDescent="0.25">
      <c r="A255">
        <v>254</v>
      </c>
      <c r="B255" s="35" t="s">
        <v>3372</v>
      </c>
      <c r="D255">
        <v>1859</v>
      </c>
      <c r="E255">
        <v>1084</v>
      </c>
      <c r="F255" s="11">
        <v>43952</v>
      </c>
    </row>
    <row r="256" spans="1:6" x14ac:dyDescent="0.25">
      <c r="A256">
        <v>255</v>
      </c>
      <c r="B256" s="35" t="s">
        <v>3373</v>
      </c>
      <c r="D256">
        <v>3179</v>
      </c>
      <c r="E256">
        <v>1854</v>
      </c>
      <c r="F256" s="11">
        <v>43952</v>
      </c>
    </row>
    <row r="257" spans="1:6" x14ac:dyDescent="0.25">
      <c r="A257">
        <v>256</v>
      </c>
      <c r="B257" s="35" t="s">
        <v>3374</v>
      </c>
      <c r="D257">
        <v>3729</v>
      </c>
      <c r="E257">
        <v>2175</v>
      </c>
      <c r="F257" s="11">
        <v>43952</v>
      </c>
    </row>
    <row r="258" spans="1:6" x14ac:dyDescent="0.25">
      <c r="A258">
        <v>257</v>
      </c>
      <c r="B258" s="35" t="s">
        <v>3383</v>
      </c>
      <c r="D258">
        <v>5968</v>
      </c>
      <c r="E258">
        <v>3481</v>
      </c>
      <c r="F258" s="11">
        <v>43952</v>
      </c>
    </row>
    <row r="259" spans="1:6" x14ac:dyDescent="0.25">
      <c r="A259">
        <v>258</v>
      </c>
      <c r="B259" s="35" t="s">
        <v>3368</v>
      </c>
      <c r="D259">
        <v>4059</v>
      </c>
      <c r="E259">
        <v>2368</v>
      </c>
      <c r="F259" s="11">
        <v>43952</v>
      </c>
    </row>
    <row r="260" spans="1:6" x14ac:dyDescent="0.25">
      <c r="A260">
        <v>259</v>
      </c>
      <c r="B260" s="35" t="s">
        <v>3370</v>
      </c>
      <c r="D260">
        <v>8019</v>
      </c>
      <c r="E260">
        <v>4811</v>
      </c>
      <c r="F260" s="11">
        <v>43952</v>
      </c>
    </row>
    <row r="261" spans="1:6" x14ac:dyDescent="0.25">
      <c r="A261">
        <v>260</v>
      </c>
      <c r="B261" s="35" t="s">
        <v>3385</v>
      </c>
      <c r="D261">
        <v>13079</v>
      </c>
      <c r="E261">
        <v>7629</v>
      </c>
      <c r="F261" s="11">
        <v>43952</v>
      </c>
    </row>
    <row r="262" spans="1:6" x14ac:dyDescent="0.25">
      <c r="A262">
        <v>261</v>
      </c>
      <c r="B262" s="35" t="s">
        <v>3450</v>
      </c>
      <c r="D262">
        <v>759</v>
      </c>
      <c r="E262">
        <v>443</v>
      </c>
      <c r="F262" s="11">
        <v>43952</v>
      </c>
    </row>
    <row r="263" spans="1:6" x14ac:dyDescent="0.25">
      <c r="A263">
        <v>262</v>
      </c>
      <c r="B263" s="35" t="s">
        <v>3458</v>
      </c>
      <c r="D263">
        <v>1089</v>
      </c>
      <c r="E263">
        <v>635</v>
      </c>
      <c r="F263" s="11">
        <v>43952</v>
      </c>
    </row>
    <row r="264" spans="1:6" x14ac:dyDescent="0.25">
      <c r="A264">
        <v>263</v>
      </c>
      <c r="B264" s="35" t="s">
        <v>3451</v>
      </c>
      <c r="D264">
        <v>649</v>
      </c>
      <c r="E264">
        <v>389</v>
      </c>
      <c r="F264" s="11">
        <v>43952</v>
      </c>
    </row>
    <row r="265" spans="1:6" x14ac:dyDescent="0.25">
      <c r="A265">
        <v>264</v>
      </c>
      <c r="B265" s="35" t="s">
        <v>3459</v>
      </c>
      <c r="D265">
        <v>979</v>
      </c>
      <c r="E265">
        <v>587</v>
      </c>
      <c r="F265" s="11">
        <v>43952</v>
      </c>
    </row>
    <row r="266" spans="1:6" x14ac:dyDescent="0.25">
      <c r="A266">
        <v>265</v>
      </c>
      <c r="B266" s="35" t="s">
        <v>3475</v>
      </c>
      <c r="D266">
        <v>759</v>
      </c>
      <c r="E266">
        <v>443</v>
      </c>
      <c r="F266" s="11">
        <v>43952</v>
      </c>
    </row>
    <row r="267" spans="1:6" x14ac:dyDescent="0.25">
      <c r="A267">
        <v>266</v>
      </c>
      <c r="B267" s="35" t="s">
        <v>3484</v>
      </c>
      <c r="D267">
        <v>1089</v>
      </c>
      <c r="E267">
        <v>635</v>
      </c>
      <c r="F267" s="11">
        <v>43952</v>
      </c>
    </row>
    <row r="268" spans="1:6" x14ac:dyDescent="0.25">
      <c r="A268">
        <v>267</v>
      </c>
      <c r="B268" s="35" t="s">
        <v>3419</v>
      </c>
      <c r="D268">
        <v>869</v>
      </c>
      <c r="E268">
        <v>507</v>
      </c>
      <c r="F268" s="11">
        <v>43952</v>
      </c>
    </row>
    <row r="269" spans="1:6" x14ac:dyDescent="0.25">
      <c r="A269">
        <v>268</v>
      </c>
      <c r="B269" s="35" t="s">
        <v>3440</v>
      </c>
      <c r="D269">
        <v>979</v>
      </c>
      <c r="E269">
        <v>571</v>
      </c>
      <c r="F269" s="11">
        <v>43952</v>
      </c>
    </row>
    <row r="270" spans="1:6" x14ac:dyDescent="0.25">
      <c r="A270">
        <v>269</v>
      </c>
      <c r="B270" s="35" t="s">
        <v>3433</v>
      </c>
      <c r="D270">
        <v>539</v>
      </c>
      <c r="E270">
        <v>314</v>
      </c>
      <c r="F270" s="11">
        <v>43952</v>
      </c>
    </row>
    <row r="271" spans="1:6" x14ac:dyDescent="0.25">
      <c r="A271">
        <v>270</v>
      </c>
      <c r="B271" s="35" t="s">
        <v>3434</v>
      </c>
      <c r="D271">
        <v>869</v>
      </c>
      <c r="E271">
        <v>507</v>
      </c>
      <c r="F271" s="11">
        <v>43952</v>
      </c>
    </row>
    <row r="272" spans="1:6" x14ac:dyDescent="0.25">
      <c r="A272">
        <v>271</v>
      </c>
      <c r="B272" s="35" t="s">
        <v>3426</v>
      </c>
      <c r="D272">
        <v>869</v>
      </c>
      <c r="E272">
        <v>507</v>
      </c>
      <c r="F272" s="11">
        <v>43952</v>
      </c>
    </row>
    <row r="273" spans="1:6" x14ac:dyDescent="0.25">
      <c r="A273">
        <v>272</v>
      </c>
      <c r="B273" s="35" t="s">
        <v>3445</v>
      </c>
      <c r="D273">
        <v>539</v>
      </c>
      <c r="E273">
        <v>314</v>
      </c>
      <c r="F273" s="11">
        <v>43952</v>
      </c>
    </row>
    <row r="274" spans="1:6" x14ac:dyDescent="0.25">
      <c r="A274">
        <v>273</v>
      </c>
      <c r="B274" s="35" t="s">
        <v>3429</v>
      </c>
      <c r="D274">
        <v>869</v>
      </c>
      <c r="E274">
        <v>507</v>
      </c>
      <c r="F274" s="11">
        <v>43952</v>
      </c>
    </row>
    <row r="275" spans="1:6" x14ac:dyDescent="0.25">
      <c r="A275">
        <v>274</v>
      </c>
      <c r="B275" s="35" t="s">
        <v>3430</v>
      </c>
      <c r="D275">
        <v>539</v>
      </c>
      <c r="E275">
        <v>314</v>
      </c>
      <c r="F275" s="11">
        <v>43952</v>
      </c>
    </row>
    <row r="276" spans="1:6" x14ac:dyDescent="0.25">
      <c r="A276">
        <v>275</v>
      </c>
      <c r="B276" s="35" t="s">
        <v>3432</v>
      </c>
      <c r="D276">
        <v>649</v>
      </c>
      <c r="E276">
        <v>379</v>
      </c>
      <c r="F276" s="11">
        <v>43952</v>
      </c>
    </row>
    <row r="277" spans="1:6" x14ac:dyDescent="0.25">
      <c r="A277">
        <v>276</v>
      </c>
      <c r="B277" s="35" t="s">
        <v>3461</v>
      </c>
      <c r="D277">
        <v>979</v>
      </c>
      <c r="E277">
        <v>571</v>
      </c>
      <c r="F277" s="11">
        <v>43952</v>
      </c>
    </row>
    <row r="278" spans="1:6" x14ac:dyDescent="0.25">
      <c r="A278">
        <v>277</v>
      </c>
      <c r="B278" s="35" t="s">
        <v>3462</v>
      </c>
      <c r="D278">
        <v>979</v>
      </c>
      <c r="E278">
        <v>571</v>
      </c>
      <c r="F278" s="11">
        <v>43952</v>
      </c>
    </row>
    <row r="279" spans="1:6" x14ac:dyDescent="0.25">
      <c r="A279">
        <v>278</v>
      </c>
      <c r="B279" s="35" t="s">
        <v>3438</v>
      </c>
      <c r="D279">
        <v>539</v>
      </c>
      <c r="E279">
        <v>314</v>
      </c>
      <c r="F279" s="11">
        <v>43952</v>
      </c>
    </row>
    <row r="280" spans="1:6" x14ac:dyDescent="0.25">
      <c r="A280">
        <v>279</v>
      </c>
      <c r="B280" s="35" t="s">
        <v>3443</v>
      </c>
      <c r="D280">
        <v>649</v>
      </c>
      <c r="E280">
        <v>379</v>
      </c>
      <c r="F280" s="11">
        <v>43952</v>
      </c>
    </row>
    <row r="281" spans="1:6" x14ac:dyDescent="0.25">
      <c r="A281">
        <v>280</v>
      </c>
      <c r="B281" s="35" t="s">
        <v>3444</v>
      </c>
      <c r="D281">
        <v>1529</v>
      </c>
      <c r="E281">
        <v>892</v>
      </c>
      <c r="F281" s="11">
        <v>43952</v>
      </c>
    </row>
    <row r="282" spans="1:6" x14ac:dyDescent="0.25">
      <c r="A282">
        <v>281</v>
      </c>
      <c r="B282" s="35" t="s">
        <v>3487</v>
      </c>
      <c r="D282">
        <v>2369</v>
      </c>
      <c r="E282">
        <v>1382</v>
      </c>
      <c r="F282" s="11">
        <v>43952</v>
      </c>
    </row>
    <row r="283" spans="1:6" x14ac:dyDescent="0.25">
      <c r="A283">
        <v>282</v>
      </c>
      <c r="B283" s="35" t="s">
        <v>3446</v>
      </c>
      <c r="D283">
        <v>869</v>
      </c>
      <c r="E283">
        <v>507</v>
      </c>
      <c r="F283" s="11">
        <v>43952</v>
      </c>
    </row>
    <row r="284" spans="1:6" x14ac:dyDescent="0.25">
      <c r="A284">
        <v>283</v>
      </c>
      <c r="B284" s="35" t="s">
        <v>3470</v>
      </c>
      <c r="D284">
        <v>209</v>
      </c>
      <c r="E284">
        <v>122</v>
      </c>
      <c r="F284" s="11">
        <v>43952</v>
      </c>
    </row>
    <row r="285" spans="1:6" x14ac:dyDescent="0.25">
      <c r="A285">
        <v>284</v>
      </c>
      <c r="B285" s="35" t="s">
        <v>3436</v>
      </c>
      <c r="D285">
        <v>649</v>
      </c>
      <c r="E285">
        <v>379</v>
      </c>
      <c r="F285" s="11">
        <v>43952</v>
      </c>
    </row>
    <row r="286" spans="1:6" x14ac:dyDescent="0.25">
      <c r="A286">
        <v>285</v>
      </c>
      <c r="B286" s="35" t="s">
        <v>3435</v>
      </c>
      <c r="D286">
        <v>539</v>
      </c>
      <c r="E286">
        <v>314</v>
      </c>
      <c r="F286" s="11">
        <v>43952</v>
      </c>
    </row>
    <row r="287" spans="1:6" x14ac:dyDescent="0.25">
      <c r="A287">
        <v>286</v>
      </c>
      <c r="B287" s="35" t="s">
        <v>3460</v>
      </c>
      <c r="D287">
        <v>1309</v>
      </c>
      <c r="E287">
        <v>764</v>
      </c>
      <c r="F287" s="11">
        <v>43952</v>
      </c>
    </row>
    <row r="288" spans="1:6" x14ac:dyDescent="0.25">
      <c r="A288">
        <v>287</v>
      </c>
      <c r="B288" s="35" t="s">
        <v>1865</v>
      </c>
      <c r="D288">
        <v>5093</v>
      </c>
      <c r="E288">
        <v>2971</v>
      </c>
      <c r="F288" s="11">
        <v>43952</v>
      </c>
    </row>
    <row r="289" spans="1:6" x14ac:dyDescent="0.25">
      <c r="A289">
        <v>288</v>
      </c>
      <c r="B289" s="35" t="s">
        <v>1866</v>
      </c>
      <c r="D289">
        <v>1490</v>
      </c>
      <c r="E289">
        <v>869</v>
      </c>
      <c r="F289" s="11">
        <v>43952</v>
      </c>
    </row>
    <row r="290" spans="1:6" x14ac:dyDescent="0.25">
      <c r="A290">
        <v>289</v>
      </c>
      <c r="B290" s="35" t="s">
        <v>1877</v>
      </c>
      <c r="D290">
        <v>6990</v>
      </c>
      <c r="E290">
        <v>4252</v>
      </c>
      <c r="F290" s="11">
        <v>43952</v>
      </c>
    </row>
    <row r="291" spans="1:6" x14ac:dyDescent="0.25">
      <c r="A291">
        <v>290</v>
      </c>
      <c r="B291" s="35" t="s">
        <v>1920</v>
      </c>
      <c r="D291">
        <v>1290</v>
      </c>
      <c r="E291">
        <v>806</v>
      </c>
      <c r="F291" s="11">
        <v>43952</v>
      </c>
    </row>
    <row r="292" spans="1:6" x14ac:dyDescent="0.25">
      <c r="A292">
        <v>291</v>
      </c>
      <c r="B292" s="35" t="s">
        <v>1928</v>
      </c>
      <c r="D292">
        <v>2090</v>
      </c>
      <c r="E292">
        <v>1219</v>
      </c>
      <c r="F292" s="11">
        <v>43952</v>
      </c>
    </row>
    <row r="293" spans="1:6" x14ac:dyDescent="0.25">
      <c r="A293">
        <v>292</v>
      </c>
      <c r="B293" s="35" t="s">
        <v>1929</v>
      </c>
      <c r="D293">
        <v>2090</v>
      </c>
      <c r="E293">
        <v>1219</v>
      </c>
      <c r="F293" s="11">
        <v>43952</v>
      </c>
    </row>
    <row r="294" spans="1:6" x14ac:dyDescent="0.25">
      <c r="A294">
        <v>293</v>
      </c>
      <c r="B294" s="35" t="s">
        <v>1931</v>
      </c>
      <c r="D294">
        <v>2290</v>
      </c>
      <c r="E294">
        <v>1336</v>
      </c>
      <c r="F294" s="11">
        <v>43952</v>
      </c>
    </row>
    <row r="295" spans="1:6" x14ac:dyDescent="0.25">
      <c r="A295">
        <v>294</v>
      </c>
      <c r="B295" s="35" t="s">
        <v>1933</v>
      </c>
      <c r="D295">
        <v>3290</v>
      </c>
      <c r="E295">
        <v>1919</v>
      </c>
      <c r="F295" s="11">
        <v>43952</v>
      </c>
    </row>
    <row r="296" spans="1:6" x14ac:dyDescent="0.25">
      <c r="A296">
        <v>295</v>
      </c>
      <c r="B296" s="35" t="s">
        <v>1934</v>
      </c>
      <c r="D296">
        <v>3190</v>
      </c>
      <c r="E296">
        <v>1861</v>
      </c>
      <c r="F296" s="11">
        <v>43952</v>
      </c>
    </row>
    <row r="297" spans="1:6" x14ac:dyDescent="0.25">
      <c r="A297">
        <v>296</v>
      </c>
      <c r="B297" s="35" t="s">
        <v>1907</v>
      </c>
      <c r="D297">
        <v>2190</v>
      </c>
      <c r="E297">
        <v>1278</v>
      </c>
      <c r="F297" s="11">
        <v>43952</v>
      </c>
    </row>
    <row r="298" spans="1:6" x14ac:dyDescent="0.25">
      <c r="A298">
        <v>297</v>
      </c>
      <c r="B298" s="35" t="s">
        <v>1908</v>
      </c>
      <c r="D298">
        <v>2490</v>
      </c>
      <c r="E298">
        <v>1453</v>
      </c>
      <c r="F298" s="11">
        <v>43952</v>
      </c>
    </row>
    <row r="299" spans="1:6" x14ac:dyDescent="0.25">
      <c r="A299">
        <v>298</v>
      </c>
      <c r="B299" s="35" t="s">
        <v>1911</v>
      </c>
      <c r="D299">
        <v>2390</v>
      </c>
      <c r="E299">
        <v>1394</v>
      </c>
      <c r="F299" s="11">
        <v>43952</v>
      </c>
    </row>
    <row r="300" spans="1:6" x14ac:dyDescent="0.25">
      <c r="A300">
        <v>299</v>
      </c>
      <c r="B300" s="35" t="s">
        <v>1912</v>
      </c>
      <c r="D300">
        <v>3190</v>
      </c>
      <c r="E300">
        <v>1861</v>
      </c>
      <c r="F300" s="11">
        <v>43952</v>
      </c>
    </row>
    <row r="301" spans="1:6" x14ac:dyDescent="0.25">
      <c r="A301">
        <v>300</v>
      </c>
      <c r="B301" s="35" t="s">
        <v>1913</v>
      </c>
      <c r="D301">
        <v>3290</v>
      </c>
      <c r="E301">
        <v>1919</v>
      </c>
      <c r="F301" s="11">
        <v>43952</v>
      </c>
    </row>
    <row r="302" spans="1:6" x14ac:dyDescent="0.25">
      <c r="A302">
        <v>301</v>
      </c>
      <c r="B302" s="35" t="s">
        <v>1846</v>
      </c>
      <c r="D302">
        <v>803</v>
      </c>
      <c r="E302">
        <v>468</v>
      </c>
      <c r="F302" s="11">
        <v>43952</v>
      </c>
    </row>
    <row r="303" spans="1:6" x14ac:dyDescent="0.25">
      <c r="A303">
        <v>302</v>
      </c>
      <c r="B303" s="35" t="s">
        <v>1845</v>
      </c>
      <c r="D303">
        <v>899</v>
      </c>
      <c r="E303">
        <v>524</v>
      </c>
      <c r="F303" s="11">
        <v>43952</v>
      </c>
    </row>
    <row r="304" spans="1:6" x14ac:dyDescent="0.25">
      <c r="A304">
        <v>303</v>
      </c>
      <c r="B304" s="35" t="s">
        <v>1874</v>
      </c>
      <c r="D304">
        <v>6990</v>
      </c>
      <c r="E304">
        <v>3903</v>
      </c>
      <c r="F304" s="11">
        <v>43952</v>
      </c>
    </row>
    <row r="305" spans="1:6" x14ac:dyDescent="0.25">
      <c r="A305">
        <v>304</v>
      </c>
      <c r="B305" s="35" t="s">
        <v>1856</v>
      </c>
      <c r="D305">
        <v>4149</v>
      </c>
      <c r="E305">
        <v>2524</v>
      </c>
      <c r="F305" s="11">
        <v>43952</v>
      </c>
    </row>
    <row r="306" spans="1:6" x14ac:dyDescent="0.25">
      <c r="A306">
        <v>305</v>
      </c>
      <c r="B306" s="35" t="s">
        <v>2660</v>
      </c>
      <c r="D306">
        <v>1393</v>
      </c>
      <c r="E306">
        <v>847</v>
      </c>
      <c r="F306" s="11">
        <v>43952</v>
      </c>
    </row>
    <row r="307" spans="1:6" x14ac:dyDescent="0.25">
      <c r="A307">
        <v>306</v>
      </c>
      <c r="B307" s="35" t="s">
        <v>2662</v>
      </c>
      <c r="D307">
        <v>1717</v>
      </c>
      <c r="E307">
        <v>1045</v>
      </c>
      <c r="F307" s="11">
        <v>43952</v>
      </c>
    </row>
    <row r="308" spans="1:6" x14ac:dyDescent="0.25">
      <c r="A308">
        <v>307</v>
      </c>
      <c r="B308" s="35" t="s">
        <v>2663</v>
      </c>
      <c r="D308">
        <v>2905</v>
      </c>
      <c r="E308">
        <v>1767</v>
      </c>
      <c r="F308" s="11">
        <v>43952</v>
      </c>
    </row>
    <row r="309" spans="1:6" x14ac:dyDescent="0.25">
      <c r="A309">
        <v>308</v>
      </c>
      <c r="B309" s="35" t="s">
        <v>2725</v>
      </c>
      <c r="D309">
        <v>3289</v>
      </c>
      <c r="E309">
        <v>2001</v>
      </c>
      <c r="F309" s="11">
        <v>43952</v>
      </c>
    </row>
    <row r="310" spans="1:6" x14ac:dyDescent="0.25">
      <c r="A310">
        <v>309</v>
      </c>
      <c r="B310" s="35" t="s">
        <v>2665</v>
      </c>
      <c r="D310">
        <v>3877</v>
      </c>
      <c r="E310">
        <v>2359</v>
      </c>
      <c r="F310" s="11">
        <v>43952</v>
      </c>
    </row>
    <row r="311" spans="1:6" x14ac:dyDescent="0.25">
      <c r="A311">
        <v>310</v>
      </c>
      <c r="B311" s="35" t="s">
        <v>2668</v>
      </c>
      <c r="D311">
        <v>2927</v>
      </c>
      <c r="E311">
        <v>1781</v>
      </c>
      <c r="F311" s="11">
        <v>43952</v>
      </c>
    </row>
    <row r="312" spans="1:6" x14ac:dyDescent="0.25">
      <c r="A312">
        <v>311</v>
      </c>
      <c r="B312" s="35" t="s">
        <v>2670</v>
      </c>
      <c r="D312">
        <v>7333</v>
      </c>
      <c r="E312">
        <v>4461</v>
      </c>
      <c r="F312" s="11">
        <v>43952</v>
      </c>
    </row>
    <row r="313" spans="1:6" x14ac:dyDescent="0.25">
      <c r="A313">
        <v>312</v>
      </c>
      <c r="B313" s="35" t="s">
        <v>2674</v>
      </c>
      <c r="D313">
        <v>2041</v>
      </c>
      <c r="E313">
        <v>1242</v>
      </c>
      <c r="F313" s="11">
        <v>43952</v>
      </c>
    </row>
    <row r="314" spans="1:6" x14ac:dyDescent="0.25">
      <c r="A314">
        <v>313</v>
      </c>
      <c r="B314" s="35" t="s">
        <v>2675</v>
      </c>
      <c r="D314">
        <v>3337</v>
      </c>
      <c r="E314">
        <v>2030</v>
      </c>
      <c r="F314" s="11">
        <v>43952</v>
      </c>
    </row>
    <row r="315" spans="1:6" x14ac:dyDescent="0.25">
      <c r="A315">
        <v>314</v>
      </c>
      <c r="B315" s="35" t="s">
        <v>2677</v>
      </c>
      <c r="D315">
        <v>4957</v>
      </c>
      <c r="E315">
        <v>3016</v>
      </c>
      <c r="F315" s="11">
        <v>43952</v>
      </c>
    </row>
    <row r="316" spans="1:6" x14ac:dyDescent="0.25">
      <c r="A316">
        <v>315</v>
      </c>
      <c r="B316" s="35" t="s">
        <v>2678</v>
      </c>
      <c r="D316">
        <v>102</v>
      </c>
      <c r="E316">
        <v>62</v>
      </c>
      <c r="F316" s="11">
        <v>43952</v>
      </c>
    </row>
    <row r="317" spans="1:6" x14ac:dyDescent="0.25">
      <c r="A317">
        <v>316</v>
      </c>
      <c r="B317" s="35" t="s">
        <v>2726</v>
      </c>
      <c r="D317">
        <v>1419</v>
      </c>
      <c r="E317">
        <v>863</v>
      </c>
      <c r="F317" s="11">
        <v>43952</v>
      </c>
    </row>
    <row r="318" spans="1:6" x14ac:dyDescent="0.25">
      <c r="A318">
        <v>317</v>
      </c>
      <c r="B318" s="35" t="s">
        <v>2689</v>
      </c>
      <c r="D318">
        <v>4201</v>
      </c>
      <c r="E318">
        <v>2556</v>
      </c>
      <c r="F318" s="11">
        <v>43952</v>
      </c>
    </row>
    <row r="319" spans="1:6" x14ac:dyDescent="0.25">
      <c r="A319">
        <v>318</v>
      </c>
      <c r="B319" s="35" t="s">
        <v>2690</v>
      </c>
      <c r="D319">
        <v>8521</v>
      </c>
      <c r="E319">
        <v>5184</v>
      </c>
      <c r="F319" s="11">
        <v>43952</v>
      </c>
    </row>
    <row r="320" spans="1:6" x14ac:dyDescent="0.25">
      <c r="A320">
        <v>319</v>
      </c>
      <c r="B320" s="35" t="s">
        <v>2691</v>
      </c>
      <c r="D320">
        <v>205</v>
      </c>
      <c r="E320">
        <v>125</v>
      </c>
      <c r="F320" s="11">
        <v>43952</v>
      </c>
    </row>
    <row r="321" spans="1:6" x14ac:dyDescent="0.25">
      <c r="A321">
        <v>320</v>
      </c>
      <c r="B321" s="35" t="s">
        <v>2692</v>
      </c>
      <c r="D321">
        <v>313</v>
      </c>
      <c r="E321">
        <v>190</v>
      </c>
      <c r="F321" s="11">
        <v>43952</v>
      </c>
    </row>
    <row r="322" spans="1:6" x14ac:dyDescent="0.25">
      <c r="A322">
        <v>321</v>
      </c>
      <c r="B322" s="35" t="s">
        <v>2693</v>
      </c>
      <c r="D322">
        <v>529</v>
      </c>
      <c r="E322">
        <v>322</v>
      </c>
      <c r="F322" s="11">
        <v>43952</v>
      </c>
    </row>
    <row r="323" spans="1:6" x14ac:dyDescent="0.25">
      <c r="A323">
        <v>322</v>
      </c>
      <c r="B323" s="35" t="s">
        <v>2695</v>
      </c>
      <c r="D323">
        <v>2905</v>
      </c>
      <c r="E323">
        <v>1767</v>
      </c>
      <c r="F323" s="11">
        <v>43952</v>
      </c>
    </row>
    <row r="324" spans="1:6" x14ac:dyDescent="0.25">
      <c r="A324">
        <v>323</v>
      </c>
      <c r="B324" s="35" t="s">
        <v>2698</v>
      </c>
      <c r="D324">
        <v>7441</v>
      </c>
      <c r="E324">
        <v>4527</v>
      </c>
      <c r="F324" s="11">
        <v>43952</v>
      </c>
    </row>
    <row r="325" spans="1:6" x14ac:dyDescent="0.25">
      <c r="A325">
        <v>324</v>
      </c>
      <c r="B325" s="35" t="s">
        <v>2699</v>
      </c>
      <c r="D325">
        <v>146</v>
      </c>
      <c r="E325">
        <v>89</v>
      </c>
      <c r="F325" s="11">
        <v>43952</v>
      </c>
    </row>
    <row r="326" spans="1:6" x14ac:dyDescent="0.25">
      <c r="A326">
        <v>325</v>
      </c>
      <c r="B326" s="35" t="s">
        <v>2703</v>
      </c>
      <c r="D326">
        <v>6037</v>
      </c>
      <c r="E326">
        <v>3673</v>
      </c>
      <c r="F326" s="11">
        <v>43952</v>
      </c>
    </row>
    <row r="327" spans="1:6" x14ac:dyDescent="0.25">
      <c r="A327">
        <v>326</v>
      </c>
      <c r="B327" s="35" t="s">
        <v>2704</v>
      </c>
      <c r="D327">
        <v>12301</v>
      </c>
      <c r="E327">
        <v>7483</v>
      </c>
      <c r="F327" s="11">
        <v>43952</v>
      </c>
    </row>
    <row r="328" spans="1:6" x14ac:dyDescent="0.25">
      <c r="A328">
        <v>327</v>
      </c>
      <c r="B328" s="35" t="s">
        <v>2705</v>
      </c>
      <c r="D328">
        <v>205</v>
      </c>
      <c r="E328">
        <v>125</v>
      </c>
      <c r="F328" s="11">
        <v>43952</v>
      </c>
    </row>
    <row r="329" spans="1:6" x14ac:dyDescent="0.25">
      <c r="A329">
        <v>328</v>
      </c>
      <c r="B329" s="35" t="s">
        <v>2708</v>
      </c>
      <c r="D329">
        <v>4417</v>
      </c>
      <c r="E329">
        <v>2687</v>
      </c>
      <c r="F329" s="11">
        <v>43952</v>
      </c>
    </row>
    <row r="330" spans="1:6" x14ac:dyDescent="0.25">
      <c r="A330">
        <v>329</v>
      </c>
      <c r="B330" s="35" t="s">
        <v>2710</v>
      </c>
      <c r="D330">
        <v>11221</v>
      </c>
      <c r="E330">
        <v>6826</v>
      </c>
      <c r="F330" s="11">
        <v>43952</v>
      </c>
    </row>
    <row r="331" spans="1:6" x14ac:dyDescent="0.25">
      <c r="A331">
        <v>330</v>
      </c>
      <c r="B331" s="35" t="s">
        <v>2712</v>
      </c>
      <c r="D331">
        <v>9061</v>
      </c>
      <c r="E331">
        <v>5512</v>
      </c>
      <c r="F331" s="11">
        <v>43952</v>
      </c>
    </row>
    <row r="332" spans="1:6" x14ac:dyDescent="0.25">
      <c r="A332">
        <v>331</v>
      </c>
      <c r="B332" s="35" t="s">
        <v>2653</v>
      </c>
      <c r="D332">
        <v>2739</v>
      </c>
      <c r="E332">
        <v>1894</v>
      </c>
      <c r="F332" s="11">
        <v>43952</v>
      </c>
    </row>
    <row r="333" spans="1:6" x14ac:dyDescent="0.25">
      <c r="A333">
        <v>332</v>
      </c>
      <c r="B333" s="35" t="s">
        <v>2824</v>
      </c>
      <c r="D333">
        <v>1309</v>
      </c>
      <c r="E333">
        <v>798</v>
      </c>
      <c r="F333" s="11">
        <v>43952</v>
      </c>
    </row>
    <row r="334" spans="1:6" x14ac:dyDescent="0.25">
      <c r="A334">
        <v>333</v>
      </c>
      <c r="B334" s="35" t="s">
        <v>2831</v>
      </c>
      <c r="D334">
        <v>1859</v>
      </c>
      <c r="E334">
        <v>1131</v>
      </c>
      <c r="F334" s="11">
        <v>43952</v>
      </c>
    </row>
    <row r="335" spans="1:6" x14ac:dyDescent="0.25">
      <c r="A335">
        <v>334</v>
      </c>
      <c r="B335" s="35" t="s">
        <v>2256</v>
      </c>
      <c r="D335">
        <v>13790</v>
      </c>
      <c r="E335">
        <v>9423</v>
      </c>
      <c r="F335" s="11">
        <v>43952</v>
      </c>
    </row>
    <row r="336" spans="1:6" x14ac:dyDescent="0.25">
      <c r="A336">
        <v>335</v>
      </c>
      <c r="B336" s="35" t="s">
        <v>2252</v>
      </c>
      <c r="D336">
        <v>11390</v>
      </c>
      <c r="E336">
        <v>7783</v>
      </c>
      <c r="F336" s="11">
        <v>43952</v>
      </c>
    </row>
    <row r="337" spans="1:6" x14ac:dyDescent="0.25">
      <c r="A337">
        <v>336</v>
      </c>
      <c r="B337" s="35" t="s">
        <v>2271</v>
      </c>
      <c r="D337">
        <v>26190</v>
      </c>
      <c r="E337">
        <v>17897</v>
      </c>
      <c r="F337" s="11">
        <v>43952</v>
      </c>
    </row>
    <row r="338" spans="1:6" x14ac:dyDescent="0.25">
      <c r="A338">
        <v>337</v>
      </c>
      <c r="B338" s="35" t="s">
        <v>2397</v>
      </c>
      <c r="D338">
        <v>18390</v>
      </c>
      <c r="E338">
        <v>12567</v>
      </c>
      <c r="F338" s="11">
        <v>43952</v>
      </c>
    </row>
    <row r="339" spans="1:6" x14ac:dyDescent="0.25">
      <c r="A339">
        <v>338</v>
      </c>
      <c r="B339" s="35" t="s">
        <v>2292</v>
      </c>
      <c r="D339">
        <v>15690</v>
      </c>
      <c r="E339">
        <v>10722</v>
      </c>
      <c r="F339" s="11">
        <v>43952</v>
      </c>
    </row>
    <row r="340" spans="1:6" x14ac:dyDescent="0.25">
      <c r="A340">
        <v>339</v>
      </c>
      <c r="B340" s="35" t="s">
        <v>2324</v>
      </c>
      <c r="D340">
        <v>13990</v>
      </c>
      <c r="E340">
        <v>9560</v>
      </c>
      <c r="F340" s="11">
        <v>43952</v>
      </c>
    </row>
    <row r="341" spans="1:6" x14ac:dyDescent="0.25">
      <c r="A341">
        <v>340</v>
      </c>
      <c r="B341" s="35" t="s">
        <v>2306</v>
      </c>
      <c r="D341">
        <v>5990</v>
      </c>
      <c r="E341">
        <v>4093</v>
      </c>
      <c r="F341" s="11">
        <v>43952</v>
      </c>
    </row>
    <row r="342" spans="1:6" x14ac:dyDescent="0.25">
      <c r="A342">
        <v>341</v>
      </c>
      <c r="B342" s="35" t="s">
        <v>2307</v>
      </c>
      <c r="D342">
        <v>7690</v>
      </c>
      <c r="E342">
        <v>5255</v>
      </c>
      <c r="F342" s="11">
        <v>43952</v>
      </c>
    </row>
    <row r="343" spans="1:6" x14ac:dyDescent="0.25">
      <c r="A343">
        <v>342</v>
      </c>
      <c r="B343" s="35" t="s">
        <v>2479</v>
      </c>
      <c r="D343">
        <v>4890</v>
      </c>
      <c r="E343">
        <v>3342</v>
      </c>
      <c r="F343" s="11">
        <v>43952</v>
      </c>
    </row>
    <row r="344" spans="1:6" x14ac:dyDescent="0.25">
      <c r="A344">
        <v>343</v>
      </c>
      <c r="B344" s="35" t="s">
        <v>2919</v>
      </c>
      <c r="D344">
        <v>529</v>
      </c>
      <c r="E344">
        <v>309</v>
      </c>
      <c r="F344" s="11">
        <v>43952</v>
      </c>
    </row>
    <row r="345" spans="1:6" x14ac:dyDescent="0.25">
      <c r="A345">
        <v>344</v>
      </c>
      <c r="B345" s="35" t="s">
        <v>3471</v>
      </c>
      <c r="D345">
        <v>539</v>
      </c>
      <c r="E345">
        <v>328</v>
      </c>
      <c r="F345" s="11">
        <v>43952</v>
      </c>
    </row>
    <row r="346" spans="1:6" x14ac:dyDescent="0.25">
      <c r="A346">
        <v>345</v>
      </c>
      <c r="B346" s="35" t="s">
        <v>3466</v>
      </c>
      <c r="D346">
        <v>1749</v>
      </c>
      <c r="E346">
        <v>1020</v>
      </c>
      <c r="F346" s="11">
        <v>43952</v>
      </c>
    </row>
    <row r="347" spans="1:6" x14ac:dyDescent="0.25">
      <c r="A347">
        <v>346</v>
      </c>
      <c r="B347" s="35" t="s">
        <v>3465</v>
      </c>
      <c r="D347">
        <v>2959</v>
      </c>
      <c r="E347">
        <v>1775</v>
      </c>
      <c r="F347" s="11">
        <v>43952</v>
      </c>
    </row>
    <row r="348" spans="1:6" x14ac:dyDescent="0.25">
      <c r="A348">
        <v>347</v>
      </c>
      <c r="B348" s="35" t="s">
        <v>3489</v>
      </c>
      <c r="D348">
        <v>1749</v>
      </c>
      <c r="E348">
        <v>1049</v>
      </c>
      <c r="F348" s="11">
        <v>43952</v>
      </c>
    </row>
    <row r="349" spans="1:6" x14ac:dyDescent="0.25">
      <c r="A349">
        <v>348</v>
      </c>
      <c r="B349" s="35" t="s">
        <v>3425</v>
      </c>
      <c r="D349">
        <v>539</v>
      </c>
      <c r="E349">
        <v>314</v>
      </c>
      <c r="F349" s="11">
        <v>43952</v>
      </c>
    </row>
    <row r="350" spans="1:6" x14ac:dyDescent="0.25">
      <c r="A350">
        <v>349</v>
      </c>
      <c r="B350" s="35" t="s">
        <v>3491</v>
      </c>
      <c r="D350">
        <v>9119</v>
      </c>
      <c r="E350">
        <v>5319</v>
      </c>
      <c r="F350" s="11">
        <v>43952</v>
      </c>
    </row>
    <row r="351" spans="1:6" x14ac:dyDescent="0.25">
      <c r="A351">
        <v>350</v>
      </c>
      <c r="B351" s="35" t="s">
        <v>3052</v>
      </c>
      <c r="D351">
        <v>3839</v>
      </c>
      <c r="E351">
        <v>2150</v>
      </c>
      <c r="F351" s="11">
        <v>43952</v>
      </c>
    </row>
    <row r="352" spans="1:6" x14ac:dyDescent="0.25">
      <c r="A352">
        <v>351</v>
      </c>
      <c r="B352" s="35" t="s">
        <v>3167</v>
      </c>
      <c r="D352">
        <v>5379</v>
      </c>
      <c r="E352">
        <v>3013</v>
      </c>
      <c r="F352" s="11">
        <v>43952</v>
      </c>
    </row>
    <row r="353" spans="1:6" x14ac:dyDescent="0.25">
      <c r="A353">
        <v>352</v>
      </c>
      <c r="B353" s="35" t="s">
        <v>2941</v>
      </c>
      <c r="D353">
        <v>1290</v>
      </c>
      <c r="E353">
        <v>753</v>
      </c>
      <c r="F353" s="11">
        <v>43952</v>
      </c>
    </row>
    <row r="354" spans="1:6" x14ac:dyDescent="0.25">
      <c r="A354">
        <v>353</v>
      </c>
      <c r="B354" s="35" t="s">
        <v>2355</v>
      </c>
      <c r="D354">
        <v>2629</v>
      </c>
      <c r="E354">
        <v>1643</v>
      </c>
      <c r="F354" s="11">
        <v>43952</v>
      </c>
    </row>
    <row r="355" spans="1:6" x14ac:dyDescent="0.25">
      <c r="A355">
        <v>354</v>
      </c>
      <c r="B355" s="35" t="s">
        <v>2356</v>
      </c>
      <c r="D355">
        <v>3179</v>
      </c>
      <c r="E355">
        <v>1987</v>
      </c>
      <c r="F355" s="11">
        <v>43952</v>
      </c>
    </row>
    <row r="356" spans="1:6" x14ac:dyDescent="0.25">
      <c r="A356">
        <v>355</v>
      </c>
      <c r="B356" s="35" t="s">
        <v>2357</v>
      </c>
      <c r="D356">
        <v>3839</v>
      </c>
      <c r="E356">
        <v>2399</v>
      </c>
      <c r="F356" s="11">
        <v>43952</v>
      </c>
    </row>
    <row r="357" spans="1:6" x14ac:dyDescent="0.25">
      <c r="A357">
        <v>356</v>
      </c>
      <c r="B357" s="35" t="s">
        <v>2353</v>
      </c>
      <c r="D357">
        <v>2629</v>
      </c>
      <c r="E357">
        <v>1643</v>
      </c>
      <c r="F357" s="11">
        <v>43952</v>
      </c>
    </row>
    <row r="358" spans="1:6" x14ac:dyDescent="0.25">
      <c r="A358">
        <v>357</v>
      </c>
      <c r="B358" s="35" t="s">
        <v>2354</v>
      </c>
      <c r="D358">
        <v>2959</v>
      </c>
      <c r="E358">
        <v>1849</v>
      </c>
      <c r="F358" s="11">
        <v>43952</v>
      </c>
    </row>
    <row r="359" spans="1:6" x14ac:dyDescent="0.25">
      <c r="A359">
        <v>358</v>
      </c>
      <c r="B359" s="35" t="s">
        <v>2792</v>
      </c>
      <c r="D359">
        <v>319</v>
      </c>
      <c r="E359">
        <v>197</v>
      </c>
      <c r="F359" s="11">
        <v>43952</v>
      </c>
    </row>
    <row r="360" spans="1:6" x14ac:dyDescent="0.25">
      <c r="A360">
        <v>359</v>
      </c>
      <c r="B360" s="35" t="s">
        <v>2064</v>
      </c>
      <c r="D360">
        <v>1790</v>
      </c>
      <c r="E360">
        <v>1074</v>
      </c>
      <c r="F360" s="11">
        <v>43952</v>
      </c>
    </row>
    <row r="361" spans="1:6" x14ac:dyDescent="0.25">
      <c r="A361">
        <v>360</v>
      </c>
      <c r="B361" s="35" t="s">
        <v>2066</v>
      </c>
      <c r="D361">
        <v>1990</v>
      </c>
      <c r="E361">
        <v>1194</v>
      </c>
      <c r="F361" s="11">
        <v>43952</v>
      </c>
    </row>
    <row r="362" spans="1:6" x14ac:dyDescent="0.25">
      <c r="A362">
        <v>361</v>
      </c>
      <c r="B362" s="35" t="s">
        <v>2024</v>
      </c>
      <c r="D362">
        <v>3690</v>
      </c>
      <c r="E362">
        <v>2199</v>
      </c>
      <c r="F362" s="11">
        <v>43952</v>
      </c>
    </row>
    <row r="363" spans="1:6" x14ac:dyDescent="0.25">
      <c r="A363">
        <v>362</v>
      </c>
      <c r="B363" s="35" t="s">
        <v>2086</v>
      </c>
      <c r="D363">
        <v>890</v>
      </c>
      <c r="E363">
        <v>519</v>
      </c>
      <c r="F363" s="11">
        <v>43952</v>
      </c>
    </row>
    <row r="364" spans="1:6" x14ac:dyDescent="0.25">
      <c r="A364">
        <v>363</v>
      </c>
      <c r="B364" s="35" t="s">
        <v>2073</v>
      </c>
      <c r="D364">
        <v>1790</v>
      </c>
      <c r="E364">
        <v>1059</v>
      </c>
      <c r="F364" s="11">
        <v>43952</v>
      </c>
    </row>
    <row r="365" spans="1:6" x14ac:dyDescent="0.25">
      <c r="A365">
        <v>364</v>
      </c>
      <c r="B365" s="35" t="s">
        <v>2074</v>
      </c>
      <c r="D365">
        <v>1790</v>
      </c>
      <c r="E365">
        <v>1193</v>
      </c>
      <c r="F365" s="11">
        <v>43952</v>
      </c>
    </row>
    <row r="366" spans="1:6" x14ac:dyDescent="0.25">
      <c r="A366">
        <v>365</v>
      </c>
      <c r="B366" s="35" t="s">
        <v>2483</v>
      </c>
      <c r="D366">
        <v>2409</v>
      </c>
      <c r="E366">
        <v>1425</v>
      </c>
      <c r="F366" s="11">
        <v>43952</v>
      </c>
    </row>
    <row r="367" spans="1:6" x14ac:dyDescent="0.25">
      <c r="A367">
        <v>366</v>
      </c>
      <c r="B367" s="35" t="s">
        <v>2484</v>
      </c>
      <c r="D367">
        <v>2739</v>
      </c>
      <c r="E367">
        <v>1621</v>
      </c>
      <c r="F367" s="11">
        <v>43952</v>
      </c>
    </row>
    <row r="368" spans="1:6" x14ac:dyDescent="0.25">
      <c r="A368">
        <v>367</v>
      </c>
      <c r="B368" s="35" t="s">
        <v>2480</v>
      </c>
      <c r="D368">
        <v>2079</v>
      </c>
      <c r="E368">
        <v>1230</v>
      </c>
      <c r="F368" s="11">
        <v>43952</v>
      </c>
    </row>
    <row r="369" spans="1:6" x14ac:dyDescent="0.25">
      <c r="A369">
        <v>368</v>
      </c>
      <c r="B369" s="35" t="s">
        <v>2481</v>
      </c>
      <c r="D369">
        <v>2519</v>
      </c>
      <c r="E369">
        <v>1490</v>
      </c>
      <c r="F369" s="11">
        <v>43952</v>
      </c>
    </row>
    <row r="370" spans="1:6" x14ac:dyDescent="0.25">
      <c r="A370">
        <v>369</v>
      </c>
      <c r="B370" s="35" t="s">
        <v>2482</v>
      </c>
      <c r="D370">
        <v>2739</v>
      </c>
      <c r="E370">
        <v>1621</v>
      </c>
      <c r="F370" s="11">
        <v>43952</v>
      </c>
    </row>
    <row r="371" spans="1:6" x14ac:dyDescent="0.25">
      <c r="A371">
        <v>370</v>
      </c>
      <c r="B371" s="35" t="s">
        <v>2459</v>
      </c>
      <c r="D371">
        <v>1639</v>
      </c>
      <c r="E371">
        <v>888</v>
      </c>
      <c r="F371" s="11">
        <v>43952</v>
      </c>
    </row>
    <row r="372" spans="1:6" x14ac:dyDescent="0.25">
      <c r="A372">
        <v>371</v>
      </c>
      <c r="B372" s="35" t="s">
        <v>2460</v>
      </c>
      <c r="D372">
        <v>7192</v>
      </c>
      <c r="E372">
        <v>3896</v>
      </c>
      <c r="F372" s="11">
        <v>43952</v>
      </c>
    </row>
    <row r="373" spans="1:6" x14ac:dyDescent="0.25">
      <c r="A373">
        <v>372</v>
      </c>
      <c r="B373" s="35" t="s">
        <v>2461</v>
      </c>
      <c r="D373">
        <v>1199</v>
      </c>
      <c r="E373">
        <v>649</v>
      </c>
      <c r="F373" s="11">
        <v>43952</v>
      </c>
    </row>
    <row r="374" spans="1:6" x14ac:dyDescent="0.25">
      <c r="A374">
        <v>373</v>
      </c>
      <c r="B374" s="35" t="s">
        <v>2462</v>
      </c>
      <c r="D374">
        <v>1419</v>
      </c>
      <c r="E374">
        <v>769</v>
      </c>
      <c r="F374" s="11">
        <v>43952</v>
      </c>
    </row>
    <row r="375" spans="1:6" x14ac:dyDescent="0.25">
      <c r="A375">
        <v>374</v>
      </c>
      <c r="B375" s="35" t="s">
        <v>2339</v>
      </c>
      <c r="D375">
        <v>979</v>
      </c>
      <c r="E375">
        <v>571</v>
      </c>
      <c r="F375" s="11">
        <v>43952</v>
      </c>
    </row>
    <row r="376" spans="1:6" x14ac:dyDescent="0.25">
      <c r="A376">
        <v>375</v>
      </c>
      <c r="B376" s="35" t="s">
        <v>2340</v>
      </c>
      <c r="D376">
        <v>1089</v>
      </c>
      <c r="E376">
        <v>635</v>
      </c>
      <c r="F376" s="11">
        <v>43952</v>
      </c>
    </row>
    <row r="377" spans="1:6" x14ac:dyDescent="0.25">
      <c r="A377">
        <v>376</v>
      </c>
      <c r="B377" s="35" t="s">
        <v>2341</v>
      </c>
      <c r="D377">
        <v>1309</v>
      </c>
      <c r="E377">
        <v>764</v>
      </c>
      <c r="F377" s="11">
        <v>43952</v>
      </c>
    </row>
    <row r="378" spans="1:6" x14ac:dyDescent="0.25">
      <c r="A378">
        <v>377</v>
      </c>
      <c r="B378" s="35" t="s">
        <v>2338</v>
      </c>
      <c r="D378">
        <v>1089</v>
      </c>
      <c r="E378">
        <v>635</v>
      </c>
      <c r="F378" s="11">
        <v>43952</v>
      </c>
    </row>
    <row r="379" spans="1:6" x14ac:dyDescent="0.25">
      <c r="A379">
        <v>378</v>
      </c>
      <c r="B379" s="35" t="s">
        <v>3018</v>
      </c>
      <c r="D379">
        <v>18990</v>
      </c>
      <c r="E379">
        <v>11869</v>
      </c>
      <c r="F379" s="11">
        <v>43952</v>
      </c>
    </row>
    <row r="380" spans="1:6" x14ac:dyDescent="0.25">
      <c r="A380">
        <v>379</v>
      </c>
      <c r="B380" s="35" t="s">
        <v>3473</v>
      </c>
      <c r="D380">
        <v>319</v>
      </c>
      <c r="E380">
        <v>186</v>
      </c>
      <c r="F380" s="11">
        <v>43952</v>
      </c>
    </row>
    <row r="381" spans="1:6" x14ac:dyDescent="0.25">
      <c r="A381">
        <v>380</v>
      </c>
      <c r="B381" s="35" t="s">
        <v>3472</v>
      </c>
      <c r="D381">
        <v>429</v>
      </c>
      <c r="E381">
        <v>250</v>
      </c>
      <c r="F381" s="11">
        <v>43952</v>
      </c>
    </row>
    <row r="382" spans="1:6" x14ac:dyDescent="0.25">
      <c r="A382">
        <v>381</v>
      </c>
      <c r="B382" s="35" t="s">
        <v>3428</v>
      </c>
      <c r="D382">
        <v>979</v>
      </c>
      <c r="E382">
        <v>571</v>
      </c>
      <c r="F382" s="11">
        <v>43952</v>
      </c>
    </row>
    <row r="383" spans="1:6" x14ac:dyDescent="0.25">
      <c r="A383">
        <v>382</v>
      </c>
      <c r="B383" s="35" t="s">
        <v>1914</v>
      </c>
      <c r="D383">
        <v>3290</v>
      </c>
      <c r="E383">
        <v>1782</v>
      </c>
      <c r="F383" s="11">
        <v>43952</v>
      </c>
    </row>
    <row r="384" spans="1:6" x14ac:dyDescent="0.25">
      <c r="A384">
        <v>383</v>
      </c>
      <c r="B384" s="35" t="s">
        <v>1918</v>
      </c>
      <c r="D384">
        <v>3990</v>
      </c>
      <c r="E384">
        <v>2161</v>
      </c>
      <c r="F384" s="11">
        <v>43952</v>
      </c>
    </row>
    <row r="385" spans="1:6" x14ac:dyDescent="0.25">
      <c r="A385">
        <v>384</v>
      </c>
      <c r="B385" s="35" t="s">
        <v>1919</v>
      </c>
      <c r="D385">
        <v>5090</v>
      </c>
      <c r="E385">
        <v>2757</v>
      </c>
      <c r="F385" s="11">
        <v>43952</v>
      </c>
    </row>
    <row r="386" spans="1:6" x14ac:dyDescent="0.25">
      <c r="A386">
        <v>385</v>
      </c>
      <c r="B386" s="35" t="s">
        <v>1916</v>
      </c>
      <c r="D386">
        <v>4990</v>
      </c>
      <c r="E386">
        <v>2828</v>
      </c>
      <c r="F386" s="11">
        <v>43952</v>
      </c>
    </row>
    <row r="387" spans="1:6" x14ac:dyDescent="0.25">
      <c r="A387">
        <v>386</v>
      </c>
      <c r="B387" s="35" t="s">
        <v>1915</v>
      </c>
      <c r="D387">
        <v>4990</v>
      </c>
      <c r="E387">
        <v>2828</v>
      </c>
      <c r="F387" s="11">
        <v>43952</v>
      </c>
    </row>
    <row r="388" spans="1:6" x14ac:dyDescent="0.25">
      <c r="A388">
        <v>387</v>
      </c>
      <c r="B388" s="35" t="s">
        <v>1917</v>
      </c>
      <c r="D388">
        <v>6290</v>
      </c>
      <c r="E388">
        <v>3407</v>
      </c>
      <c r="F388" s="11">
        <v>43952</v>
      </c>
    </row>
    <row r="389" spans="1:6" x14ac:dyDescent="0.25">
      <c r="A389">
        <v>388</v>
      </c>
      <c r="B389" s="35" t="s">
        <v>1853</v>
      </c>
      <c r="D389">
        <v>1059</v>
      </c>
      <c r="E389">
        <v>615</v>
      </c>
      <c r="F389" s="11">
        <v>43952</v>
      </c>
    </row>
    <row r="390" spans="1:6" x14ac:dyDescent="0.25">
      <c r="A390">
        <v>389</v>
      </c>
      <c r="B390" s="35" t="s">
        <v>1848</v>
      </c>
      <c r="D390">
        <v>929</v>
      </c>
      <c r="E390">
        <v>542</v>
      </c>
      <c r="F390" s="11">
        <v>43952</v>
      </c>
    </row>
    <row r="391" spans="1:6" x14ac:dyDescent="0.25">
      <c r="A391">
        <v>390</v>
      </c>
      <c r="B391" s="35" t="s">
        <v>1849</v>
      </c>
      <c r="D391">
        <v>929</v>
      </c>
      <c r="E391">
        <v>542</v>
      </c>
      <c r="F391" s="11">
        <v>43952</v>
      </c>
    </row>
    <row r="392" spans="1:6" x14ac:dyDescent="0.25">
      <c r="A392">
        <v>391</v>
      </c>
      <c r="B392" s="35" t="s">
        <v>1850</v>
      </c>
      <c r="D392">
        <v>1269</v>
      </c>
      <c r="E392">
        <v>740</v>
      </c>
      <c r="F392" s="11">
        <v>43952</v>
      </c>
    </row>
    <row r="393" spans="1:6" x14ac:dyDescent="0.25">
      <c r="A393">
        <v>392</v>
      </c>
      <c r="B393" s="35" t="s">
        <v>1860</v>
      </c>
      <c r="D393">
        <v>1869</v>
      </c>
      <c r="E393">
        <v>1090</v>
      </c>
      <c r="F393" s="11">
        <v>43952</v>
      </c>
    </row>
    <row r="394" spans="1:6" x14ac:dyDescent="0.25">
      <c r="A394">
        <v>393</v>
      </c>
      <c r="B394" s="35" t="s">
        <v>1861</v>
      </c>
      <c r="D394">
        <v>1729</v>
      </c>
      <c r="E394">
        <v>1009</v>
      </c>
      <c r="F394" s="11">
        <v>43952</v>
      </c>
    </row>
    <row r="395" spans="1:6" x14ac:dyDescent="0.25">
      <c r="A395">
        <v>394</v>
      </c>
      <c r="B395" s="35" t="s">
        <v>1862</v>
      </c>
      <c r="D395">
        <v>2799</v>
      </c>
      <c r="E395">
        <v>1633</v>
      </c>
      <c r="F395" s="11">
        <v>43952</v>
      </c>
    </row>
    <row r="396" spans="1:6" x14ac:dyDescent="0.25">
      <c r="A396">
        <v>395</v>
      </c>
      <c r="B396" s="35" t="s">
        <v>1863</v>
      </c>
      <c r="D396">
        <v>3999</v>
      </c>
      <c r="E396">
        <v>2333</v>
      </c>
      <c r="F396" s="11">
        <v>43952</v>
      </c>
    </row>
    <row r="397" spans="1:6" x14ac:dyDescent="0.25">
      <c r="A397">
        <v>396</v>
      </c>
      <c r="B397" s="35" t="s">
        <v>2298</v>
      </c>
      <c r="D397">
        <v>4190</v>
      </c>
      <c r="E397">
        <v>2863</v>
      </c>
      <c r="F397" s="11">
        <v>43952</v>
      </c>
    </row>
    <row r="398" spans="1:6" x14ac:dyDescent="0.25">
      <c r="A398">
        <v>397</v>
      </c>
      <c r="B398" s="35" t="s">
        <v>2299</v>
      </c>
      <c r="D398">
        <v>4490</v>
      </c>
      <c r="E398">
        <v>3068</v>
      </c>
      <c r="F398" s="11">
        <v>43952</v>
      </c>
    </row>
    <row r="399" spans="1:6" x14ac:dyDescent="0.25">
      <c r="A399">
        <v>398</v>
      </c>
      <c r="B399" s="35" t="s">
        <v>2272</v>
      </c>
      <c r="D399">
        <v>7890</v>
      </c>
      <c r="E399">
        <v>5392</v>
      </c>
      <c r="F399" s="11">
        <v>43952</v>
      </c>
    </row>
    <row r="400" spans="1:6" x14ac:dyDescent="0.25">
      <c r="A400">
        <v>399</v>
      </c>
      <c r="B400" s="35" t="s">
        <v>2273</v>
      </c>
      <c r="D400">
        <v>9090</v>
      </c>
      <c r="E400">
        <v>6212</v>
      </c>
      <c r="F400" s="11">
        <v>43952</v>
      </c>
    </row>
    <row r="401" spans="1:6" x14ac:dyDescent="0.25">
      <c r="A401">
        <v>400</v>
      </c>
      <c r="B401" s="35" t="s">
        <v>2276</v>
      </c>
      <c r="D401">
        <v>14190</v>
      </c>
      <c r="E401">
        <v>9697</v>
      </c>
      <c r="F401" s="11">
        <v>43952</v>
      </c>
    </row>
    <row r="402" spans="1:6" x14ac:dyDescent="0.25">
      <c r="A402">
        <v>401</v>
      </c>
      <c r="B402" s="35" t="s">
        <v>3498</v>
      </c>
      <c r="D402">
        <v>6919</v>
      </c>
      <c r="E402">
        <v>4036</v>
      </c>
      <c r="F402" s="11">
        <v>43952</v>
      </c>
    </row>
    <row r="403" spans="1:6" x14ac:dyDescent="0.25">
      <c r="A403">
        <v>402</v>
      </c>
      <c r="B403" s="35" t="s">
        <v>3499</v>
      </c>
      <c r="D403">
        <v>10989</v>
      </c>
      <c r="E403">
        <v>6410</v>
      </c>
      <c r="F403" s="11">
        <v>43952</v>
      </c>
    </row>
    <row r="404" spans="1:6" x14ac:dyDescent="0.25">
      <c r="A404">
        <v>403</v>
      </c>
      <c r="B404" s="35" t="s">
        <v>3502</v>
      </c>
      <c r="D404">
        <v>2959</v>
      </c>
      <c r="E404">
        <v>1726</v>
      </c>
      <c r="F404" s="11">
        <v>43952</v>
      </c>
    </row>
    <row r="405" spans="1:6" x14ac:dyDescent="0.25">
      <c r="A405">
        <v>404</v>
      </c>
      <c r="B405" s="35" t="s">
        <v>3506</v>
      </c>
      <c r="D405">
        <v>9119</v>
      </c>
      <c r="E405">
        <v>5319</v>
      </c>
      <c r="F405" s="11">
        <v>43952</v>
      </c>
    </row>
    <row r="406" spans="1:6" x14ac:dyDescent="0.25">
      <c r="A406">
        <v>405</v>
      </c>
      <c r="B406" s="35" t="s">
        <v>3507</v>
      </c>
      <c r="D406">
        <v>8129</v>
      </c>
      <c r="E406">
        <v>4742</v>
      </c>
      <c r="F406" s="11">
        <v>43952</v>
      </c>
    </row>
    <row r="407" spans="1:6" x14ac:dyDescent="0.25">
      <c r="A407">
        <v>406</v>
      </c>
      <c r="B407" s="35" t="s">
        <v>2655</v>
      </c>
      <c r="D407">
        <v>1264</v>
      </c>
      <c r="E407">
        <v>822</v>
      </c>
      <c r="F407" s="11">
        <v>43952</v>
      </c>
    </row>
    <row r="408" spans="1:6" x14ac:dyDescent="0.25">
      <c r="A408">
        <v>407</v>
      </c>
      <c r="B408" s="35" t="s">
        <v>2654</v>
      </c>
      <c r="D408">
        <v>2419</v>
      </c>
      <c r="E408">
        <v>1653</v>
      </c>
      <c r="F408" s="11">
        <v>43952</v>
      </c>
    </row>
    <row r="409" spans="1:6" x14ac:dyDescent="0.25">
      <c r="A409">
        <v>408</v>
      </c>
      <c r="B409" s="35" t="s">
        <v>220</v>
      </c>
      <c r="D409">
        <v>285</v>
      </c>
      <c r="E409">
        <v>176</v>
      </c>
      <c r="F409" s="11">
        <v>43952</v>
      </c>
    </row>
    <row r="410" spans="1:6" x14ac:dyDescent="0.25">
      <c r="A410">
        <v>409</v>
      </c>
      <c r="B410" s="35" t="s">
        <v>223</v>
      </c>
      <c r="D410">
        <v>285</v>
      </c>
      <c r="E410">
        <v>176</v>
      </c>
      <c r="F410" s="11">
        <v>43952</v>
      </c>
    </row>
    <row r="411" spans="1:6" x14ac:dyDescent="0.25">
      <c r="A411">
        <v>410</v>
      </c>
      <c r="B411" s="35" t="s">
        <v>226</v>
      </c>
      <c r="D411">
        <v>299</v>
      </c>
      <c r="E411">
        <v>184</v>
      </c>
      <c r="F411" s="11">
        <v>43952</v>
      </c>
    </row>
    <row r="412" spans="1:6" x14ac:dyDescent="0.25">
      <c r="A412">
        <v>411</v>
      </c>
      <c r="B412" s="35" t="s">
        <v>2811</v>
      </c>
      <c r="D412">
        <v>649</v>
      </c>
      <c r="E412">
        <v>400</v>
      </c>
      <c r="F412" s="11">
        <v>43952</v>
      </c>
    </row>
    <row r="413" spans="1:6" x14ac:dyDescent="0.25">
      <c r="A413">
        <v>412</v>
      </c>
      <c r="B413" s="35" t="s">
        <v>2814</v>
      </c>
      <c r="D413">
        <v>759</v>
      </c>
      <c r="E413">
        <v>468</v>
      </c>
      <c r="F413" s="11">
        <v>43952</v>
      </c>
    </row>
    <row r="414" spans="1:6" x14ac:dyDescent="0.25">
      <c r="A414">
        <v>413</v>
      </c>
      <c r="B414" s="35" t="s">
        <v>2766</v>
      </c>
      <c r="D414">
        <v>539</v>
      </c>
      <c r="E414">
        <v>332</v>
      </c>
      <c r="F414" s="11">
        <v>43952</v>
      </c>
    </row>
    <row r="415" spans="1:6" x14ac:dyDescent="0.25">
      <c r="A415">
        <v>414</v>
      </c>
      <c r="B415" s="35" t="s">
        <v>2769</v>
      </c>
      <c r="D415">
        <v>539</v>
      </c>
      <c r="E415">
        <v>332</v>
      </c>
      <c r="F415" s="11">
        <v>43952</v>
      </c>
    </row>
    <row r="416" spans="1:6" x14ac:dyDescent="0.25">
      <c r="A416">
        <v>415</v>
      </c>
      <c r="B416" s="35" t="s">
        <v>2781</v>
      </c>
      <c r="D416">
        <v>429</v>
      </c>
      <c r="E416">
        <v>265</v>
      </c>
      <c r="F416" s="11">
        <v>43952</v>
      </c>
    </row>
    <row r="417" spans="1:6" x14ac:dyDescent="0.25">
      <c r="A417">
        <v>416</v>
      </c>
      <c r="B417" s="35" t="s">
        <v>2784</v>
      </c>
      <c r="D417">
        <v>539</v>
      </c>
      <c r="E417">
        <v>332</v>
      </c>
      <c r="F417" s="11">
        <v>43952</v>
      </c>
    </row>
    <row r="418" spans="1:6" x14ac:dyDescent="0.25">
      <c r="A418">
        <v>417</v>
      </c>
      <c r="B418" s="35" t="s">
        <v>2601</v>
      </c>
      <c r="D418">
        <v>759</v>
      </c>
      <c r="E418">
        <v>455</v>
      </c>
      <c r="F418" s="11">
        <v>43952</v>
      </c>
    </row>
    <row r="419" spans="1:6" x14ac:dyDescent="0.25">
      <c r="A419">
        <v>418</v>
      </c>
      <c r="B419" s="35" t="s">
        <v>2604</v>
      </c>
      <c r="D419">
        <v>1199</v>
      </c>
      <c r="E419">
        <v>719</v>
      </c>
      <c r="F419" s="11">
        <v>43952</v>
      </c>
    </row>
    <row r="420" spans="1:6" x14ac:dyDescent="0.25">
      <c r="A420">
        <v>419</v>
      </c>
      <c r="B420" s="35" t="s">
        <v>2609</v>
      </c>
      <c r="D420">
        <v>1089</v>
      </c>
      <c r="E420">
        <v>653</v>
      </c>
      <c r="F420" s="11">
        <v>43952</v>
      </c>
    </row>
    <row r="421" spans="1:6" x14ac:dyDescent="0.25">
      <c r="A421">
        <v>420</v>
      </c>
      <c r="B421" s="35" t="s">
        <v>2612</v>
      </c>
      <c r="D421">
        <v>1309</v>
      </c>
      <c r="E421">
        <v>785</v>
      </c>
      <c r="F421" s="11">
        <v>43952</v>
      </c>
    </row>
    <row r="422" spans="1:6" x14ac:dyDescent="0.25">
      <c r="A422">
        <v>421</v>
      </c>
      <c r="B422" s="35" t="s">
        <v>2630</v>
      </c>
      <c r="D422">
        <v>1969</v>
      </c>
      <c r="E422">
        <v>1181</v>
      </c>
      <c r="F422" s="11">
        <v>43952</v>
      </c>
    </row>
    <row r="423" spans="1:6" x14ac:dyDescent="0.25">
      <c r="A423">
        <v>422</v>
      </c>
      <c r="B423" s="35" t="s">
        <v>2623</v>
      </c>
      <c r="D423">
        <v>1859</v>
      </c>
      <c r="E423">
        <v>1115</v>
      </c>
      <c r="F423" s="11">
        <v>43952</v>
      </c>
    </row>
    <row r="424" spans="1:6" x14ac:dyDescent="0.25">
      <c r="A424">
        <v>423</v>
      </c>
      <c r="B424" s="35" t="s">
        <v>2633</v>
      </c>
      <c r="D424">
        <v>2849</v>
      </c>
      <c r="E424">
        <v>1709</v>
      </c>
      <c r="F424" s="11">
        <v>43952</v>
      </c>
    </row>
    <row r="425" spans="1:6" x14ac:dyDescent="0.25">
      <c r="A425">
        <v>424</v>
      </c>
      <c r="B425" s="35" t="s">
        <v>1855</v>
      </c>
      <c r="D425">
        <v>1379</v>
      </c>
      <c r="E425">
        <v>804</v>
      </c>
      <c r="F425" s="11">
        <v>43952</v>
      </c>
    </row>
    <row r="426" spans="1:6" x14ac:dyDescent="0.25">
      <c r="A426">
        <v>425</v>
      </c>
      <c r="B426" s="35" t="s">
        <v>1893</v>
      </c>
      <c r="D426">
        <v>2990</v>
      </c>
      <c r="E426">
        <v>1744</v>
      </c>
      <c r="F426" s="11">
        <v>43952</v>
      </c>
    </row>
    <row r="427" spans="1:6" x14ac:dyDescent="0.25">
      <c r="A427">
        <v>426</v>
      </c>
      <c r="B427" s="35" t="s">
        <v>1901</v>
      </c>
      <c r="D427">
        <v>4590</v>
      </c>
      <c r="E427">
        <v>2678</v>
      </c>
      <c r="F427" s="11">
        <v>43952</v>
      </c>
    </row>
    <row r="428" spans="1:6" x14ac:dyDescent="0.25">
      <c r="A428">
        <v>427</v>
      </c>
      <c r="B428" s="35" t="s">
        <v>1788</v>
      </c>
      <c r="D428">
        <v>1599</v>
      </c>
      <c r="E428">
        <v>866</v>
      </c>
      <c r="F428" s="11">
        <v>43952</v>
      </c>
    </row>
    <row r="429" spans="1:6" x14ac:dyDescent="0.25">
      <c r="A429">
        <v>428</v>
      </c>
      <c r="B429" s="35" t="s">
        <v>3412</v>
      </c>
      <c r="D429">
        <v>2189</v>
      </c>
      <c r="E429">
        <v>1277</v>
      </c>
      <c r="F429" s="11">
        <v>43952</v>
      </c>
    </row>
    <row r="430" spans="1:6" x14ac:dyDescent="0.25">
      <c r="A430">
        <v>429</v>
      </c>
      <c r="B430" s="35" t="s">
        <v>3269</v>
      </c>
      <c r="D430">
        <v>6390</v>
      </c>
      <c r="E430">
        <v>4045</v>
      </c>
      <c r="F430" s="11">
        <v>43952</v>
      </c>
    </row>
    <row r="431" spans="1:6" x14ac:dyDescent="0.25">
      <c r="A431">
        <v>430</v>
      </c>
      <c r="B431" s="35" t="s">
        <v>3174</v>
      </c>
      <c r="D431">
        <v>6690</v>
      </c>
      <c r="E431">
        <v>4235</v>
      </c>
      <c r="F431" s="11">
        <v>43952</v>
      </c>
    </row>
    <row r="432" spans="1:6" x14ac:dyDescent="0.25">
      <c r="A432">
        <v>431</v>
      </c>
      <c r="B432" s="35" t="s">
        <v>2406</v>
      </c>
      <c r="D432">
        <v>6990</v>
      </c>
      <c r="E432">
        <v>4776</v>
      </c>
      <c r="F432" s="11">
        <v>43952</v>
      </c>
    </row>
    <row r="433" spans="1:6" x14ac:dyDescent="0.25">
      <c r="A433">
        <v>432</v>
      </c>
      <c r="B433" s="35" t="s">
        <v>2468</v>
      </c>
      <c r="D433">
        <v>4609</v>
      </c>
      <c r="E433">
        <v>2497</v>
      </c>
      <c r="F433" s="11">
        <v>43952</v>
      </c>
    </row>
    <row r="434" spans="1:6" x14ac:dyDescent="0.25">
      <c r="A434">
        <v>433</v>
      </c>
      <c r="B434" s="35" t="s">
        <v>2467</v>
      </c>
      <c r="D434">
        <v>1408</v>
      </c>
      <c r="E434">
        <v>763</v>
      </c>
      <c r="F434" s="11">
        <v>43952</v>
      </c>
    </row>
    <row r="435" spans="1:6" x14ac:dyDescent="0.25">
      <c r="A435">
        <v>434</v>
      </c>
      <c r="B435" s="35" t="s">
        <v>2486</v>
      </c>
      <c r="D435">
        <v>1749</v>
      </c>
      <c r="E435">
        <v>1035</v>
      </c>
      <c r="F435" s="11">
        <v>43952</v>
      </c>
    </row>
    <row r="436" spans="1:6" x14ac:dyDescent="0.25">
      <c r="A436">
        <v>435</v>
      </c>
      <c r="B436" s="35" t="s">
        <v>2487</v>
      </c>
      <c r="D436">
        <v>2079</v>
      </c>
      <c r="E436">
        <v>1230</v>
      </c>
      <c r="F436" s="11">
        <v>43952</v>
      </c>
    </row>
    <row r="437" spans="1:6" x14ac:dyDescent="0.25">
      <c r="A437">
        <v>436</v>
      </c>
      <c r="B437" s="35" t="s">
        <v>2485</v>
      </c>
      <c r="D437">
        <v>1969</v>
      </c>
      <c r="E437">
        <v>1165</v>
      </c>
      <c r="F437" s="11">
        <v>43952</v>
      </c>
    </row>
    <row r="438" spans="1:6" x14ac:dyDescent="0.25">
      <c r="A438">
        <v>437</v>
      </c>
      <c r="B438" s="35" t="s">
        <v>2488</v>
      </c>
      <c r="D438">
        <v>2189</v>
      </c>
      <c r="E438">
        <v>1295</v>
      </c>
      <c r="F438" s="11">
        <v>43952</v>
      </c>
    </row>
    <row r="439" spans="1:6" x14ac:dyDescent="0.25">
      <c r="A439">
        <v>438</v>
      </c>
      <c r="B439" s="35" t="s">
        <v>2383</v>
      </c>
      <c r="D439">
        <v>7890</v>
      </c>
      <c r="E439">
        <v>5655</v>
      </c>
      <c r="F439" s="11">
        <v>43952</v>
      </c>
    </row>
    <row r="440" spans="1:6" x14ac:dyDescent="0.25">
      <c r="A440">
        <v>439</v>
      </c>
      <c r="B440" s="35" t="s">
        <v>2380</v>
      </c>
      <c r="D440">
        <v>11590</v>
      </c>
      <c r="E440">
        <v>7920</v>
      </c>
      <c r="F440" s="11">
        <v>43952</v>
      </c>
    </row>
    <row r="441" spans="1:6" x14ac:dyDescent="0.25">
      <c r="A441">
        <v>440</v>
      </c>
      <c r="B441" s="35" t="s">
        <v>2378</v>
      </c>
      <c r="D441">
        <v>30190</v>
      </c>
      <c r="E441">
        <v>20630</v>
      </c>
      <c r="F441" s="11">
        <v>43952</v>
      </c>
    </row>
    <row r="442" spans="1:6" x14ac:dyDescent="0.25">
      <c r="A442">
        <v>441</v>
      </c>
      <c r="B442" s="35" t="s">
        <v>2382</v>
      </c>
      <c r="D442">
        <v>16890</v>
      </c>
      <c r="E442">
        <v>11541</v>
      </c>
      <c r="F442" s="11">
        <v>43952</v>
      </c>
    </row>
    <row r="443" spans="1:6" x14ac:dyDescent="0.25">
      <c r="A443">
        <v>442</v>
      </c>
      <c r="B443" s="35" t="s">
        <v>2379</v>
      </c>
      <c r="D443">
        <v>50690</v>
      </c>
      <c r="E443">
        <v>34639</v>
      </c>
      <c r="F443" s="11">
        <v>43952</v>
      </c>
    </row>
    <row r="444" spans="1:6" x14ac:dyDescent="0.25">
      <c r="A444">
        <v>443</v>
      </c>
      <c r="B444" s="35" t="s">
        <v>2243</v>
      </c>
      <c r="D444">
        <v>2090</v>
      </c>
      <c r="E444">
        <v>1428</v>
      </c>
      <c r="F444" s="11">
        <v>43952</v>
      </c>
    </row>
    <row r="445" spans="1:6" x14ac:dyDescent="0.25">
      <c r="A445">
        <v>444</v>
      </c>
      <c r="B445" s="35" t="s">
        <v>2093</v>
      </c>
      <c r="D445">
        <v>1039</v>
      </c>
      <c r="E445">
        <v>624</v>
      </c>
      <c r="F445" s="11">
        <v>43952</v>
      </c>
    </row>
    <row r="446" spans="1:6" x14ac:dyDescent="0.25">
      <c r="A446">
        <v>445</v>
      </c>
      <c r="B446" s="35" t="s">
        <v>2095</v>
      </c>
      <c r="D446">
        <v>1190</v>
      </c>
      <c r="E446">
        <v>714</v>
      </c>
      <c r="F446" s="11">
        <v>43952</v>
      </c>
    </row>
    <row r="447" spans="1:6" x14ac:dyDescent="0.25">
      <c r="A447">
        <v>446</v>
      </c>
      <c r="B447" s="35" t="s">
        <v>2097</v>
      </c>
      <c r="D447">
        <v>1039</v>
      </c>
      <c r="E447">
        <v>624</v>
      </c>
      <c r="F447" s="11">
        <v>43952</v>
      </c>
    </row>
    <row r="448" spans="1:6" x14ac:dyDescent="0.25">
      <c r="A448">
        <v>447</v>
      </c>
      <c r="B448" s="35" t="s">
        <v>2098</v>
      </c>
      <c r="D448">
        <v>1039</v>
      </c>
      <c r="E448">
        <v>624</v>
      </c>
      <c r="F448" s="11">
        <v>43952</v>
      </c>
    </row>
    <row r="449" spans="1:6" x14ac:dyDescent="0.25">
      <c r="A449">
        <v>448</v>
      </c>
      <c r="B449" s="35" t="s">
        <v>2099</v>
      </c>
      <c r="D449">
        <v>1039</v>
      </c>
      <c r="E449">
        <v>624</v>
      </c>
      <c r="F449" s="11">
        <v>43952</v>
      </c>
    </row>
    <row r="450" spans="1:6" x14ac:dyDescent="0.25">
      <c r="A450">
        <v>449</v>
      </c>
      <c r="B450" s="35" t="s">
        <v>2101</v>
      </c>
      <c r="D450">
        <v>1190</v>
      </c>
      <c r="E450">
        <v>714</v>
      </c>
      <c r="F450" s="11">
        <v>43952</v>
      </c>
    </row>
    <row r="451" spans="1:6" x14ac:dyDescent="0.25">
      <c r="A451">
        <v>450</v>
      </c>
      <c r="B451" s="35" t="s">
        <v>2102</v>
      </c>
      <c r="D451">
        <v>629</v>
      </c>
      <c r="E451">
        <v>378</v>
      </c>
      <c r="F451" s="11">
        <v>43952</v>
      </c>
    </row>
    <row r="452" spans="1:6" x14ac:dyDescent="0.25">
      <c r="A452">
        <v>451</v>
      </c>
      <c r="B452" s="35" t="s">
        <v>2106</v>
      </c>
      <c r="D452">
        <v>919</v>
      </c>
      <c r="E452">
        <v>552</v>
      </c>
      <c r="F452" s="11">
        <v>43952</v>
      </c>
    </row>
    <row r="453" spans="1:6" x14ac:dyDescent="0.25">
      <c r="A453">
        <v>452</v>
      </c>
      <c r="B453" s="35" t="s">
        <v>2107</v>
      </c>
      <c r="D453">
        <v>519</v>
      </c>
      <c r="E453">
        <v>312</v>
      </c>
      <c r="F453" s="11">
        <v>43952</v>
      </c>
    </row>
    <row r="454" spans="1:6" x14ac:dyDescent="0.25">
      <c r="A454">
        <v>453</v>
      </c>
      <c r="B454" s="35" t="s">
        <v>2109</v>
      </c>
      <c r="D454">
        <v>519</v>
      </c>
      <c r="E454">
        <v>311</v>
      </c>
      <c r="F454" s="11">
        <v>43952</v>
      </c>
    </row>
    <row r="455" spans="1:6" x14ac:dyDescent="0.25">
      <c r="A455">
        <v>454</v>
      </c>
      <c r="B455" s="35" t="s">
        <v>2110</v>
      </c>
      <c r="D455">
        <v>529</v>
      </c>
      <c r="E455">
        <v>318</v>
      </c>
      <c r="F455" s="11">
        <v>43952</v>
      </c>
    </row>
    <row r="456" spans="1:6" x14ac:dyDescent="0.25">
      <c r="A456">
        <v>455</v>
      </c>
      <c r="B456" s="35" t="s">
        <v>2111</v>
      </c>
      <c r="D456">
        <v>1190</v>
      </c>
      <c r="E456">
        <v>714</v>
      </c>
      <c r="F456" s="11">
        <v>43952</v>
      </c>
    </row>
    <row r="457" spans="1:6" x14ac:dyDescent="0.25">
      <c r="A457">
        <v>456</v>
      </c>
      <c r="B457" s="35" t="s">
        <v>2112</v>
      </c>
      <c r="D457">
        <v>790</v>
      </c>
      <c r="E457">
        <v>474</v>
      </c>
      <c r="F457" s="11">
        <v>43952</v>
      </c>
    </row>
    <row r="458" spans="1:6" x14ac:dyDescent="0.25">
      <c r="A458">
        <v>457</v>
      </c>
      <c r="B458" s="35" t="s">
        <v>2113</v>
      </c>
      <c r="D458">
        <v>790</v>
      </c>
      <c r="E458">
        <v>474</v>
      </c>
      <c r="F458" s="11">
        <v>43952</v>
      </c>
    </row>
    <row r="459" spans="1:6" x14ac:dyDescent="0.25">
      <c r="A459">
        <v>458</v>
      </c>
      <c r="B459" s="35" t="s">
        <v>2114</v>
      </c>
      <c r="D459">
        <v>790</v>
      </c>
      <c r="E459">
        <v>474</v>
      </c>
      <c r="F459" s="11">
        <v>43952</v>
      </c>
    </row>
    <row r="460" spans="1:6" x14ac:dyDescent="0.25">
      <c r="A460">
        <v>459</v>
      </c>
      <c r="B460" s="35" t="s">
        <v>2115</v>
      </c>
      <c r="D460">
        <v>790</v>
      </c>
      <c r="E460">
        <v>474</v>
      </c>
      <c r="F460" s="11">
        <v>43952</v>
      </c>
    </row>
    <row r="461" spans="1:6" x14ac:dyDescent="0.25">
      <c r="A461">
        <v>460</v>
      </c>
      <c r="B461" s="35" t="s">
        <v>2119</v>
      </c>
      <c r="D461">
        <v>3190</v>
      </c>
      <c r="E461">
        <v>1914</v>
      </c>
      <c r="F461" s="11">
        <v>43952</v>
      </c>
    </row>
    <row r="462" spans="1:6" x14ac:dyDescent="0.25">
      <c r="A462">
        <v>461</v>
      </c>
      <c r="B462" s="35" t="s">
        <v>2120</v>
      </c>
      <c r="D462">
        <v>2190</v>
      </c>
      <c r="E462">
        <v>1314</v>
      </c>
      <c r="F462" s="11">
        <v>43952</v>
      </c>
    </row>
    <row r="463" spans="1:6" x14ac:dyDescent="0.25">
      <c r="A463">
        <v>462</v>
      </c>
      <c r="B463" s="35" t="s">
        <v>2123</v>
      </c>
      <c r="D463">
        <v>2990</v>
      </c>
      <c r="E463">
        <v>1794</v>
      </c>
      <c r="F463" s="11">
        <v>43952</v>
      </c>
    </row>
    <row r="464" spans="1:6" x14ac:dyDescent="0.25">
      <c r="A464">
        <v>463</v>
      </c>
      <c r="B464" s="35" t="s">
        <v>2124</v>
      </c>
      <c r="D464">
        <v>2990</v>
      </c>
      <c r="E464">
        <v>1794</v>
      </c>
      <c r="F464" s="11">
        <v>43952</v>
      </c>
    </row>
    <row r="465" spans="1:6" x14ac:dyDescent="0.25">
      <c r="A465">
        <v>464</v>
      </c>
      <c r="B465" s="35" t="s">
        <v>2257</v>
      </c>
      <c r="D465">
        <v>5590</v>
      </c>
      <c r="E465">
        <v>3820</v>
      </c>
      <c r="F465" s="11">
        <v>43952</v>
      </c>
    </row>
    <row r="466" spans="1:6" x14ac:dyDescent="0.25">
      <c r="A466">
        <v>465</v>
      </c>
      <c r="B466" s="35" t="s">
        <v>2314</v>
      </c>
      <c r="D466">
        <v>6790</v>
      </c>
      <c r="E466">
        <v>4640</v>
      </c>
      <c r="F466" s="11">
        <v>43952</v>
      </c>
    </row>
    <row r="467" spans="1:6" x14ac:dyDescent="0.25">
      <c r="A467">
        <v>466</v>
      </c>
      <c r="B467" s="35" t="s">
        <v>2279</v>
      </c>
      <c r="D467">
        <v>14090</v>
      </c>
      <c r="E467">
        <v>9628</v>
      </c>
      <c r="F467" s="11">
        <v>43952</v>
      </c>
    </row>
    <row r="468" spans="1:6" x14ac:dyDescent="0.25">
      <c r="A468">
        <v>467</v>
      </c>
      <c r="B468" s="35" t="s">
        <v>2280</v>
      </c>
      <c r="D468">
        <v>15390</v>
      </c>
      <c r="E468">
        <v>10517</v>
      </c>
      <c r="F468" s="11">
        <v>43952</v>
      </c>
    </row>
    <row r="469" spans="1:6" x14ac:dyDescent="0.25">
      <c r="A469">
        <v>468</v>
      </c>
      <c r="B469" s="35" t="s">
        <v>2241</v>
      </c>
      <c r="D469">
        <v>6590</v>
      </c>
      <c r="E469">
        <v>4503</v>
      </c>
      <c r="F469" s="11">
        <v>43952</v>
      </c>
    </row>
    <row r="470" spans="1:6" x14ac:dyDescent="0.25">
      <c r="A470">
        <v>469</v>
      </c>
      <c r="B470" s="35" t="s">
        <v>2250</v>
      </c>
      <c r="D470">
        <v>14390</v>
      </c>
      <c r="E470">
        <v>9833</v>
      </c>
      <c r="F470" s="11">
        <v>43952</v>
      </c>
    </row>
    <row r="471" spans="1:6" x14ac:dyDescent="0.25">
      <c r="A471">
        <v>470</v>
      </c>
      <c r="B471" s="35" t="s">
        <v>2251</v>
      </c>
      <c r="D471">
        <v>17390</v>
      </c>
      <c r="E471">
        <v>11884</v>
      </c>
      <c r="F471" s="11">
        <v>43952</v>
      </c>
    </row>
    <row r="472" spans="1:6" x14ac:dyDescent="0.25">
      <c r="A472">
        <v>471</v>
      </c>
      <c r="B472" s="35" t="s">
        <v>2244</v>
      </c>
      <c r="D472">
        <v>5790</v>
      </c>
      <c r="E472">
        <v>3957</v>
      </c>
      <c r="F472" s="11">
        <v>43952</v>
      </c>
    </row>
    <row r="473" spans="1:6" x14ac:dyDescent="0.25">
      <c r="A473">
        <v>472</v>
      </c>
      <c r="B473" s="35" t="s">
        <v>2635</v>
      </c>
      <c r="D473">
        <v>1529</v>
      </c>
      <c r="E473">
        <v>917</v>
      </c>
      <c r="F473" s="11">
        <v>43952</v>
      </c>
    </row>
    <row r="474" spans="1:6" x14ac:dyDescent="0.25">
      <c r="A474">
        <v>473</v>
      </c>
      <c r="B474" s="35" t="s">
        <v>2637</v>
      </c>
      <c r="D474">
        <v>2299</v>
      </c>
      <c r="E474">
        <v>1381</v>
      </c>
      <c r="F474" s="11">
        <v>43952</v>
      </c>
    </row>
    <row r="475" spans="1:6" x14ac:dyDescent="0.25">
      <c r="A475">
        <v>474</v>
      </c>
      <c r="B475" s="35" t="s">
        <v>2620</v>
      </c>
      <c r="D475">
        <v>1089</v>
      </c>
      <c r="E475">
        <v>654</v>
      </c>
      <c r="F475" s="11">
        <v>43952</v>
      </c>
    </row>
    <row r="476" spans="1:6" x14ac:dyDescent="0.25">
      <c r="A476">
        <v>475</v>
      </c>
      <c r="B476" s="35" t="s">
        <v>2638</v>
      </c>
      <c r="D476">
        <v>2519</v>
      </c>
      <c r="E476">
        <v>1512</v>
      </c>
      <c r="F476" s="11">
        <v>43952</v>
      </c>
    </row>
    <row r="477" spans="1:6" x14ac:dyDescent="0.25">
      <c r="A477">
        <v>476</v>
      </c>
      <c r="B477" s="35" t="s">
        <v>2641</v>
      </c>
      <c r="D477">
        <v>3729</v>
      </c>
      <c r="E477">
        <v>2239</v>
      </c>
      <c r="F477" s="11">
        <v>43952</v>
      </c>
    </row>
    <row r="478" spans="1:6" x14ac:dyDescent="0.25">
      <c r="A478">
        <v>477</v>
      </c>
      <c r="B478" s="35" t="s">
        <v>2643</v>
      </c>
      <c r="D478">
        <v>1969</v>
      </c>
      <c r="E478">
        <v>1181</v>
      </c>
      <c r="F478" s="11">
        <v>43952</v>
      </c>
    </row>
    <row r="479" spans="1:6" x14ac:dyDescent="0.25">
      <c r="A479">
        <v>478</v>
      </c>
      <c r="B479" s="35" t="s">
        <v>2642</v>
      </c>
      <c r="D479">
        <v>3399</v>
      </c>
      <c r="E479">
        <v>2039</v>
      </c>
      <c r="F479" s="11">
        <v>43952</v>
      </c>
    </row>
    <row r="480" spans="1:6" x14ac:dyDescent="0.25">
      <c r="A480">
        <v>479</v>
      </c>
      <c r="B480" s="35" t="s">
        <v>2715</v>
      </c>
      <c r="D480">
        <v>3190</v>
      </c>
      <c r="E480">
        <v>1914</v>
      </c>
      <c r="F480" s="11">
        <v>43952</v>
      </c>
    </row>
    <row r="481" spans="1:6" x14ac:dyDescent="0.25">
      <c r="A481">
        <v>480</v>
      </c>
      <c r="B481" s="35" t="s">
        <v>2420</v>
      </c>
      <c r="D481">
        <v>69290</v>
      </c>
      <c r="E481">
        <v>43306</v>
      </c>
      <c r="F481" s="11">
        <v>43952</v>
      </c>
    </row>
    <row r="482" spans="1:6" x14ac:dyDescent="0.25">
      <c r="A482">
        <v>481</v>
      </c>
      <c r="B482" s="35" t="s">
        <v>2422</v>
      </c>
      <c r="D482">
        <v>78290</v>
      </c>
      <c r="E482">
        <v>48931</v>
      </c>
      <c r="F482" s="11">
        <v>43952</v>
      </c>
    </row>
    <row r="483" spans="1:6" x14ac:dyDescent="0.25">
      <c r="A483">
        <v>482</v>
      </c>
      <c r="B483" s="35" t="s">
        <v>2489</v>
      </c>
      <c r="D483">
        <v>1969</v>
      </c>
      <c r="E483">
        <v>1165</v>
      </c>
      <c r="F483" s="11">
        <v>43952</v>
      </c>
    </row>
    <row r="484" spans="1:6" x14ac:dyDescent="0.25">
      <c r="A484">
        <v>483</v>
      </c>
      <c r="B484" s="35" t="s">
        <v>221</v>
      </c>
      <c r="D484">
        <v>662</v>
      </c>
      <c r="E484">
        <v>408</v>
      </c>
      <c r="F484" s="11">
        <v>43952</v>
      </c>
    </row>
    <row r="485" spans="1:6" x14ac:dyDescent="0.25">
      <c r="A485">
        <v>484</v>
      </c>
      <c r="B485" s="35" t="s">
        <v>224</v>
      </c>
      <c r="D485">
        <v>662</v>
      </c>
      <c r="E485">
        <v>408</v>
      </c>
      <c r="F485" s="11">
        <v>43952</v>
      </c>
    </row>
    <row r="486" spans="1:6" x14ac:dyDescent="0.25">
      <c r="A486">
        <v>485</v>
      </c>
      <c r="B486" s="35" t="s">
        <v>2774</v>
      </c>
      <c r="D486">
        <v>662</v>
      </c>
      <c r="E486">
        <v>408</v>
      </c>
      <c r="F486" s="11">
        <v>43952</v>
      </c>
    </row>
    <row r="487" spans="1:6" x14ac:dyDescent="0.25">
      <c r="A487">
        <v>486</v>
      </c>
      <c r="B487" s="35" t="s">
        <v>2816</v>
      </c>
      <c r="D487">
        <v>1089</v>
      </c>
      <c r="E487">
        <v>662</v>
      </c>
      <c r="F487" s="11">
        <v>43952</v>
      </c>
    </row>
    <row r="488" spans="1:6" x14ac:dyDescent="0.25">
      <c r="A488">
        <v>487</v>
      </c>
      <c r="B488" s="35" t="s">
        <v>2818</v>
      </c>
      <c r="D488">
        <v>1089</v>
      </c>
      <c r="E488">
        <v>662</v>
      </c>
      <c r="F488" s="11">
        <v>43952</v>
      </c>
    </row>
    <row r="489" spans="1:6" x14ac:dyDescent="0.25">
      <c r="A489">
        <v>488</v>
      </c>
      <c r="B489" s="35" t="s">
        <v>2776</v>
      </c>
      <c r="D489">
        <v>759</v>
      </c>
      <c r="E489">
        <v>468</v>
      </c>
      <c r="F489" s="11">
        <v>43952</v>
      </c>
    </row>
    <row r="490" spans="1:6" x14ac:dyDescent="0.25">
      <c r="A490">
        <v>489</v>
      </c>
      <c r="B490" s="35" t="s">
        <v>2778</v>
      </c>
      <c r="D490">
        <v>869</v>
      </c>
      <c r="E490">
        <v>536</v>
      </c>
      <c r="F490" s="11">
        <v>43952</v>
      </c>
    </row>
    <row r="491" spans="1:6" x14ac:dyDescent="0.25">
      <c r="A491">
        <v>490</v>
      </c>
      <c r="B491" s="35" t="s">
        <v>2836</v>
      </c>
      <c r="D491">
        <v>3729</v>
      </c>
      <c r="E491">
        <v>2268</v>
      </c>
      <c r="F491" s="11">
        <v>43952</v>
      </c>
    </row>
    <row r="492" spans="1:6" x14ac:dyDescent="0.25">
      <c r="A492">
        <v>491</v>
      </c>
      <c r="B492" s="35" t="s">
        <v>2835</v>
      </c>
      <c r="D492">
        <v>1309</v>
      </c>
      <c r="E492">
        <v>796</v>
      </c>
      <c r="F492" s="11">
        <v>43952</v>
      </c>
    </row>
    <row r="493" spans="1:6" x14ac:dyDescent="0.25">
      <c r="A493">
        <v>492</v>
      </c>
      <c r="B493" s="35" t="s">
        <v>2727</v>
      </c>
      <c r="D493">
        <v>1199</v>
      </c>
      <c r="E493">
        <v>729</v>
      </c>
      <c r="F493" s="11">
        <v>43952</v>
      </c>
    </row>
    <row r="494" spans="1:6" x14ac:dyDescent="0.25">
      <c r="A494">
        <v>493</v>
      </c>
      <c r="B494" s="35" t="s">
        <v>3022</v>
      </c>
      <c r="D494">
        <v>10690</v>
      </c>
      <c r="E494">
        <v>6681</v>
      </c>
      <c r="F494" s="11">
        <v>43952</v>
      </c>
    </row>
    <row r="495" spans="1:6" x14ac:dyDescent="0.25">
      <c r="A495">
        <v>494</v>
      </c>
      <c r="B495" s="35" t="s">
        <v>2985</v>
      </c>
      <c r="D495">
        <v>4129</v>
      </c>
      <c r="E495">
        <v>2581</v>
      </c>
      <c r="F495" s="11">
        <v>43952</v>
      </c>
    </row>
    <row r="496" spans="1:6" x14ac:dyDescent="0.25">
      <c r="A496">
        <v>495</v>
      </c>
      <c r="B496" s="35" t="s">
        <v>2986</v>
      </c>
      <c r="D496">
        <v>5590</v>
      </c>
      <c r="E496">
        <v>3494</v>
      </c>
      <c r="F496" s="11">
        <v>43952</v>
      </c>
    </row>
    <row r="497" spans="1:6" x14ac:dyDescent="0.25">
      <c r="A497">
        <v>496</v>
      </c>
      <c r="B497" s="35" t="s">
        <v>2987</v>
      </c>
      <c r="D497">
        <v>5590</v>
      </c>
      <c r="E497">
        <v>3494</v>
      </c>
      <c r="F497" s="11">
        <v>43952</v>
      </c>
    </row>
    <row r="498" spans="1:6" x14ac:dyDescent="0.25">
      <c r="A498">
        <v>497</v>
      </c>
      <c r="B498" s="35" t="s">
        <v>2990</v>
      </c>
      <c r="D498">
        <v>6090</v>
      </c>
      <c r="E498">
        <v>3806</v>
      </c>
      <c r="F498" s="11">
        <v>43952</v>
      </c>
    </row>
    <row r="499" spans="1:6" x14ac:dyDescent="0.25">
      <c r="A499">
        <v>498</v>
      </c>
      <c r="B499" s="35" t="s">
        <v>2992</v>
      </c>
      <c r="D499">
        <v>8490</v>
      </c>
      <c r="E499">
        <v>5306</v>
      </c>
      <c r="F499" s="11">
        <v>43952</v>
      </c>
    </row>
    <row r="500" spans="1:6" x14ac:dyDescent="0.25">
      <c r="A500">
        <v>499</v>
      </c>
      <c r="B500" s="35" t="s">
        <v>2996</v>
      </c>
      <c r="D500">
        <v>7690</v>
      </c>
      <c r="E500">
        <v>4806</v>
      </c>
      <c r="F500" s="11">
        <v>43952</v>
      </c>
    </row>
    <row r="501" spans="1:6" x14ac:dyDescent="0.25">
      <c r="A501">
        <v>500</v>
      </c>
      <c r="B501" s="35" t="s">
        <v>2997</v>
      </c>
      <c r="D501">
        <v>8790</v>
      </c>
      <c r="E501">
        <v>5494</v>
      </c>
      <c r="F501" s="11">
        <v>43952</v>
      </c>
    </row>
    <row r="502" spans="1:6" x14ac:dyDescent="0.25">
      <c r="A502">
        <v>501</v>
      </c>
      <c r="B502" s="35" t="s">
        <v>2636</v>
      </c>
      <c r="D502">
        <v>1529</v>
      </c>
      <c r="E502">
        <v>917</v>
      </c>
      <c r="F502" s="11">
        <v>43952</v>
      </c>
    </row>
    <row r="503" spans="1:6" x14ac:dyDescent="0.25">
      <c r="A503">
        <v>502</v>
      </c>
      <c r="B503" s="35" t="s">
        <v>2644</v>
      </c>
      <c r="D503">
        <v>2739</v>
      </c>
      <c r="E503">
        <v>1643</v>
      </c>
      <c r="F503" s="11">
        <v>43952</v>
      </c>
    </row>
    <row r="504" spans="1:6" x14ac:dyDescent="0.25">
      <c r="A504">
        <v>503</v>
      </c>
      <c r="B504" s="35" t="s">
        <v>2621</v>
      </c>
      <c r="D504">
        <v>1089</v>
      </c>
      <c r="E504">
        <v>653</v>
      </c>
      <c r="F504" s="11">
        <v>43952</v>
      </c>
    </row>
    <row r="505" spans="1:6" x14ac:dyDescent="0.25">
      <c r="A505">
        <v>504</v>
      </c>
      <c r="B505" s="35" t="s">
        <v>2640</v>
      </c>
      <c r="D505">
        <v>2519</v>
      </c>
      <c r="E505">
        <v>1512</v>
      </c>
      <c r="F505" s="11">
        <v>43952</v>
      </c>
    </row>
    <row r="506" spans="1:6" x14ac:dyDescent="0.25">
      <c r="A506">
        <v>505</v>
      </c>
      <c r="B506" s="35" t="s">
        <v>2625</v>
      </c>
      <c r="D506">
        <v>1859</v>
      </c>
      <c r="E506">
        <v>1115</v>
      </c>
      <c r="F506" s="11">
        <v>43952</v>
      </c>
    </row>
    <row r="507" spans="1:6" x14ac:dyDescent="0.25">
      <c r="A507">
        <v>506</v>
      </c>
      <c r="B507" s="35" t="s">
        <v>2575</v>
      </c>
      <c r="D507">
        <v>1089</v>
      </c>
      <c r="E507">
        <v>653</v>
      </c>
      <c r="F507" s="11">
        <v>43952</v>
      </c>
    </row>
    <row r="508" spans="1:6" x14ac:dyDescent="0.25">
      <c r="A508">
        <v>507</v>
      </c>
      <c r="B508" s="35" t="s">
        <v>2646</v>
      </c>
      <c r="D508">
        <v>1199</v>
      </c>
      <c r="E508">
        <v>719</v>
      </c>
      <c r="F508" s="11">
        <v>43952</v>
      </c>
    </row>
    <row r="509" spans="1:6" x14ac:dyDescent="0.25">
      <c r="A509">
        <v>508</v>
      </c>
      <c r="B509" s="35" t="s">
        <v>2576</v>
      </c>
      <c r="D509">
        <v>1199</v>
      </c>
      <c r="E509">
        <v>719</v>
      </c>
      <c r="F509" s="11">
        <v>43952</v>
      </c>
    </row>
    <row r="510" spans="1:6" x14ac:dyDescent="0.25">
      <c r="A510">
        <v>509</v>
      </c>
      <c r="B510" s="35" t="s">
        <v>2649</v>
      </c>
      <c r="D510">
        <v>1309</v>
      </c>
      <c r="E510">
        <v>785</v>
      </c>
      <c r="F510" s="11">
        <v>43952</v>
      </c>
    </row>
    <row r="511" spans="1:6" x14ac:dyDescent="0.25">
      <c r="A511">
        <v>510</v>
      </c>
      <c r="B511" s="35" t="s">
        <v>2577</v>
      </c>
      <c r="D511">
        <v>1089</v>
      </c>
      <c r="E511">
        <v>653</v>
      </c>
      <c r="F511" s="11">
        <v>43952</v>
      </c>
    </row>
    <row r="512" spans="1:6" x14ac:dyDescent="0.25">
      <c r="A512">
        <v>511</v>
      </c>
      <c r="B512" s="35" t="s">
        <v>2647</v>
      </c>
      <c r="D512">
        <v>1199</v>
      </c>
      <c r="E512">
        <v>719</v>
      </c>
      <c r="F512" s="11">
        <v>43952</v>
      </c>
    </row>
    <row r="513" spans="1:6" x14ac:dyDescent="0.25">
      <c r="A513">
        <v>512</v>
      </c>
      <c r="B513" s="35" t="s">
        <v>3497</v>
      </c>
      <c r="D513">
        <v>2189</v>
      </c>
      <c r="E513">
        <v>1277</v>
      </c>
      <c r="F513" s="11">
        <v>43952</v>
      </c>
    </row>
    <row r="514" spans="1:6" x14ac:dyDescent="0.25">
      <c r="A514">
        <v>513</v>
      </c>
      <c r="B514" s="35" t="s">
        <v>3509</v>
      </c>
      <c r="D514">
        <v>4609</v>
      </c>
      <c r="E514">
        <v>2689</v>
      </c>
      <c r="F514" s="11">
        <v>43952</v>
      </c>
    </row>
    <row r="515" spans="1:6" x14ac:dyDescent="0.25">
      <c r="A515">
        <v>514</v>
      </c>
      <c r="B515" s="35" t="s">
        <v>3488</v>
      </c>
      <c r="D515">
        <v>1089</v>
      </c>
      <c r="E515">
        <v>635</v>
      </c>
      <c r="F515" s="11">
        <v>43952</v>
      </c>
    </row>
    <row r="516" spans="1:6" x14ac:dyDescent="0.25">
      <c r="A516">
        <v>515</v>
      </c>
      <c r="B516" s="35" t="s">
        <v>3513</v>
      </c>
      <c r="D516">
        <v>5049</v>
      </c>
      <c r="E516">
        <v>2945</v>
      </c>
      <c r="F516" s="11">
        <v>43952</v>
      </c>
    </row>
    <row r="517" spans="1:6" x14ac:dyDescent="0.25">
      <c r="A517">
        <v>516</v>
      </c>
      <c r="B517" s="35" t="s">
        <v>3514</v>
      </c>
      <c r="D517">
        <v>3179</v>
      </c>
      <c r="E517">
        <v>1854</v>
      </c>
      <c r="F517" s="11">
        <v>43952</v>
      </c>
    </row>
    <row r="518" spans="1:6" x14ac:dyDescent="0.25">
      <c r="A518">
        <v>517</v>
      </c>
      <c r="B518" s="35" t="s">
        <v>3515</v>
      </c>
      <c r="D518">
        <v>3069</v>
      </c>
      <c r="E518">
        <v>1790</v>
      </c>
      <c r="F518" s="11">
        <v>43952</v>
      </c>
    </row>
    <row r="519" spans="1:6" x14ac:dyDescent="0.25">
      <c r="A519">
        <v>518</v>
      </c>
      <c r="B519" s="35" t="s">
        <v>3516</v>
      </c>
      <c r="D519">
        <v>3069</v>
      </c>
      <c r="E519">
        <v>1790</v>
      </c>
      <c r="F519" s="11">
        <v>43952</v>
      </c>
    </row>
    <row r="520" spans="1:6" x14ac:dyDescent="0.25">
      <c r="A520">
        <v>519</v>
      </c>
      <c r="B520" s="35" t="s">
        <v>3518</v>
      </c>
      <c r="D520">
        <v>1309</v>
      </c>
      <c r="E520">
        <v>764</v>
      </c>
      <c r="F520" s="11">
        <v>43952</v>
      </c>
    </row>
    <row r="521" spans="1:6" x14ac:dyDescent="0.25">
      <c r="A521">
        <v>520</v>
      </c>
      <c r="B521" s="35" t="s">
        <v>3519</v>
      </c>
      <c r="D521">
        <v>2079</v>
      </c>
      <c r="E521">
        <v>1213</v>
      </c>
      <c r="F521" s="11">
        <v>43952</v>
      </c>
    </row>
    <row r="522" spans="1:6" x14ac:dyDescent="0.25">
      <c r="A522">
        <v>521</v>
      </c>
      <c r="B522" s="35" t="s">
        <v>3520</v>
      </c>
      <c r="D522">
        <v>429</v>
      </c>
      <c r="E522">
        <v>250</v>
      </c>
      <c r="F522" s="11">
        <v>43952</v>
      </c>
    </row>
    <row r="523" spans="1:6" x14ac:dyDescent="0.25">
      <c r="A523">
        <v>522</v>
      </c>
      <c r="B523" s="35" t="s">
        <v>3521</v>
      </c>
      <c r="D523">
        <v>979</v>
      </c>
      <c r="E523">
        <v>571</v>
      </c>
      <c r="F523" s="11">
        <v>43952</v>
      </c>
    </row>
    <row r="524" spans="1:6" x14ac:dyDescent="0.25">
      <c r="A524">
        <v>523</v>
      </c>
      <c r="B524" s="35" t="s">
        <v>1875</v>
      </c>
      <c r="D524">
        <v>6990</v>
      </c>
      <c r="E524">
        <v>4427</v>
      </c>
      <c r="F524" s="11">
        <v>43952</v>
      </c>
    </row>
    <row r="525" spans="1:6" x14ac:dyDescent="0.25">
      <c r="A525">
        <v>524</v>
      </c>
      <c r="B525" s="35" t="s">
        <v>1876</v>
      </c>
      <c r="D525">
        <v>9790</v>
      </c>
      <c r="E525">
        <v>6200</v>
      </c>
      <c r="F525" s="11">
        <v>43952</v>
      </c>
    </row>
    <row r="526" spans="1:6" x14ac:dyDescent="0.25">
      <c r="A526">
        <v>525</v>
      </c>
      <c r="B526" s="35" t="s">
        <v>2026</v>
      </c>
      <c r="D526">
        <v>1790</v>
      </c>
      <c r="E526">
        <v>1074</v>
      </c>
      <c r="F526" s="11">
        <v>43952</v>
      </c>
    </row>
    <row r="527" spans="1:6" x14ac:dyDescent="0.25">
      <c r="A527">
        <v>526</v>
      </c>
      <c r="B527" s="35" t="s">
        <v>2027</v>
      </c>
      <c r="D527">
        <v>5390</v>
      </c>
      <c r="E527">
        <v>3234</v>
      </c>
      <c r="F527" s="11">
        <v>43952</v>
      </c>
    </row>
    <row r="528" spans="1:6" x14ac:dyDescent="0.25">
      <c r="A528">
        <v>527</v>
      </c>
      <c r="B528" s="35" t="s">
        <v>2078</v>
      </c>
      <c r="D528">
        <v>1590</v>
      </c>
      <c r="E528">
        <v>941</v>
      </c>
      <c r="F528" s="11">
        <v>43952</v>
      </c>
    </row>
    <row r="529" spans="1:6" x14ac:dyDescent="0.25">
      <c r="A529">
        <v>528</v>
      </c>
      <c r="B529" s="35" t="s">
        <v>2075</v>
      </c>
      <c r="D529">
        <v>2090</v>
      </c>
      <c r="E529">
        <v>1237</v>
      </c>
      <c r="F529" s="11">
        <v>43952</v>
      </c>
    </row>
    <row r="530" spans="1:6" x14ac:dyDescent="0.25">
      <c r="A530">
        <v>529</v>
      </c>
      <c r="B530" s="35" t="s">
        <v>2076</v>
      </c>
      <c r="D530">
        <v>2190</v>
      </c>
      <c r="E530">
        <v>1296</v>
      </c>
      <c r="F530" s="11">
        <v>43952</v>
      </c>
    </row>
    <row r="531" spans="1:6" x14ac:dyDescent="0.25">
      <c r="A531">
        <v>530</v>
      </c>
      <c r="B531" s="35" t="s">
        <v>2077</v>
      </c>
      <c r="D531">
        <v>5890</v>
      </c>
      <c r="E531">
        <v>3485</v>
      </c>
      <c r="F531" s="11">
        <v>43952</v>
      </c>
    </row>
    <row r="532" spans="1:6" x14ac:dyDescent="0.25">
      <c r="A532">
        <v>531</v>
      </c>
      <c r="B532" s="35" t="s">
        <v>2122</v>
      </c>
      <c r="D532">
        <v>2190</v>
      </c>
      <c r="E532">
        <v>1314</v>
      </c>
      <c r="F532" s="11">
        <v>43952</v>
      </c>
    </row>
    <row r="533" spans="1:6" x14ac:dyDescent="0.25">
      <c r="A533">
        <v>532</v>
      </c>
      <c r="B533" s="35" t="s">
        <v>2126</v>
      </c>
      <c r="D533">
        <v>1190</v>
      </c>
      <c r="E533">
        <v>714</v>
      </c>
      <c r="F533" s="11">
        <v>43952</v>
      </c>
    </row>
    <row r="534" spans="1:6" x14ac:dyDescent="0.25">
      <c r="A534">
        <v>533</v>
      </c>
      <c r="B534" s="35" t="s">
        <v>1763</v>
      </c>
      <c r="D534">
        <v>1990</v>
      </c>
      <c r="E534">
        <v>1277</v>
      </c>
      <c r="F534" s="11">
        <v>43952</v>
      </c>
    </row>
    <row r="535" spans="1:6" x14ac:dyDescent="0.25">
      <c r="A535">
        <v>534</v>
      </c>
      <c r="B535" s="35" t="s">
        <v>1766</v>
      </c>
      <c r="D535">
        <v>4190</v>
      </c>
      <c r="E535">
        <v>2689</v>
      </c>
      <c r="F535" s="11">
        <v>43952</v>
      </c>
    </row>
    <row r="536" spans="1:6" x14ac:dyDescent="0.25">
      <c r="A536">
        <v>535</v>
      </c>
      <c r="B536" s="35" t="s">
        <v>1767</v>
      </c>
      <c r="D536">
        <v>4190</v>
      </c>
      <c r="E536">
        <v>2689</v>
      </c>
      <c r="F536" s="11">
        <v>43952</v>
      </c>
    </row>
    <row r="537" spans="1:6" x14ac:dyDescent="0.25">
      <c r="A537">
        <v>536</v>
      </c>
      <c r="B537" s="35" t="s">
        <v>1768</v>
      </c>
      <c r="D537">
        <v>8190</v>
      </c>
      <c r="E537">
        <v>5119</v>
      </c>
      <c r="F537" s="11">
        <v>43952</v>
      </c>
    </row>
    <row r="538" spans="1:6" x14ac:dyDescent="0.25">
      <c r="A538">
        <v>537</v>
      </c>
      <c r="B538" s="35" t="s">
        <v>1840</v>
      </c>
      <c r="D538">
        <v>2698</v>
      </c>
      <c r="E538">
        <v>1687</v>
      </c>
      <c r="F538" s="11">
        <v>43952</v>
      </c>
    </row>
    <row r="539" spans="1:6" x14ac:dyDescent="0.25">
      <c r="A539">
        <v>538</v>
      </c>
      <c r="B539" s="35" t="s">
        <v>1725</v>
      </c>
      <c r="D539">
        <v>653</v>
      </c>
      <c r="E539">
        <v>381</v>
      </c>
      <c r="F539" s="11">
        <v>43952</v>
      </c>
    </row>
    <row r="540" spans="1:6" x14ac:dyDescent="0.25">
      <c r="A540">
        <v>539</v>
      </c>
      <c r="B540" s="35" t="s">
        <v>1726</v>
      </c>
      <c r="D540">
        <v>867</v>
      </c>
      <c r="E540">
        <v>506</v>
      </c>
      <c r="F540" s="11">
        <v>43952</v>
      </c>
    </row>
    <row r="541" spans="1:6" x14ac:dyDescent="0.25">
      <c r="A541">
        <v>540</v>
      </c>
      <c r="B541" s="35" t="s">
        <v>1727</v>
      </c>
      <c r="D541">
        <v>867</v>
      </c>
      <c r="E541">
        <v>506</v>
      </c>
      <c r="F541" s="11">
        <v>43952</v>
      </c>
    </row>
    <row r="542" spans="1:6" x14ac:dyDescent="0.25">
      <c r="A542">
        <v>541</v>
      </c>
      <c r="B542" s="35" t="s">
        <v>1728</v>
      </c>
      <c r="D542">
        <v>1850</v>
      </c>
      <c r="E542">
        <v>1079</v>
      </c>
      <c r="F542" s="11">
        <v>43952</v>
      </c>
    </row>
    <row r="543" spans="1:6" x14ac:dyDescent="0.25">
      <c r="A543">
        <v>542</v>
      </c>
      <c r="B543" s="35" t="s">
        <v>1729</v>
      </c>
      <c r="D543">
        <v>2118</v>
      </c>
      <c r="E543">
        <v>1236</v>
      </c>
      <c r="F543" s="11">
        <v>43952</v>
      </c>
    </row>
    <row r="544" spans="1:6" x14ac:dyDescent="0.25">
      <c r="A544">
        <v>543</v>
      </c>
      <c r="B544" s="35" t="s">
        <v>1702</v>
      </c>
      <c r="D544">
        <v>4490</v>
      </c>
      <c r="E544">
        <v>3413</v>
      </c>
      <c r="F544" s="11">
        <v>43952</v>
      </c>
    </row>
    <row r="545" spans="1:6" x14ac:dyDescent="0.25">
      <c r="A545">
        <v>544</v>
      </c>
      <c r="B545" s="35" t="s">
        <v>2275</v>
      </c>
      <c r="D545">
        <v>8390</v>
      </c>
      <c r="E545">
        <v>5733</v>
      </c>
      <c r="F545" s="11">
        <v>43952</v>
      </c>
    </row>
    <row r="546" spans="1:6" x14ac:dyDescent="0.25">
      <c r="A546">
        <v>545</v>
      </c>
      <c r="B546" s="35" t="s">
        <v>2266</v>
      </c>
      <c r="D546">
        <v>33390</v>
      </c>
      <c r="E546">
        <v>22817</v>
      </c>
      <c r="F546" s="11">
        <v>43952</v>
      </c>
    </row>
    <row r="547" spans="1:6" x14ac:dyDescent="0.25">
      <c r="A547">
        <v>546</v>
      </c>
      <c r="B547" s="35" t="s">
        <v>2267</v>
      </c>
      <c r="D547">
        <v>18590</v>
      </c>
      <c r="E547">
        <v>12703</v>
      </c>
      <c r="F547" s="11">
        <v>43952</v>
      </c>
    </row>
    <row r="548" spans="1:6" x14ac:dyDescent="0.25">
      <c r="A548">
        <v>547</v>
      </c>
      <c r="B548" s="35" t="s">
        <v>2258</v>
      </c>
      <c r="D548">
        <v>8590</v>
      </c>
      <c r="E548">
        <v>5870</v>
      </c>
      <c r="F548" s="11">
        <v>43952</v>
      </c>
    </row>
    <row r="549" spans="1:6" x14ac:dyDescent="0.25">
      <c r="A549">
        <v>548</v>
      </c>
      <c r="B549" s="35" t="s">
        <v>2259</v>
      </c>
      <c r="D549">
        <v>9490</v>
      </c>
      <c r="E549">
        <v>6485</v>
      </c>
      <c r="F549" s="11">
        <v>43952</v>
      </c>
    </row>
    <row r="550" spans="1:6" x14ac:dyDescent="0.25">
      <c r="A550">
        <v>549</v>
      </c>
      <c r="B550" s="35" t="s">
        <v>3272</v>
      </c>
      <c r="D550">
        <v>12290</v>
      </c>
      <c r="E550">
        <v>7780</v>
      </c>
      <c r="F550" s="11">
        <v>43952</v>
      </c>
    </row>
    <row r="551" spans="1:6" x14ac:dyDescent="0.25">
      <c r="A551">
        <v>550</v>
      </c>
      <c r="B551" s="35" t="s">
        <v>3273</v>
      </c>
      <c r="D551">
        <v>12790</v>
      </c>
      <c r="E551">
        <v>8096</v>
      </c>
      <c r="F551" s="11">
        <v>43952</v>
      </c>
    </row>
    <row r="552" spans="1:6" x14ac:dyDescent="0.25">
      <c r="A552">
        <v>551</v>
      </c>
      <c r="B552" s="35" t="s">
        <v>2329</v>
      </c>
      <c r="D552">
        <v>1089</v>
      </c>
      <c r="E552">
        <v>744</v>
      </c>
      <c r="F552" s="11">
        <v>43952</v>
      </c>
    </row>
    <row r="553" spans="1:6" x14ac:dyDescent="0.25">
      <c r="A553">
        <v>552</v>
      </c>
      <c r="B553" s="35" t="s">
        <v>2330</v>
      </c>
      <c r="D553">
        <v>649</v>
      </c>
      <c r="E553">
        <v>443</v>
      </c>
      <c r="F553" s="11">
        <v>43952</v>
      </c>
    </row>
    <row r="554" spans="1:6" x14ac:dyDescent="0.25">
      <c r="A554">
        <v>553</v>
      </c>
      <c r="B554" s="35" t="s">
        <v>2331</v>
      </c>
      <c r="D554">
        <v>1639</v>
      </c>
      <c r="E554">
        <v>1120</v>
      </c>
      <c r="F554" s="11">
        <v>43952</v>
      </c>
    </row>
    <row r="555" spans="1:6" x14ac:dyDescent="0.25">
      <c r="A555">
        <v>554</v>
      </c>
      <c r="B555" s="35" t="s">
        <v>2332</v>
      </c>
      <c r="D555">
        <v>869</v>
      </c>
      <c r="E555">
        <v>594</v>
      </c>
      <c r="F555" s="11">
        <v>43952</v>
      </c>
    </row>
    <row r="556" spans="1:6" x14ac:dyDescent="0.25">
      <c r="A556">
        <v>555</v>
      </c>
      <c r="B556" s="35" t="s">
        <v>2465</v>
      </c>
      <c r="D556">
        <v>15609</v>
      </c>
      <c r="E556">
        <v>8455</v>
      </c>
      <c r="F556" s="11">
        <v>43952</v>
      </c>
    </row>
    <row r="557" spans="1:6" x14ac:dyDescent="0.25">
      <c r="A557">
        <v>556</v>
      </c>
      <c r="B557" s="35" t="s">
        <v>2358</v>
      </c>
      <c r="D557">
        <v>3619</v>
      </c>
      <c r="E557">
        <v>2111</v>
      </c>
      <c r="F557" s="11">
        <v>43952</v>
      </c>
    </row>
    <row r="558" spans="1:6" x14ac:dyDescent="0.25">
      <c r="A558">
        <v>557</v>
      </c>
      <c r="B558" s="35" t="s">
        <v>2359</v>
      </c>
      <c r="D558">
        <v>979</v>
      </c>
      <c r="E558">
        <v>571</v>
      </c>
      <c r="F558" s="11">
        <v>43952</v>
      </c>
    </row>
    <row r="559" spans="1:6" x14ac:dyDescent="0.25">
      <c r="A559">
        <v>558</v>
      </c>
      <c r="B559" s="35" t="s">
        <v>2360</v>
      </c>
      <c r="D559">
        <v>2519</v>
      </c>
      <c r="E559">
        <v>1469</v>
      </c>
      <c r="F559" s="11">
        <v>43952</v>
      </c>
    </row>
    <row r="560" spans="1:6" x14ac:dyDescent="0.25">
      <c r="A560">
        <v>559</v>
      </c>
      <c r="B560" s="35" t="s">
        <v>2361</v>
      </c>
      <c r="D560">
        <v>2959</v>
      </c>
      <c r="E560">
        <v>1726</v>
      </c>
      <c r="F560" s="11">
        <v>43952</v>
      </c>
    </row>
    <row r="561" spans="1:6" x14ac:dyDescent="0.25">
      <c r="A561">
        <v>560</v>
      </c>
      <c r="B561" s="35" t="s">
        <v>1748</v>
      </c>
      <c r="D561">
        <v>890</v>
      </c>
      <c r="E561">
        <v>519</v>
      </c>
      <c r="F561" s="11">
        <v>43952</v>
      </c>
    </row>
    <row r="562" spans="1:6" x14ac:dyDescent="0.25">
      <c r="A562">
        <v>561</v>
      </c>
      <c r="B562" s="35" t="s">
        <v>1749</v>
      </c>
      <c r="D562">
        <v>1719</v>
      </c>
      <c r="E562">
        <v>1003</v>
      </c>
      <c r="F562" s="11">
        <v>43952</v>
      </c>
    </row>
    <row r="563" spans="1:6" x14ac:dyDescent="0.25">
      <c r="A563">
        <v>562</v>
      </c>
      <c r="B563" s="35" t="s">
        <v>1750</v>
      </c>
      <c r="D563">
        <v>2039</v>
      </c>
      <c r="E563">
        <v>1189</v>
      </c>
      <c r="F563" s="11">
        <v>43952</v>
      </c>
    </row>
    <row r="564" spans="1:6" x14ac:dyDescent="0.25">
      <c r="A564">
        <v>563</v>
      </c>
      <c r="B564" s="35" t="s">
        <v>1751</v>
      </c>
      <c r="D564">
        <v>1719</v>
      </c>
      <c r="E564">
        <v>1003</v>
      </c>
      <c r="F564" s="11">
        <v>43952</v>
      </c>
    </row>
    <row r="565" spans="1:6" x14ac:dyDescent="0.25">
      <c r="A565">
        <v>564</v>
      </c>
      <c r="B565" s="35" t="s">
        <v>2327</v>
      </c>
      <c r="D565">
        <v>25390</v>
      </c>
      <c r="E565">
        <v>17350</v>
      </c>
      <c r="F565" s="11">
        <v>43952</v>
      </c>
    </row>
    <row r="566" spans="1:6" x14ac:dyDescent="0.25">
      <c r="A566">
        <v>565</v>
      </c>
      <c r="B566" s="35" t="s">
        <v>2328</v>
      </c>
      <c r="D566">
        <v>12690</v>
      </c>
      <c r="E566">
        <v>8672</v>
      </c>
      <c r="F566" s="11">
        <v>43952</v>
      </c>
    </row>
    <row r="567" spans="1:6" x14ac:dyDescent="0.25">
      <c r="A567">
        <v>566</v>
      </c>
      <c r="B567" s="35" t="s">
        <v>2317</v>
      </c>
      <c r="D567">
        <v>8290</v>
      </c>
      <c r="E567">
        <v>5665</v>
      </c>
      <c r="F567" s="11">
        <v>43952</v>
      </c>
    </row>
    <row r="568" spans="1:6" x14ac:dyDescent="0.25">
      <c r="A568">
        <v>567</v>
      </c>
      <c r="B568" s="35" t="s">
        <v>2316</v>
      </c>
      <c r="D568">
        <v>8290</v>
      </c>
      <c r="E568">
        <v>5665</v>
      </c>
      <c r="F568" s="11">
        <v>43952</v>
      </c>
    </row>
    <row r="569" spans="1:6" x14ac:dyDescent="0.25">
      <c r="A569">
        <v>568</v>
      </c>
      <c r="B569" s="35" t="s">
        <v>1704</v>
      </c>
      <c r="D569">
        <v>5090</v>
      </c>
      <c r="E569">
        <v>3393</v>
      </c>
      <c r="F569" s="11">
        <v>43952</v>
      </c>
    </row>
    <row r="570" spans="1:6" x14ac:dyDescent="0.25">
      <c r="A570">
        <v>569</v>
      </c>
      <c r="B570" s="35" t="s">
        <v>1705</v>
      </c>
      <c r="D570">
        <v>6690</v>
      </c>
      <c r="E570">
        <v>4460</v>
      </c>
      <c r="F570" s="11">
        <v>43952</v>
      </c>
    </row>
    <row r="571" spans="1:6" x14ac:dyDescent="0.25">
      <c r="A571">
        <v>570</v>
      </c>
      <c r="B571" s="35" t="s">
        <v>1706</v>
      </c>
      <c r="D571">
        <v>7390</v>
      </c>
      <c r="E571">
        <v>4927</v>
      </c>
      <c r="F571" s="11">
        <v>43952</v>
      </c>
    </row>
    <row r="572" spans="1:6" x14ac:dyDescent="0.25">
      <c r="A572">
        <v>571</v>
      </c>
      <c r="B572" s="35" t="s">
        <v>1707</v>
      </c>
      <c r="D572">
        <v>5790</v>
      </c>
      <c r="E572">
        <v>3860</v>
      </c>
      <c r="F572" s="11">
        <v>43952</v>
      </c>
    </row>
    <row r="573" spans="1:6" x14ac:dyDescent="0.25">
      <c r="A573">
        <v>572</v>
      </c>
      <c r="B573" s="35" t="s">
        <v>1708</v>
      </c>
      <c r="D573">
        <v>7390</v>
      </c>
      <c r="E573">
        <v>4927</v>
      </c>
      <c r="F573" s="11">
        <v>43952</v>
      </c>
    </row>
    <row r="574" spans="1:6" x14ac:dyDescent="0.25">
      <c r="A574">
        <v>573</v>
      </c>
      <c r="B574" s="35" t="s">
        <v>1709</v>
      </c>
      <c r="D574">
        <v>8290</v>
      </c>
      <c r="E574">
        <v>5527</v>
      </c>
      <c r="F574" s="11">
        <v>43952</v>
      </c>
    </row>
    <row r="575" spans="1:6" x14ac:dyDescent="0.25">
      <c r="A575">
        <v>574</v>
      </c>
      <c r="B575" s="35" t="s">
        <v>2384</v>
      </c>
      <c r="D575">
        <v>20090</v>
      </c>
      <c r="E575">
        <v>13728</v>
      </c>
      <c r="F575" s="11">
        <v>43952</v>
      </c>
    </row>
    <row r="576" spans="1:6" x14ac:dyDescent="0.25">
      <c r="A576">
        <v>575</v>
      </c>
      <c r="B576" s="35" t="s">
        <v>2387</v>
      </c>
      <c r="D576">
        <v>26490</v>
      </c>
      <c r="E576">
        <v>18102</v>
      </c>
      <c r="F576" s="11">
        <v>43952</v>
      </c>
    </row>
    <row r="577" spans="1:6" x14ac:dyDescent="0.25">
      <c r="A577">
        <v>576</v>
      </c>
      <c r="B577" s="35" t="s">
        <v>2372</v>
      </c>
      <c r="D577">
        <v>38990</v>
      </c>
      <c r="E577">
        <v>26643</v>
      </c>
      <c r="F577" s="11">
        <v>43952</v>
      </c>
    </row>
    <row r="578" spans="1:6" x14ac:dyDescent="0.25">
      <c r="A578">
        <v>577</v>
      </c>
      <c r="B578" s="35" t="s">
        <v>2373</v>
      </c>
      <c r="D578">
        <v>27190</v>
      </c>
      <c r="E578">
        <v>18580</v>
      </c>
      <c r="F578" s="11">
        <v>43952</v>
      </c>
    </row>
    <row r="579" spans="1:6" x14ac:dyDescent="0.25">
      <c r="A579">
        <v>578</v>
      </c>
      <c r="B579" s="35" t="s">
        <v>2374</v>
      </c>
      <c r="D579">
        <v>18190</v>
      </c>
      <c r="E579">
        <v>12430</v>
      </c>
      <c r="F579" s="11">
        <v>43952</v>
      </c>
    </row>
    <row r="580" spans="1:6" x14ac:dyDescent="0.25">
      <c r="A580">
        <v>579</v>
      </c>
      <c r="B580" s="35" t="s">
        <v>2293</v>
      </c>
      <c r="D580">
        <v>9390</v>
      </c>
      <c r="E580">
        <v>6417</v>
      </c>
      <c r="F580" s="11">
        <v>43952</v>
      </c>
    </row>
    <row r="581" spans="1:6" x14ac:dyDescent="0.25">
      <c r="A581">
        <v>580</v>
      </c>
      <c r="B581" s="35" t="s">
        <v>2285</v>
      </c>
      <c r="D581">
        <v>16290</v>
      </c>
      <c r="E581">
        <v>11132</v>
      </c>
      <c r="F581" s="11">
        <v>43952</v>
      </c>
    </row>
    <row r="582" spans="1:6" x14ac:dyDescent="0.25">
      <c r="A582">
        <v>581</v>
      </c>
      <c r="B582" s="35" t="s">
        <v>2286</v>
      </c>
      <c r="D582">
        <v>18090</v>
      </c>
      <c r="E582">
        <v>12362</v>
      </c>
      <c r="F582" s="11">
        <v>43952</v>
      </c>
    </row>
    <row r="583" spans="1:6" x14ac:dyDescent="0.25">
      <c r="A583">
        <v>582</v>
      </c>
      <c r="B583" s="35" t="s">
        <v>2287</v>
      </c>
      <c r="D583">
        <v>8390</v>
      </c>
      <c r="E583">
        <v>5733</v>
      </c>
      <c r="F583" s="11">
        <v>43952</v>
      </c>
    </row>
    <row r="584" spans="1:6" x14ac:dyDescent="0.25">
      <c r="A584">
        <v>583</v>
      </c>
      <c r="B584" s="35" t="s">
        <v>2288</v>
      </c>
      <c r="D584">
        <v>10190</v>
      </c>
      <c r="E584">
        <v>6963</v>
      </c>
      <c r="F584" s="11">
        <v>43952</v>
      </c>
    </row>
    <row r="585" spans="1:6" x14ac:dyDescent="0.25">
      <c r="A585">
        <v>584</v>
      </c>
      <c r="B585" s="35" t="s">
        <v>2289</v>
      </c>
      <c r="D585">
        <v>27790</v>
      </c>
      <c r="E585">
        <v>18990</v>
      </c>
      <c r="F585" s="11">
        <v>43952</v>
      </c>
    </row>
    <row r="586" spans="1:6" x14ac:dyDescent="0.25">
      <c r="A586">
        <v>585</v>
      </c>
      <c r="B586" s="35" t="s">
        <v>2290</v>
      </c>
      <c r="D586">
        <v>14890</v>
      </c>
      <c r="E586">
        <v>10175</v>
      </c>
      <c r="F586" s="11">
        <v>43952</v>
      </c>
    </row>
    <row r="587" spans="1:6" x14ac:dyDescent="0.25">
      <c r="A587">
        <v>586</v>
      </c>
      <c r="B587" s="35" t="s">
        <v>2291</v>
      </c>
      <c r="D587">
        <v>11690</v>
      </c>
      <c r="E587">
        <v>7988</v>
      </c>
      <c r="F587" s="11">
        <v>43952</v>
      </c>
    </row>
    <row r="588" spans="1:6" x14ac:dyDescent="0.25">
      <c r="A588">
        <v>587</v>
      </c>
      <c r="B588" s="35" t="s">
        <v>2435</v>
      </c>
      <c r="D588">
        <v>90990</v>
      </c>
      <c r="E588">
        <v>56869</v>
      </c>
      <c r="F588" s="11">
        <v>43952</v>
      </c>
    </row>
    <row r="589" spans="1:6" x14ac:dyDescent="0.25">
      <c r="A589">
        <v>588</v>
      </c>
      <c r="B589" s="35" t="s">
        <v>2436</v>
      </c>
      <c r="D589">
        <v>90990</v>
      </c>
      <c r="E589">
        <v>56869</v>
      </c>
      <c r="F589" s="11">
        <v>43952</v>
      </c>
    </row>
    <row r="590" spans="1:6" x14ac:dyDescent="0.25">
      <c r="A590">
        <v>589</v>
      </c>
      <c r="B590" s="35" t="s">
        <v>2437</v>
      </c>
      <c r="D590">
        <v>106890</v>
      </c>
      <c r="E590">
        <v>66806</v>
      </c>
      <c r="F590" s="11">
        <v>43952</v>
      </c>
    </row>
    <row r="591" spans="1:6" x14ac:dyDescent="0.25">
      <c r="A591">
        <v>590</v>
      </c>
      <c r="B591" s="35" t="s">
        <v>2438</v>
      </c>
      <c r="D591">
        <v>106890</v>
      </c>
      <c r="E591">
        <v>66806</v>
      </c>
      <c r="F591" s="11">
        <v>43952</v>
      </c>
    </row>
    <row r="592" spans="1:6" x14ac:dyDescent="0.25">
      <c r="A592">
        <v>591</v>
      </c>
      <c r="B592" s="35" t="s">
        <v>2439</v>
      </c>
      <c r="D592">
        <v>123390</v>
      </c>
      <c r="E592">
        <v>77119</v>
      </c>
      <c r="F592" s="11">
        <v>43952</v>
      </c>
    </row>
    <row r="593" spans="1:6" x14ac:dyDescent="0.25">
      <c r="A593">
        <v>592</v>
      </c>
      <c r="B593" s="35" t="s">
        <v>2440</v>
      </c>
      <c r="D593">
        <v>123390</v>
      </c>
      <c r="E593">
        <v>77119</v>
      </c>
      <c r="F593" s="11">
        <v>43952</v>
      </c>
    </row>
    <row r="594" spans="1:6" x14ac:dyDescent="0.25">
      <c r="A594">
        <v>593</v>
      </c>
      <c r="B594" s="35" t="s">
        <v>1878</v>
      </c>
      <c r="D594">
        <v>2390</v>
      </c>
      <c r="E594">
        <v>1633</v>
      </c>
      <c r="F594" s="11">
        <v>43952</v>
      </c>
    </row>
    <row r="595" spans="1:6" x14ac:dyDescent="0.25">
      <c r="A595">
        <v>594</v>
      </c>
      <c r="B595" s="35" t="s">
        <v>1879</v>
      </c>
      <c r="D595">
        <v>2990</v>
      </c>
      <c r="E595">
        <v>2043</v>
      </c>
      <c r="F595" s="11">
        <v>43952</v>
      </c>
    </row>
    <row r="596" spans="1:6" x14ac:dyDescent="0.25">
      <c r="A596">
        <v>595</v>
      </c>
      <c r="B596" s="35" t="s">
        <v>1880</v>
      </c>
      <c r="D596">
        <v>2990</v>
      </c>
      <c r="E596">
        <v>2043</v>
      </c>
      <c r="F596" s="11">
        <v>43952</v>
      </c>
    </row>
    <row r="597" spans="1:6" x14ac:dyDescent="0.25">
      <c r="A597">
        <v>596</v>
      </c>
      <c r="B597" s="35" t="s">
        <v>1881</v>
      </c>
      <c r="D597">
        <v>2990</v>
      </c>
      <c r="E597">
        <v>2043</v>
      </c>
      <c r="F597" s="11">
        <v>43952</v>
      </c>
    </row>
    <row r="598" spans="1:6" x14ac:dyDescent="0.25">
      <c r="A598">
        <v>597</v>
      </c>
      <c r="B598" s="35" t="s">
        <v>1882</v>
      </c>
      <c r="D598">
        <v>3890</v>
      </c>
      <c r="E598">
        <v>2658</v>
      </c>
      <c r="F598" s="11">
        <v>43952</v>
      </c>
    </row>
    <row r="599" spans="1:6" x14ac:dyDescent="0.25">
      <c r="A599">
        <v>598</v>
      </c>
      <c r="B599" s="35" t="s">
        <v>1883</v>
      </c>
      <c r="D599">
        <v>3890</v>
      </c>
      <c r="E599">
        <v>2658</v>
      </c>
      <c r="F599" s="11">
        <v>43952</v>
      </c>
    </row>
    <row r="600" spans="1:6" x14ac:dyDescent="0.25">
      <c r="A600">
        <v>599</v>
      </c>
      <c r="B600" s="35" t="s">
        <v>1884</v>
      </c>
      <c r="D600">
        <v>5190</v>
      </c>
      <c r="E600">
        <v>3547</v>
      </c>
      <c r="F600" s="11">
        <v>43952</v>
      </c>
    </row>
    <row r="601" spans="1:6" x14ac:dyDescent="0.25">
      <c r="A601">
        <v>600</v>
      </c>
      <c r="B601" s="35" t="s">
        <v>1885</v>
      </c>
      <c r="D601">
        <v>5190</v>
      </c>
      <c r="E601">
        <v>3547</v>
      </c>
      <c r="F601" s="11">
        <v>43952</v>
      </c>
    </row>
    <row r="602" spans="1:6" x14ac:dyDescent="0.25">
      <c r="A602">
        <v>601</v>
      </c>
      <c r="B602" s="35" t="s">
        <v>1886</v>
      </c>
      <c r="D602">
        <v>4590</v>
      </c>
      <c r="E602">
        <v>3137</v>
      </c>
      <c r="F602" s="11">
        <v>43952</v>
      </c>
    </row>
    <row r="603" spans="1:6" x14ac:dyDescent="0.25">
      <c r="A603">
        <v>602</v>
      </c>
      <c r="B603" s="35" t="s">
        <v>1887</v>
      </c>
      <c r="D603">
        <v>5690</v>
      </c>
      <c r="E603">
        <v>3888</v>
      </c>
      <c r="F603" s="11">
        <v>43952</v>
      </c>
    </row>
    <row r="604" spans="1:6" x14ac:dyDescent="0.25">
      <c r="A604">
        <v>603</v>
      </c>
      <c r="B604" s="35" t="s">
        <v>1888</v>
      </c>
      <c r="D604">
        <v>5690</v>
      </c>
      <c r="E604">
        <v>3888</v>
      </c>
      <c r="F604" s="11">
        <v>43952</v>
      </c>
    </row>
    <row r="605" spans="1:6" x14ac:dyDescent="0.25">
      <c r="A605">
        <v>604</v>
      </c>
      <c r="B605" s="35" t="s">
        <v>1889</v>
      </c>
      <c r="D605">
        <v>5690</v>
      </c>
      <c r="E605">
        <v>3888</v>
      </c>
      <c r="F605" s="11">
        <v>43952</v>
      </c>
    </row>
    <row r="606" spans="1:6" x14ac:dyDescent="0.25">
      <c r="A606">
        <v>605</v>
      </c>
      <c r="B606" s="35" t="s">
        <v>1890</v>
      </c>
      <c r="D606">
        <v>5690</v>
      </c>
      <c r="E606">
        <v>3888</v>
      </c>
      <c r="F606" s="11">
        <v>43952</v>
      </c>
    </row>
    <row r="607" spans="1:6" x14ac:dyDescent="0.25">
      <c r="A607">
        <v>606</v>
      </c>
      <c r="B607" s="35" t="s">
        <v>1936</v>
      </c>
      <c r="D607">
        <v>4190</v>
      </c>
      <c r="E607">
        <v>2514</v>
      </c>
      <c r="F607" s="11">
        <v>43952</v>
      </c>
    </row>
    <row r="608" spans="1:6" x14ac:dyDescent="0.25">
      <c r="A608">
        <v>607</v>
      </c>
      <c r="B608" s="35" t="s">
        <v>1938</v>
      </c>
      <c r="D608">
        <v>990</v>
      </c>
      <c r="E608">
        <v>536</v>
      </c>
      <c r="F608" s="11">
        <v>43952</v>
      </c>
    </row>
    <row r="609" spans="1:6" x14ac:dyDescent="0.25">
      <c r="A609">
        <v>608</v>
      </c>
      <c r="B609" s="35" t="s">
        <v>2089</v>
      </c>
      <c r="D609">
        <v>1579</v>
      </c>
      <c r="E609">
        <v>1013</v>
      </c>
      <c r="F609" s="11">
        <v>43952</v>
      </c>
    </row>
    <row r="610" spans="1:6" x14ac:dyDescent="0.25">
      <c r="A610">
        <v>609</v>
      </c>
      <c r="B610" s="35" t="s">
        <v>2090</v>
      </c>
      <c r="D610">
        <v>3979</v>
      </c>
      <c r="E610">
        <v>2553</v>
      </c>
      <c r="F610" s="11">
        <v>43952</v>
      </c>
    </row>
    <row r="611" spans="1:6" x14ac:dyDescent="0.25">
      <c r="A611">
        <v>610</v>
      </c>
      <c r="B611" s="35" t="s">
        <v>2130</v>
      </c>
      <c r="D611">
        <v>2829</v>
      </c>
      <c r="E611">
        <v>1697</v>
      </c>
      <c r="F611" s="11">
        <v>43952</v>
      </c>
    </row>
    <row r="612" spans="1:6" x14ac:dyDescent="0.25">
      <c r="A612">
        <v>611</v>
      </c>
      <c r="B612" s="35" t="s">
        <v>2132</v>
      </c>
      <c r="D612">
        <v>2829</v>
      </c>
      <c r="E612">
        <v>1697</v>
      </c>
      <c r="F612" s="11">
        <v>43952</v>
      </c>
    </row>
    <row r="613" spans="1:6" x14ac:dyDescent="0.25">
      <c r="A613">
        <v>612</v>
      </c>
      <c r="B613" s="35" t="s">
        <v>2133</v>
      </c>
      <c r="D613">
        <v>2829</v>
      </c>
      <c r="E613">
        <v>1697</v>
      </c>
      <c r="F613" s="11">
        <v>43952</v>
      </c>
    </row>
    <row r="614" spans="1:6" x14ac:dyDescent="0.25">
      <c r="A614">
        <v>613</v>
      </c>
      <c r="B614" s="35" t="s">
        <v>2134</v>
      </c>
      <c r="D614">
        <v>3639</v>
      </c>
      <c r="E614">
        <v>2183</v>
      </c>
      <c r="F614" s="11">
        <v>43952</v>
      </c>
    </row>
    <row r="615" spans="1:6" x14ac:dyDescent="0.25">
      <c r="A615">
        <v>614</v>
      </c>
      <c r="B615" s="35" t="s">
        <v>2136</v>
      </c>
      <c r="D615">
        <v>3419</v>
      </c>
      <c r="E615">
        <v>2051</v>
      </c>
      <c r="F615" s="11">
        <v>43952</v>
      </c>
    </row>
    <row r="616" spans="1:6" x14ac:dyDescent="0.25">
      <c r="A616">
        <v>615</v>
      </c>
      <c r="B616" s="35" t="s">
        <v>2137</v>
      </c>
      <c r="D616">
        <v>3629</v>
      </c>
      <c r="E616">
        <v>2177</v>
      </c>
      <c r="F616" s="11">
        <v>43952</v>
      </c>
    </row>
    <row r="617" spans="1:6" x14ac:dyDescent="0.25">
      <c r="A617">
        <v>616</v>
      </c>
      <c r="B617" s="35" t="s">
        <v>2138</v>
      </c>
      <c r="D617">
        <v>3629</v>
      </c>
      <c r="E617">
        <v>2177</v>
      </c>
      <c r="F617" s="11">
        <v>43952</v>
      </c>
    </row>
    <row r="618" spans="1:6" x14ac:dyDescent="0.25">
      <c r="A618">
        <v>617</v>
      </c>
      <c r="B618" s="35" t="s">
        <v>2139</v>
      </c>
      <c r="D618">
        <v>4229</v>
      </c>
      <c r="E618">
        <v>2537</v>
      </c>
      <c r="F618" s="11">
        <v>43952</v>
      </c>
    </row>
    <row r="619" spans="1:6" x14ac:dyDescent="0.25">
      <c r="A619">
        <v>618</v>
      </c>
      <c r="B619" s="35" t="s">
        <v>2141</v>
      </c>
      <c r="D619">
        <v>1389</v>
      </c>
      <c r="E619">
        <v>845</v>
      </c>
      <c r="F619" s="11">
        <v>43952</v>
      </c>
    </row>
    <row r="620" spans="1:6" x14ac:dyDescent="0.25">
      <c r="A620">
        <v>619</v>
      </c>
      <c r="B620" s="35" t="s">
        <v>2142</v>
      </c>
      <c r="D620">
        <v>1459</v>
      </c>
      <c r="E620">
        <v>888</v>
      </c>
      <c r="F620" s="11">
        <v>43952</v>
      </c>
    </row>
    <row r="621" spans="1:6" x14ac:dyDescent="0.25">
      <c r="A621">
        <v>620</v>
      </c>
      <c r="B621" s="35" t="s">
        <v>2152</v>
      </c>
      <c r="D621">
        <v>2190</v>
      </c>
      <c r="E621">
        <v>1351</v>
      </c>
      <c r="F621" s="11">
        <v>43952</v>
      </c>
    </row>
    <row r="622" spans="1:6" x14ac:dyDescent="0.25">
      <c r="A622">
        <v>621</v>
      </c>
      <c r="B622" s="35" t="s">
        <v>2156</v>
      </c>
      <c r="D622">
        <v>1429</v>
      </c>
      <c r="E622">
        <v>869</v>
      </c>
      <c r="F622" s="11">
        <v>43952</v>
      </c>
    </row>
    <row r="623" spans="1:6" x14ac:dyDescent="0.25">
      <c r="A623">
        <v>622</v>
      </c>
      <c r="B623" s="35" t="s">
        <v>2158</v>
      </c>
      <c r="D623">
        <v>1429</v>
      </c>
      <c r="E623">
        <v>869</v>
      </c>
      <c r="F623" s="11">
        <v>43952</v>
      </c>
    </row>
    <row r="624" spans="1:6" x14ac:dyDescent="0.25">
      <c r="A624">
        <v>623</v>
      </c>
      <c r="B624" s="35" t="s">
        <v>2160</v>
      </c>
      <c r="D624">
        <v>1929</v>
      </c>
      <c r="E624">
        <v>1173</v>
      </c>
      <c r="F624" s="11">
        <v>43952</v>
      </c>
    </row>
    <row r="625" spans="1:6" x14ac:dyDescent="0.25">
      <c r="A625">
        <v>624</v>
      </c>
      <c r="B625" s="35" t="s">
        <v>2161</v>
      </c>
      <c r="D625">
        <v>1249</v>
      </c>
      <c r="E625">
        <v>760</v>
      </c>
      <c r="F625" s="11">
        <v>43952</v>
      </c>
    </row>
    <row r="626" spans="1:6" x14ac:dyDescent="0.25">
      <c r="A626">
        <v>625</v>
      </c>
      <c r="B626" s="35" t="s">
        <v>2162</v>
      </c>
      <c r="D626">
        <v>1719</v>
      </c>
      <c r="E626">
        <v>1046</v>
      </c>
      <c r="F626" s="11">
        <v>43952</v>
      </c>
    </row>
    <row r="627" spans="1:6" x14ac:dyDescent="0.25">
      <c r="A627">
        <v>626</v>
      </c>
      <c r="B627" s="35" t="s">
        <v>2163</v>
      </c>
      <c r="D627">
        <v>1429</v>
      </c>
      <c r="E627">
        <v>869</v>
      </c>
      <c r="F627" s="11">
        <v>43952</v>
      </c>
    </row>
    <row r="628" spans="1:6" x14ac:dyDescent="0.25">
      <c r="A628">
        <v>627</v>
      </c>
      <c r="B628" s="35" t="s">
        <v>2164</v>
      </c>
      <c r="D628">
        <v>1790</v>
      </c>
      <c r="E628">
        <v>1089</v>
      </c>
      <c r="F628" s="11">
        <v>43952</v>
      </c>
    </row>
    <row r="629" spans="1:6" x14ac:dyDescent="0.25">
      <c r="A629">
        <v>628</v>
      </c>
      <c r="B629" s="35" t="s">
        <v>2166</v>
      </c>
      <c r="D629">
        <v>1429</v>
      </c>
      <c r="E629">
        <v>869</v>
      </c>
      <c r="F629" s="11">
        <v>43952</v>
      </c>
    </row>
    <row r="630" spans="1:6" x14ac:dyDescent="0.25">
      <c r="A630">
        <v>629</v>
      </c>
      <c r="B630" s="35" t="s">
        <v>2167</v>
      </c>
      <c r="D630">
        <v>1190</v>
      </c>
      <c r="E630">
        <v>734</v>
      </c>
      <c r="F630" s="11">
        <v>43952</v>
      </c>
    </row>
    <row r="631" spans="1:6" x14ac:dyDescent="0.25">
      <c r="A631">
        <v>630</v>
      </c>
      <c r="B631" s="35" t="s">
        <v>2174</v>
      </c>
      <c r="D631">
        <v>1129</v>
      </c>
      <c r="E631">
        <v>687</v>
      </c>
      <c r="F631" s="11">
        <v>43952</v>
      </c>
    </row>
    <row r="632" spans="1:6" x14ac:dyDescent="0.25">
      <c r="A632">
        <v>631</v>
      </c>
      <c r="B632" s="35" t="s">
        <v>2175</v>
      </c>
      <c r="D632">
        <v>1359</v>
      </c>
      <c r="E632">
        <v>827</v>
      </c>
      <c r="F632" s="11">
        <v>43952</v>
      </c>
    </row>
    <row r="633" spans="1:6" x14ac:dyDescent="0.25">
      <c r="A633">
        <v>632</v>
      </c>
      <c r="B633" s="35" t="s">
        <v>2176</v>
      </c>
      <c r="D633">
        <v>1059</v>
      </c>
      <c r="E633">
        <v>644</v>
      </c>
      <c r="F633" s="11">
        <v>43952</v>
      </c>
    </row>
    <row r="634" spans="1:6" x14ac:dyDescent="0.25">
      <c r="A634">
        <v>633</v>
      </c>
      <c r="B634" s="35" t="s">
        <v>2177</v>
      </c>
      <c r="D634">
        <v>1159</v>
      </c>
      <c r="E634">
        <v>705</v>
      </c>
      <c r="F634" s="11">
        <v>43952</v>
      </c>
    </row>
    <row r="635" spans="1:6" x14ac:dyDescent="0.25">
      <c r="A635">
        <v>634</v>
      </c>
      <c r="B635" s="35" t="s">
        <v>2178</v>
      </c>
      <c r="D635">
        <v>1059</v>
      </c>
      <c r="E635">
        <v>644</v>
      </c>
      <c r="F635" s="11">
        <v>43952</v>
      </c>
    </row>
    <row r="636" spans="1:6" x14ac:dyDescent="0.25">
      <c r="A636">
        <v>635</v>
      </c>
      <c r="B636" s="35" t="s">
        <v>219</v>
      </c>
      <c r="D636">
        <v>129</v>
      </c>
      <c r="E636">
        <v>80</v>
      </c>
      <c r="F636" s="11">
        <v>43952</v>
      </c>
    </row>
    <row r="637" spans="1:6" x14ac:dyDescent="0.25">
      <c r="A637">
        <v>636</v>
      </c>
      <c r="B637" s="35" t="s">
        <v>222</v>
      </c>
      <c r="D637">
        <v>129</v>
      </c>
      <c r="E637">
        <v>80</v>
      </c>
      <c r="F637" s="11">
        <v>43952</v>
      </c>
    </row>
    <row r="638" spans="1:6" x14ac:dyDescent="0.25">
      <c r="A638">
        <v>637</v>
      </c>
      <c r="B638" s="35" t="s">
        <v>225</v>
      </c>
      <c r="D638">
        <v>129</v>
      </c>
      <c r="E638">
        <v>80</v>
      </c>
      <c r="F638" s="11">
        <v>43952</v>
      </c>
    </row>
    <row r="639" spans="1:6" x14ac:dyDescent="0.25">
      <c r="A639">
        <v>638</v>
      </c>
      <c r="B639" s="35" t="s">
        <v>2753</v>
      </c>
      <c r="D639">
        <v>232</v>
      </c>
      <c r="E639">
        <v>143</v>
      </c>
      <c r="F639" s="11">
        <v>43952</v>
      </c>
    </row>
    <row r="640" spans="1:6" x14ac:dyDescent="0.25">
      <c r="A640">
        <v>639</v>
      </c>
      <c r="B640" s="35" t="s">
        <v>2754</v>
      </c>
      <c r="D640">
        <v>256</v>
      </c>
      <c r="E640">
        <v>158</v>
      </c>
      <c r="F640" s="11">
        <v>43952</v>
      </c>
    </row>
    <row r="641" spans="1:6" x14ac:dyDescent="0.25">
      <c r="A641">
        <v>640</v>
      </c>
      <c r="B641" s="35" t="s">
        <v>2793</v>
      </c>
      <c r="D641">
        <v>175</v>
      </c>
      <c r="E641">
        <v>108</v>
      </c>
      <c r="F641" s="11">
        <v>43952</v>
      </c>
    </row>
    <row r="642" spans="1:6" x14ac:dyDescent="0.25">
      <c r="A642">
        <v>641</v>
      </c>
      <c r="B642" s="35" t="s">
        <v>2794</v>
      </c>
      <c r="D642">
        <v>198</v>
      </c>
      <c r="E642">
        <v>122</v>
      </c>
      <c r="F642" s="11">
        <v>43952</v>
      </c>
    </row>
    <row r="643" spans="1:6" x14ac:dyDescent="0.25">
      <c r="A643">
        <v>642</v>
      </c>
      <c r="B643" s="35" t="s">
        <v>2803</v>
      </c>
      <c r="D643">
        <v>267</v>
      </c>
      <c r="E643">
        <v>165</v>
      </c>
      <c r="F643" s="11">
        <v>43952</v>
      </c>
    </row>
    <row r="644" spans="1:6" x14ac:dyDescent="0.25">
      <c r="A644">
        <v>643</v>
      </c>
      <c r="B644" s="35" t="s">
        <v>2804</v>
      </c>
      <c r="D644">
        <v>292</v>
      </c>
      <c r="E644">
        <v>180</v>
      </c>
      <c r="F644" s="11">
        <v>43952</v>
      </c>
    </row>
    <row r="645" spans="1:6" x14ac:dyDescent="0.25">
      <c r="A645">
        <v>644</v>
      </c>
      <c r="B645" s="35" t="s">
        <v>2657</v>
      </c>
      <c r="D645">
        <v>1825</v>
      </c>
      <c r="E645">
        <v>1293</v>
      </c>
      <c r="F645" s="11">
        <v>43952</v>
      </c>
    </row>
    <row r="646" spans="1:6" x14ac:dyDescent="0.25">
      <c r="A646">
        <v>645</v>
      </c>
      <c r="B646" s="35" t="s">
        <v>2716</v>
      </c>
      <c r="D646">
        <v>4490</v>
      </c>
      <c r="E646">
        <v>2694</v>
      </c>
      <c r="F646" s="11">
        <v>43952</v>
      </c>
    </row>
    <row r="647" spans="1:6" x14ac:dyDescent="0.25">
      <c r="A647">
        <v>646</v>
      </c>
      <c r="B647" s="35" t="s">
        <v>2717</v>
      </c>
      <c r="D647">
        <v>4390</v>
      </c>
      <c r="E647">
        <v>2634</v>
      </c>
      <c r="F647" s="11">
        <v>43952</v>
      </c>
    </row>
    <row r="648" spans="1:6" x14ac:dyDescent="0.25">
      <c r="A648">
        <v>647</v>
      </c>
      <c r="B648" s="35" t="s">
        <v>2718</v>
      </c>
      <c r="D648">
        <v>4690</v>
      </c>
      <c r="E648">
        <v>2814</v>
      </c>
      <c r="F648" s="11">
        <v>43952</v>
      </c>
    </row>
    <row r="649" spans="1:6" x14ac:dyDescent="0.25">
      <c r="A649">
        <v>648</v>
      </c>
      <c r="B649" s="35" t="s">
        <v>2719</v>
      </c>
      <c r="D649">
        <v>4690</v>
      </c>
      <c r="E649">
        <v>2814</v>
      </c>
      <c r="F649" s="11">
        <v>43952</v>
      </c>
    </row>
    <row r="650" spans="1:6" x14ac:dyDescent="0.25">
      <c r="A650">
        <v>649</v>
      </c>
      <c r="B650" s="35" t="s">
        <v>2720</v>
      </c>
      <c r="D650">
        <v>5890</v>
      </c>
      <c r="E650">
        <v>3534</v>
      </c>
      <c r="F650" s="11">
        <v>43952</v>
      </c>
    </row>
    <row r="651" spans="1:6" x14ac:dyDescent="0.25">
      <c r="A651">
        <v>650</v>
      </c>
      <c r="B651" s="35" t="s">
        <v>2722</v>
      </c>
      <c r="D651">
        <v>3890</v>
      </c>
      <c r="E651">
        <v>2269</v>
      </c>
      <c r="F651" s="11">
        <v>43952</v>
      </c>
    </row>
    <row r="652" spans="1:6" x14ac:dyDescent="0.25">
      <c r="A652">
        <v>651</v>
      </c>
      <c r="B652" s="35" t="s">
        <v>3003</v>
      </c>
      <c r="D652">
        <v>6790</v>
      </c>
      <c r="E652">
        <v>4244</v>
      </c>
      <c r="F652" s="11">
        <v>43952</v>
      </c>
    </row>
    <row r="653" spans="1:6" x14ac:dyDescent="0.25">
      <c r="A653">
        <v>652</v>
      </c>
      <c r="B653" s="35" t="s">
        <v>3004</v>
      </c>
      <c r="D653">
        <v>7790</v>
      </c>
      <c r="E653">
        <v>4869</v>
      </c>
      <c r="F653" s="11">
        <v>43952</v>
      </c>
    </row>
    <row r="654" spans="1:6" x14ac:dyDescent="0.25">
      <c r="A654">
        <v>653</v>
      </c>
      <c r="B654" s="35" t="s">
        <v>3005</v>
      </c>
      <c r="D654">
        <v>8490</v>
      </c>
      <c r="E654">
        <v>5306</v>
      </c>
      <c r="F654" s="11">
        <v>43952</v>
      </c>
    </row>
    <row r="655" spans="1:6" x14ac:dyDescent="0.25">
      <c r="A655">
        <v>654</v>
      </c>
      <c r="B655" s="35" t="s">
        <v>3007</v>
      </c>
      <c r="D655">
        <v>10890</v>
      </c>
      <c r="E655">
        <v>6806</v>
      </c>
      <c r="F655" s="11">
        <v>43952</v>
      </c>
    </row>
    <row r="656" spans="1:6" x14ac:dyDescent="0.25">
      <c r="A656">
        <v>655</v>
      </c>
      <c r="B656" s="35" t="s">
        <v>3008</v>
      </c>
      <c r="D656">
        <v>9990</v>
      </c>
      <c r="E656">
        <v>6244</v>
      </c>
      <c r="F656" s="11">
        <v>43952</v>
      </c>
    </row>
    <row r="657" spans="1:6" x14ac:dyDescent="0.25">
      <c r="A657">
        <v>656</v>
      </c>
      <c r="B657" s="35" t="s">
        <v>3024</v>
      </c>
      <c r="D657">
        <v>17490</v>
      </c>
      <c r="E657">
        <v>10931</v>
      </c>
      <c r="F657" s="11">
        <v>43952</v>
      </c>
    </row>
    <row r="658" spans="1:6" x14ac:dyDescent="0.25">
      <c r="A658">
        <v>657</v>
      </c>
      <c r="B658" s="35" t="s">
        <v>2920</v>
      </c>
      <c r="D658">
        <v>20790</v>
      </c>
      <c r="E658">
        <v>12128</v>
      </c>
      <c r="F658" s="11">
        <v>43952</v>
      </c>
    </row>
    <row r="659" spans="1:6" x14ac:dyDescent="0.25">
      <c r="A659">
        <v>658</v>
      </c>
      <c r="B659" s="35" t="s">
        <v>2650</v>
      </c>
      <c r="D659">
        <v>1969</v>
      </c>
      <c r="E659">
        <v>1181</v>
      </c>
      <c r="F659" s="11">
        <v>43952</v>
      </c>
    </row>
    <row r="660" spans="1:6" x14ac:dyDescent="0.25">
      <c r="A660">
        <v>659</v>
      </c>
      <c r="B660" s="35" t="s">
        <v>2651</v>
      </c>
      <c r="D660">
        <v>1969</v>
      </c>
      <c r="E660">
        <v>1116</v>
      </c>
      <c r="F660" s="11">
        <v>43952</v>
      </c>
    </row>
    <row r="661" spans="1:6" x14ac:dyDescent="0.25">
      <c r="A661">
        <v>660</v>
      </c>
      <c r="B661" s="35" t="s">
        <v>2652</v>
      </c>
      <c r="D661">
        <v>1309</v>
      </c>
      <c r="E661">
        <v>785</v>
      </c>
      <c r="F661" s="11">
        <v>43952</v>
      </c>
    </row>
    <row r="662" spans="1:6" x14ac:dyDescent="0.25">
      <c r="A662">
        <v>661</v>
      </c>
      <c r="B662" s="35" t="s">
        <v>3289</v>
      </c>
      <c r="D662">
        <v>3890</v>
      </c>
      <c r="E662">
        <v>2269</v>
      </c>
      <c r="F662" s="11">
        <v>43952</v>
      </c>
    </row>
    <row r="663" spans="1:6" x14ac:dyDescent="0.25">
      <c r="A663">
        <v>662</v>
      </c>
      <c r="B663" s="35" t="s">
        <v>3291</v>
      </c>
      <c r="D663">
        <v>4690</v>
      </c>
      <c r="E663">
        <v>2736</v>
      </c>
      <c r="F663" s="11">
        <v>43952</v>
      </c>
    </row>
    <row r="664" spans="1:6" x14ac:dyDescent="0.25">
      <c r="A664">
        <v>663</v>
      </c>
      <c r="B664" s="35" t="s">
        <v>3292</v>
      </c>
      <c r="D664">
        <v>9090</v>
      </c>
      <c r="E664">
        <v>5303</v>
      </c>
      <c r="F664" s="11">
        <v>43952</v>
      </c>
    </row>
    <row r="665" spans="1:6" x14ac:dyDescent="0.25">
      <c r="A665">
        <v>664</v>
      </c>
      <c r="B665" s="35" t="s">
        <v>3377</v>
      </c>
      <c r="D665">
        <v>979</v>
      </c>
      <c r="E665">
        <v>571</v>
      </c>
      <c r="F665" s="11">
        <v>43952</v>
      </c>
    </row>
    <row r="666" spans="1:6" x14ac:dyDescent="0.25">
      <c r="A666">
        <v>665</v>
      </c>
      <c r="B666" s="35" t="s">
        <v>3413</v>
      </c>
      <c r="D666">
        <v>759</v>
      </c>
      <c r="E666">
        <v>443</v>
      </c>
      <c r="F666" s="11">
        <v>43952</v>
      </c>
    </row>
    <row r="667" spans="1:6" x14ac:dyDescent="0.25">
      <c r="A667">
        <v>666</v>
      </c>
      <c r="B667" s="35" t="s">
        <v>3420</v>
      </c>
      <c r="D667">
        <v>1859</v>
      </c>
      <c r="E667">
        <v>1084</v>
      </c>
      <c r="F667" s="11">
        <v>43952</v>
      </c>
    </row>
    <row r="668" spans="1:6" x14ac:dyDescent="0.25">
      <c r="A668">
        <v>667</v>
      </c>
      <c r="B668" s="35" t="s">
        <v>3492</v>
      </c>
      <c r="D668">
        <v>10989</v>
      </c>
      <c r="E668">
        <v>6593</v>
      </c>
      <c r="F668" s="11">
        <v>43952</v>
      </c>
    </row>
    <row r="669" spans="1:6" x14ac:dyDescent="0.25">
      <c r="A669">
        <v>668</v>
      </c>
      <c r="B669" s="35" t="s">
        <v>3493</v>
      </c>
      <c r="D669">
        <v>12199</v>
      </c>
      <c r="E669">
        <v>7319</v>
      </c>
      <c r="F669" s="11">
        <v>43952</v>
      </c>
    </row>
    <row r="670" spans="1:6" x14ac:dyDescent="0.25">
      <c r="A670">
        <v>669</v>
      </c>
      <c r="B670" s="35" t="s">
        <v>3494</v>
      </c>
      <c r="D670">
        <v>14179</v>
      </c>
      <c r="E670">
        <v>8271</v>
      </c>
      <c r="F670" s="11">
        <v>43952</v>
      </c>
    </row>
    <row r="671" spans="1:6" x14ac:dyDescent="0.25">
      <c r="A671">
        <v>670</v>
      </c>
      <c r="B671" s="35" t="s">
        <v>3524</v>
      </c>
      <c r="D671">
        <v>209</v>
      </c>
      <c r="E671">
        <v>122</v>
      </c>
      <c r="F671" s="11">
        <v>43952</v>
      </c>
    </row>
    <row r="672" spans="1:6" x14ac:dyDescent="0.25">
      <c r="A672">
        <v>671</v>
      </c>
      <c r="B672" s="35" t="s">
        <v>3525</v>
      </c>
      <c r="D672">
        <v>209</v>
      </c>
      <c r="E672">
        <v>122</v>
      </c>
      <c r="F672" s="11">
        <v>43952</v>
      </c>
    </row>
    <row r="673" spans="1:6" x14ac:dyDescent="0.25">
      <c r="A673">
        <v>672</v>
      </c>
      <c r="B673" s="35" t="s">
        <v>3527</v>
      </c>
      <c r="D673">
        <v>649</v>
      </c>
      <c r="E673">
        <v>406</v>
      </c>
      <c r="F673" s="11">
        <v>43952</v>
      </c>
    </row>
    <row r="674" spans="1:6" x14ac:dyDescent="0.25">
      <c r="A674">
        <v>673</v>
      </c>
      <c r="B674" s="35" t="s">
        <v>3531</v>
      </c>
      <c r="D674">
        <v>1419</v>
      </c>
      <c r="E674">
        <v>828</v>
      </c>
      <c r="F674" s="11">
        <v>43952</v>
      </c>
    </row>
    <row r="675" spans="1:6" x14ac:dyDescent="0.25">
      <c r="A675">
        <v>674</v>
      </c>
      <c r="B675" s="35" t="s">
        <v>2254</v>
      </c>
      <c r="D675">
        <v>29990</v>
      </c>
      <c r="E675">
        <v>20493</v>
      </c>
      <c r="F675" s="11">
        <v>43952</v>
      </c>
    </row>
    <row r="676" spans="1:6" x14ac:dyDescent="0.25">
      <c r="A676">
        <v>675</v>
      </c>
      <c r="B676" s="35" t="s">
        <v>2255</v>
      </c>
      <c r="D676">
        <v>17090</v>
      </c>
      <c r="E676">
        <v>11678</v>
      </c>
      <c r="F676" s="11">
        <v>43952</v>
      </c>
    </row>
    <row r="677" spans="1:6" x14ac:dyDescent="0.25">
      <c r="A677">
        <v>676</v>
      </c>
      <c r="B677" s="35" t="s">
        <v>3166</v>
      </c>
      <c r="D677">
        <v>2739</v>
      </c>
      <c r="E677">
        <v>1506</v>
      </c>
      <c r="F677" s="11">
        <v>43952</v>
      </c>
    </row>
    <row r="678" spans="1:6" x14ac:dyDescent="0.25">
      <c r="A678">
        <v>677</v>
      </c>
      <c r="B678" s="35" t="s">
        <v>3182</v>
      </c>
      <c r="D678">
        <v>649</v>
      </c>
      <c r="E678">
        <v>355</v>
      </c>
      <c r="F678" s="11">
        <v>43952</v>
      </c>
    </row>
    <row r="679" spans="1:6" x14ac:dyDescent="0.25">
      <c r="A679">
        <v>678</v>
      </c>
      <c r="B679" s="35" t="s">
        <v>3183</v>
      </c>
      <c r="D679">
        <v>759</v>
      </c>
      <c r="E679">
        <v>416</v>
      </c>
      <c r="F679" s="11">
        <v>43952</v>
      </c>
    </row>
    <row r="680" spans="1:6" x14ac:dyDescent="0.25">
      <c r="A680">
        <v>679</v>
      </c>
      <c r="B680" s="35" t="s">
        <v>3184</v>
      </c>
      <c r="D680">
        <v>1529</v>
      </c>
      <c r="E680">
        <v>833</v>
      </c>
      <c r="F680" s="11">
        <v>43952</v>
      </c>
    </row>
    <row r="681" spans="1:6" x14ac:dyDescent="0.25">
      <c r="A681">
        <v>680</v>
      </c>
      <c r="B681" s="35" t="s">
        <v>3185</v>
      </c>
      <c r="D681">
        <v>1639</v>
      </c>
      <c r="E681">
        <v>893</v>
      </c>
      <c r="F681" s="11">
        <v>43952</v>
      </c>
    </row>
    <row r="682" spans="1:6" x14ac:dyDescent="0.25">
      <c r="A682">
        <v>681</v>
      </c>
      <c r="B682" s="35" t="s">
        <v>3187</v>
      </c>
      <c r="D682">
        <v>1859</v>
      </c>
      <c r="E682">
        <v>1018</v>
      </c>
      <c r="F682" s="11">
        <v>43952</v>
      </c>
    </row>
    <row r="683" spans="1:6" x14ac:dyDescent="0.25">
      <c r="A683">
        <v>682</v>
      </c>
      <c r="B683" s="35" t="s">
        <v>3188</v>
      </c>
      <c r="D683">
        <v>5379</v>
      </c>
      <c r="E683">
        <v>2944</v>
      </c>
      <c r="F683" s="11">
        <v>43952</v>
      </c>
    </row>
    <row r="684" spans="1:6" x14ac:dyDescent="0.25">
      <c r="A684">
        <v>683</v>
      </c>
      <c r="B684" s="35" t="s">
        <v>3189</v>
      </c>
      <c r="D684">
        <v>4829</v>
      </c>
      <c r="E684">
        <v>2643</v>
      </c>
      <c r="F684" s="11">
        <v>43952</v>
      </c>
    </row>
    <row r="685" spans="1:6" x14ac:dyDescent="0.25">
      <c r="A685">
        <v>684</v>
      </c>
      <c r="B685" s="35" t="s">
        <v>3193</v>
      </c>
      <c r="D685">
        <v>12749</v>
      </c>
      <c r="E685">
        <v>7974</v>
      </c>
      <c r="F685" s="11">
        <v>43952</v>
      </c>
    </row>
    <row r="686" spans="1:6" x14ac:dyDescent="0.25">
      <c r="A686">
        <v>685</v>
      </c>
      <c r="B686" s="35" t="s">
        <v>3194</v>
      </c>
      <c r="D686">
        <v>649</v>
      </c>
      <c r="E686">
        <v>355</v>
      </c>
      <c r="F686" s="11">
        <v>43952</v>
      </c>
    </row>
    <row r="687" spans="1:6" x14ac:dyDescent="0.25">
      <c r="A687">
        <v>686</v>
      </c>
      <c r="B687" s="35" t="s">
        <v>3195</v>
      </c>
      <c r="D687">
        <v>759</v>
      </c>
      <c r="E687">
        <v>416</v>
      </c>
      <c r="F687" s="11">
        <v>43952</v>
      </c>
    </row>
    <row r="688" spans="1:6" x14ac:dyDescent="0.25">
      <c r="A688">
        <v>687</v>
      </c>
      <c r="B688" s="35" t="s">
        <v>3196</v>
      </c>
      <c r="D688">
        <v>429</v>
      </c>
      <c r="E688">
        <v>234</v>
      </c>
      <c r="F688" s="11">
        <v>43952</v>
      </c>
    </row>
    <row r="689" spans="1:6" x14ac:dyDescent="0.25">
      <c r="A689">
        <v>688</v>
      </c>
      <c r="B689" s="35" t="s">
        <v>3198</v>
      </c>
      <c r="D689">
        <v>1419</v>
      </c>
      <c r="E689">
        <v>777</v>
      </c>
      <c r="F689" s="11">
        <v>43952</v>
      </c>
    </row>
    <row r="690" spans="1:6" x14ac:dyDescent="0.25">
      <c r="A690">
        <v>689</v>
      </c>
      <c r="B690" s="35" t="s">
        <v>3207</v>
      </c>
      <c r="D690">
        <v>4990</v>
      </c>
      <c r="E690">
        <v>3077</v>
      </c>
      <c r="F690" s="11">
        <v>43952</v>
      </c>
    </row>
    <row r="691" spans="1:6" x14ac:dyDescent="0.25">
      <c r="A691">
        <v>690</v>
      </c>
      <c r="B691" s="35" t="s">
        <v>3208</v>
      </c>
      <c r="D691">
        <v>7790</v>
      </c>
      <c r="E691">
        <v>4804</v>
      </c>
      <c r="F691" s="11">
        <v>43952</v>
      </c>
    </row>
    <row r="692" spans="1:6" x14ac:dyDescent="0.25">
      <c r="A692">
        <v>691</v>
      </c>
      <c r="B692" s="35" t="s">
        <v>3209</v>
      </c>
      <c r="D692">
        <v>10590</v>
      </c>
      <c r="E692">
        <v>6531</v>
      </c>
      <c r="F692" s="11">
        <v>43952</v>
      </c>
    </row>
    <row r="693" spans="1:6" x14ac:dyDescent="0.25">
      <c r="A693">
        <v>692</v>
      </c>
      <c r="B693" s="35" t="s">
        <v>3210</v>
      </c>
      <c r="D693">
        <v>14790</v>
      </c>
      <c r="E693">
        <v>9490</v>
      </c>
      <c r="F693" s="11">
        <v>43952</v>
      </c>
    </row>
    <row r="694" spans="1:6" x14ac:dyDescent="0.25">
      <c r="A694">
        <v>693</v>
      </c>
      <c r="B694" s="35" t="s">
        <v>3211</v>
      </c>
      <c r="D694">
        <v>20490</v>
      </c>
      <c r="E694">
        <v>13148</v>
      </c>
      <c r="F694" s="11">
        <v>43952</v>
      </c>
    </row>
    <row r="695" spans="1:6" x14ac:dyDescent="0.25">
      <c r="A695">
        <v>694</v>
      </c>
      <c r="B695" s="35" t="s">
        <v>3212</v>
      </c>
      <c r="D695">
        <v>24590</v>
      </c>
      <c r="E695">
        <v>15779</v>
      </c>
      <c r="F695" s="11">
        <v>43952</v>
      </c>
    </row>
    <row r="696" spans="1:6" x14ac:dyDescent="0.25">
      <c r="A696">
        <v>695</v>
      </c>
      <c r="B696" s="35" t="s">
        <v>2179</v>
      </c>
      <c r="D696">
        <v>1790</v>
      </c>
      <c r="E696">
        <v>1074</v>
      </c>
      <c r="F696" s="11">
        <v>43952</v>
      </c>
    </row>
    <row r="697" spans="1:6" x14ac:dyDescent="0.25">
      <c r="A697">
        <v>696</v>
      </c>
      <c r="B697" s="35" t="s">
        <v>1796</v>
      </c>
      <c r="D697">
        <v>12890</v>
      </c>
      <c r="E697">
        <v>8056</v>
      </c>
      <c r="F697" s="11">
        <v>43952</v>
      </c>
    </row>
    <row r="698" spans="1:6" x14ac:dyDescent="0.25">
      <c r="A698">
        <v>697</v>
      </c>
      <c r="B698" s="35" t="s">
        <v>2399</v>
      </c>
      <c r="D698">
        <v>13690</v>
      </c>
      <c r="E698">
        <v>9355</v>
      </c>
      <c r="F698" s="11">
        <v>43952</v>
      </c>
    </row>
    <row r="699" spans="1:6" x14ac:dyDescent="0.25">
      <c r="A699">
        <v>698</v>
      </c>
      <c r="B699" s="35" t="s">
        <v>2476</v>
      </c>
      <c r="D699">
        <v>6589</v>
      </c>
      <c r="E699">
        <v>3569</v>
      </c>
      <c r="F699" s="11">
        <v>43952</v>
      </c>
    </row>
    <row r="700" spans="1:6" x14ac:dyDescent="0.25">
      <c r="A700">
        <v>699</v>
      </c>
      <c r="B700" s="35" t="s">
        <v>2376</v>
      </c>
      <c r="D700">
        <v>21790</v>
      </c>
      <c r="E700">
        <v>14890</v>
      </c>
      <c r="F700" s="11">
        <v>43952</v>
      </c>
    </row>
    <row r="701" spans="1:6" x14ac:dyDescent="0.25">
      <c r="A701">
        <v>700</v>
      </c>
      <c r="B701" s="35" t="s">
        <v>2377</v>
      </c>
      <c r="D701">
        <v>13790</v>
      </c>
      <c r="E701">
        <v>9423</v>
      </c>
      <c r="F701" s="11">
        <v>43952</v>
      </c>
    </row>
    <row r="702" spans="1:6" x14ac:dyDescent="0.25">
      <c r="A702">
        <v>701</v>
      </c>
      <c r="B702" s="35" t="s">
        <v>3533</v>
      </c>
      <c r="D702">
        <v>5968</v>
      </c>
      <c r="E702">
        <v>3481</v>
      </c>
      <c r="F702" s="11">
        <v>43952</v>
      </c>
    </row>
    <row r="703" spans="1:6" x14ac:dyDescent="0.25">
      <c r="A703">
        <v>702</v>
      </c>
      <c r="B703" s="35" t="s">
        <v>3534</v>
      </c>
      <c r="D703">
        <v>2369</v>
      </c>
      <c r="E703">
        <v>1382</v>
      </c>
      <c r="F703" s="11">
        <v>43952</v>
      </c>
    </row>
    <row r="704" spans="1:6" x14ac:dyDescent="0.25">
      <c r="A704">
        <v>703</v>
      </c>
      <c r="B704" s="35" t="s">
        <v>3537</v>
      </c>
      <c r="D704">
        <v>209</v>
      </c>
      <c r="E704">
        <v>122</v>
      </c>
      <c r="F704" s="11">
        <v>43952</v>
      </c>
    </row>
    <row r="705" spans="1:6" x14ac:dyDescent="0.25">
      <c r="A705">
        <v>704</v>
      </c>
      <c r="B705" s="35" t="s">
        <v>3222</v>
      </c>
      <c r="D705">
        <v>3590</v>
      </c>
      <c r="E705">
        <v>2184</v>
      </c>
      <c r="F705" s="11">
        <v>43952</v>
      </c>
    </row>
    <row r="706" spans="1:6" x14ac:dyDescent="0.25">
      <c r="A706">
        <v>705</v>
      </c>
      <c r="B706" s="35" t="s">
        <v>3223</v>
      </c>
      <c r="D706">
        <v>4690</v>
      </c>
      <c r="E706">
        <v>2853</v>
      </c>
      <c r="F706" s="11">
        <v>43952</v>
      </c>
    </row>
    <row r="707" spans="1:6" x14ac:dyDescent="0.25">
      <c r="A707">
        <v>706</v>
      </c>
      <c r="B707" s="35" t="s">
        <v>3224</v>
      </c>
      <c r="D707">
        <v>3590</v>
      </c>
      <c r="E707">
        <v>2274</v>
      </c>
      <c r="F707" s="11">
        <v>43952</v>
      </c>
    </row>
    <row r="708" spans="1:6" x14ac:dyDescent="0.25">
      <c r="A708">
        <v>707</v>
      </c>
      <c r="B708" s="35" t="s">
        <v>3225</v>
      </c>
      <c r="D708">
        <v>4690</v>
      </c>
      <c r="E708">
        <v>2853</v>
      </c>
      <c r="F708" s="11">
        <v>43952</v>
      </c>
    </row>
    <row r="709" spans="1:6" x14ac:dyDescent="0.25">
      <c r="A709">
        <v>708</v>
      </c>
      <c r="B709" s="35" t="s">
        <v>3226</v>
      </c>
      <c r="D709">
        <v>5590</v>
      </c>
      <c r="E709">
        <v>3401</v>
      </c>
      <c r="F709" s="11">
        <v>43952</v>
      </c>
    </row>
    <row r="710" spans="1:6" x14ac:dyDescent="0.25">
      <c r="A710">
        <v>709</v>
      </c>
      <c r="B710" s="35" t="s">
        <v>3227</v>
      </c>
      <c r="D710">
        <v>9190</v>
      </c>
      <c r="E710">
        <v>5897</v>
      </c>
      <c r="F710" s="11">
        <v>43952</v>
      </c>
    </row>
    <row r="711" spans="1:6" x14ac:dyDescent="0.25">
      <c r="A711">
        <v>710</v>
      </c>
      <c r="B711" s="35" t="s">
        <v>3228</v>
      </c>
      <c r="D711">
        <v>7490</v>
      </c>
      <c r="E711">
        <v>4806</v>
      </c>
      <c r="F711" s="11">
        <v>43952</v>
      </c>
    </row>
    <row r="712" spans="1:6" x14ac:dyDescent="0.25">
      <c r="A712">
        <v>711</v>
      </c>
      <c r="B712" s="35" t="s">
        <v>3229</v>
      </c>
      <c r="D712">
        <v>8590</v>
      </c>
      <c r="E712">
        <v>5226</v>
      </c>
      <c r="F712" s="11">
        <v>43952</v>
      </c>
    </row>
    <row r="713" spans="1:6" x14ac:dyDescent="0.25">
      <c r="A713">
        <v>712</v>
      </c>
      <c r="B713" s="35" t="s">
        <v>3230</v>
      </c>
      <c r="D713">
        <v>11390</v>
      </c>
      <c r="E713">
        <v>6739</v>
      </c>
      <c r="F713" s="11">
        <v>43952</v>
      </c>
    </row>
    <row r="714" spans="1:6" x14ac:dyDescent="0.25">
      <c r="A714">
        <v>713</v>
      </c>
      <c r="B714" s="35" t="s">
        <v>3231</v>
      </c>
      <c r="D714">
        <v>7290</v>
      </c>
      <c r="E714">
        <v>4435</v>
      </c>
      <c r="F714" s="11">
        <v>43952</v>
      </c>
    </row>
    <row r="715" spans="1:6" x14ac:dyDescent="0.25">
      <c r="A715">
        <v>714</v>
      </c>
      <c r="B715" s="35" t="s">
        <v>2301</v>
      </c>
      <c r="D715">
        <v>4490</v>
      </c>
      <c r="E715">
        <v>3068</v>
      </c>
      <c r="F715" s="11">
        <v>43952</v>
      </c>
    </row>
    <row r="716" spans="1:6" x14ac:dyDescent="0.25">
      <c r="A716">
        <v>715</v>
      </c>
      <c r="B716" s="35" t="s">
        <v>2302</v>
      </c>
      <c r="D716">
        <v>6490</v>
      </c>
      <c r="E716">
        <v>4435</v>
      </c>
      <c r="F716" s="11">
        <v>43952</v>
      </c>
    </row>
    <row r="717" spans="1:6" x14ac:dyDescent="0.25">
      <c r="A717">
        <v>716</v>
      </c>
      <c r="B717" s="35" t="s">
        <v>2303</v>
      </c>
      <c r="D717">
        <v>7790</v>
      </c>
      <c r="E717">
        <v>5323</v>
      </c>
      <c r="F717" s="11">
        <v>43952</v>
      </c>
    </row>
    <row r="718" spans="1:6" x14ac:dyDescent="0.25">
      <c r="A718">
        <v>717</v>
      </c>
      <c r="B718" s="35" t="s">
        <v>2318</v>
      </c>
      <c r="D718">
        <v>10790</v>
      </c>
      <c r="E718">
        <v>7373</v>
      </c>
      <c r="F718" s="11">
        <v>43952</v>
      </c>
    </row>
    <row r="719" spans="1:6" x14ac:dyDescent="0.25">
      <c r="A719">
        <v>718</v>
      </c>
      <c r="B719" s="35" t="s">
        <v>2320</v>
      </c>
      <c r="D719">
        <v>5790</v>
      </c>
      <c r="E719">
        <v>3957</v>
      </c>
      <c r="F719" s="11">
        <v>43952</v>
      </c>
    </row>
    <row r="720" spans="1:6" x14ac:dyDescent="0.25">
      <c r="A720">
        <v>719</v>
      </c>
      <c r="B720" s="35" t="s">
        <v>2321</v>
      </c>
      <c r="D720">
        <v>13090</v>
      </c>
      <c r="E720">
        <v>8945</v>
      </c>
      <c r="F720" s="11">
        <v>43952</v>
      </c>
    </row>
    <row r="721" spans="1:6" x14ac:dyDescent="0.25">
      <c r="A721">
        <v>720</v>
      </c>
      <c r="B721" s="35" t="s">
        <v>2322</v>
      </c>
      <c r="D721">
        <v>7690</v>
      </c>
      <c r="E721">
        <v>5255</v>
      </c>
      <c r="F721" s="11">
        <v>43952</v>
      </c>
    </row>
    <row r="722" spans="1:6" x14ac:dyDescent="0.25">
      <c r="A722">
        <v>721</v>
      </c>
      <c r="B722" s="35" t="s">
        <v>1941</v>
      </c>
      <c r="D722">
        <v>2390</v>
      </c>
      <c r="E722">
        <v>1394</v>
      </c>
      <c r="F722" s="11">
        <v>43952</v>
      </c>
    </row>
    <row r="723" spans="1:6" x14ac:dyDescent="0.25">
      <c r="A723">
        <v>722</v>
      </c>
      <c r="B723" s="35" t="s">
        <v>1943</v>
      </c>
      <c r="D723">
        <v>3190</v>
      </c>
      <c r="E723">
        <v>1861</v>
      </c>
      <c r="F723" s="11">
        <v>43952</v>
      </c>
    </row>
    <row r="724" spans="1:6" x14ac:dyDescent="0.25">
      <c r="A724">
        <v>723</v>
      </c>
      <c r="B724" s="35" t="s">
        <v>1944</v>
      </c>
      <c r="D724">
        <v>2390</v>
      </c>
      <c r="E724">
        <v>1394</v>
      </c>
      <c r="F724" s="11">
        <v>43952</v>
      </c>
    </row>
    <row r="725" spans="1:6" x14ac:dyDescent="0.25">
      <c r="A725">
        <v>724</v>
      </c>
      <c r="B725" s="35" t="s">
        <v>1946</v>
      </c>
      <c r="D725">
        <v>3990</v>
      </c>
      <c r="E725">
        <v>2328</v>
      </c>
      <c r="F725" s="11">
        <v>43952</v>
      </c>
    </row>
    <row r="726" spans="1:6" x14ac:dyDescent="0.25">
      <c r="A726">
        <v>725</v>
      </c>
      <c r="B726" s="35" t="s">
        <v>1948</v>
      </c>
      <c r="D726">
        <v>4690</v>
      </c>
      <c r="E726">
        <v>2736</v>
      </c>
      <c r="F726" s="11">
        <v>43952</v>
      </c>
    </row>
    <row r="727" spans="1:6" x14ac:dyDescent="0.25">
      <c r="A727">
        <v>726</v>
      </c>
      <c r="B727" s="35" t="s">
        <v>3535</v>
      </c>
      <c r="D727">
        <v>9090</v>
      </c>
      <c r="E727">
        <v>5303</v>
      </c>
      <c r="F727" s="11">
        <v>43952</v>
      </c>
    </row>
    <row r="728" spans="1:6" x14ac:dyDescent="0.25">
      <c r="A728">
        <v>727</v>
      </c>
      <c r="B728" s="35" t="s">
        <v>3536</v>
      </c>
      <c r="D728">
        <v>9090</v>
      </c>
      <c r="E728">
        <v>5303</v>
      </c>
      <c r="F728" s="11">
        <v>43952</v>
      </c>
    </row>
    <row r="729" spans="1:6" x14ac:dyDescent="0.25">
      <c r="A729">
        <v>728</v>
      </c>
      <c r="B729" s="35" t="s">
        <v>2451</v>
      </c>
      <c r="D729">
        <v>69290</v>
      </c>
      <c r="E729">
        <v>43306</v>
      </c>
      <c r="F729" s="11">
        <v>43952</v>
      </c>
    </row>
    <row r="730" spans="1:6" x14ac:dyDescent="0.25">
      <c r="A730">
        <v>729</v>
      </c>
      <c r="B730" s="35" t="s">
        <v>2452</v>
      </c>
      <c r="D730">
        <v>78290</v>
      </c>
      <c r="E730">
        <v>48931</v>
      </c>
      <c r="F730" s="11">
        <v>43952</v>
      </c>
    </row>
    <row r="731" spans="1:6" x14ac:dyDescent="0.25">
      <c r="A731">
        <v>730</v>
      </c>
      <c r="B731" s="35" t="s">
        <v>2731</v>
      </c>
      <c r="D731">
        <v>3769</v>
      </c>
      <c r="E731">
        <v>2293</v>
      </c>
      <c r="F731" s="11">
        <v>43952</v>
      </c>
    </row>
    <row r="732" spans="1:6" x14ac:dyDescent="0.25">
      <c r="A732">
        <v>731</v>
      </c>
      <c r="B732" s="35" t="s">
        <v>2732</v>
      </c>
      <c r="D732">
        <v>4741</v>
      </c>
      <c r="E732">
        <v>3240</v>
      </c>
      <c r="F732" s="11">
        <v>43952</v>
      </c>
    </row>
    <row r="733" spans="1:6" x14ac:dyDescent="0.25">
      <c r="A733">
        <v>732</v>
      </c>
      <c r="B733" s="35" t="s">
        <v>2733</v>
      </c>
      <c r="D733">
        <v>2041</v>
      </c>
      <c r="E733">
        <v>1395</v>
      </c>
      <c r="F733" s="11">
        <v>43952</v>
      </c>
    </row>
    <row r="734" spans="1:6" x14ac:dyDescent="0.25">
      <c r="A734">
        <v>733</v>
      </c>
      <c r="B734" s="35" t="s">
        <v>2859</v>
      </c>
      <c r="D734">
        <v>1122</v>
      </c>
      <c r="E734">
        <v>683</v>
      </c>
      <c r="F734" s="11">
        <v>43952</v>
      </c>
    </row>
    <row r="735" spans="1:6" x14ac:dyDescent="0.25">
      <c r="A735">
        <v>734</v>
      </c>
      <c r="B735" s="35" t="s">
        <v>2963</v>
      </c>
      <c r="D735">
        <v>1690</v>
      </c>
      <c r="E735">
        <v>986</v>
      </c>
      <c r="F735" s="11">
        <v>43952</v>
      </c>
    </row>
    <row r="736" spans="1:6" x14ac:dyDescent="0.25">
      <c r="A736">
        <v>735</v>
      </c>
      <c r="B736" s="35" t="s">
        <v>2965</v>
      </c>
      <c r="D736">
        <v>1690</v>
      </c>
      <c r="E736">
        <v>986</v>
      </c>
      <c r="F736" s="11">
        <v>43952</v>
      </c>
    </row>
    <row r="737" spans="1:6" x14ac:dyDescent="0.25">
      <c r="A737">
        <v>736</v>
      </c>
      <c r="B737" s="35" t="s">
        <v>2966</v>
      </c>
      <c r="D737">
        <v>3590</v>
      </c>
      <c r="E737">
        <v>2094</v>
      </c>
      <c r="F737" s="11">
        <v>43952</v>
      </c>
    </row>
    <row r="738" spans="1:6" x14ac:dyDescent="0.25">
      <c r="A738">
        <v>737</v>
      </c>
      <c r="B738" s="35" t="s">
        <v>2967</v>
      </c>
      <c r="D738">
        <v>2590</v>
      </c>
      <c r="E738">
        <v>1511</v>
      </c>
      <c r="F738" s="11">
        <v>43952</v>
      </c>
    </row>
    <row r="739" spans="1:6" x14ac:dyDescent="0.25">
      <c r="A739">
        <v>738</v>
      </c>
      <c r="B739" s="35" t="s">
        <v>2968</v>
      </c>
      <c r="D739">
        <v>3490</v>
      </c>
      <c r="E739">
        <v>2036</v>
      </c>
      <c r="F739" s="11">
        <v>43952</v>
      </c>
    </row>
    <row r="740" spans="1:6" x14ac:dyDescent="0.25">
      <c r="A740">
        <v>739</v>
      </c>
      <c r="B740" s="35" t="s">
        <v>2969</v>
      </c>
      <c r="D740">
        <v>2990</v>
      </c>
      <c r="E740">
        <v>1744</v>
      </c>
      <c r="F740" s="11">
        <v>43952</v>
      </c>
    </row>
    <row r="741" spans="1:6" x14ac:dyDescent="0.25">
      <c r="A741">
        <v>740</v>
      </c>
      <c r="B741" s="35" t="s">
        <v>2970</v>
      </c>
      <c r="D741">
        <v>2990</v>
      </c>
      <c r="E741">
        <v>1744</v>
      </c>
      <c r="F741" s="11">
        <v>43952</v>
      </c>
    </row>
    <row r="742" spans="1:6" x14ac:dyDescent="0.25">
      <c r="A742">
        <v>741</v>
      </c>
      <c r="B742" s="35" t="s">
        <v>2971</v>
      </c>
      <c r="D742">
        <v>2990</v>
      </c>
      <c r="E742">
        <v>1744</v>
      </c>
      <c r="F742" s="11">
        <v>43952</v>
      </c>
    </row>
    <row r="743" spans="1:6" x14ac:dyDescent="0.25">
      <c r="A743">
        <v>742</v>
      </c>
      <c r="B743" s="35" t="s">
        <v>2972</v>
      </c>
      <c r="D743">
        <v>2990</v>
      </c>
      <c r="E743">
        <v>1744</v>
      </c>
      <c r="F743" s="11">
        <v>43952</v>
      </c>
    </row>
    <row r="744" spans="1:6" x14ac:dyDescent="0.25">
      <c r="A744">
        <v>743</v>
      </c>
      <c r="B744" s="35" t="s">
        <v>2973</v>
      </c>
      <c r="D744">
        <v>3490</v>
      </c>
      <c r="E744">
        <v>2036</v>
      </c>
      <c r="F744" s="11">
        <v>43952</v>
      </c>
    </row>
    <row r="745" spans="1:6" x14ac:dyDescent="0.25">
      <c r="A745">
        <v>744</v>
      </c>
      <c r="B745" s="35" t="s">
        <v>2974</v>
      </c>
      <c r="D745">
        <v>3490</v>
      </c>
      <c r="E745">
        <v>2036</v>
      </c>
      <c r="F745" s="11">
        <v>43952</v>
      </c>
    </row>
    <row r="746" spans="1:6" x14ac:dyDescent="0.25">
      <c r="A746">
        <v>745</v>
      </c>
      <c r="B746" s="35" t="s">
        <v>2975</v>
      </c>
      <c r="D746">
        <v>4790</v>
      </c>
      <c r="E746">
        <v>2794</v>
      </c>
      <c r="F746" s="11">
        <v>43952</v>
      </c>
    </row>
  </sheetData>
  <conditionalFormatting sqref="B2:B746">
    <cfRule type="expression" dxfId="424" priority="1">
      <formula>$AL2="Новинка следующего года"</formula>
    </cfRule>
    <cfRule type="expression" dxfId="423" priority="2">
      <formula>$AL2="Новинка текущего года"</formula>
    </cfRule>
    <cfRule type="expression" dxfId="42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selection activeCell="A2" sqref="A2:C58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110"/>
      <c r="C2" s="110"/>
    </row>
    <row r="3" spans="1:22" x14ac:dyDescent="0.25">
      <c r="C3" s="59"/>
      <c r="F3" s="59"/>
    </row>
    <row r="4" spans="1:22" x14ac:dyDescent="0.25">
      <c r="B4" s="111" t="s">
        <v>1185</v>
      </c>
      <c r="C4" s="111"/>
      <c r="D4" s="60"/>
      <c r="E4" s="60"/>
      <c r="F4" s="61"/>
      <c r="G4" s="62"/>
      <c r="I4" s="60"/>
    </row>
    <row r="5" spans="1:22" x14ac:dyDescent="0.25">
      <c r="B5" s="111" t="s">
        <v>1186</v>
      </c>
      <c r="C5" s="111"/>
      <c r="D5" s="63">
        <v>43831</v>
      </c>
      <c r="F5" s="59"/>
    </row>
    <row r="6" spans="1:22" x14ac:dyDescent="0.25">
      <c r="B6" s="111" t="s">
        <v>1187</v>
      </c>
      <c r="C6" s="111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112" t="s">
        <v>1191</v>
      </c>
      <c r="C12" s="112"/>
      <c r="D12" s="112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hidden="1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hidden="1" customWidth="1"/>
    <col min="23" max="23" width="9.140625" style="83" hidden="1" customWidth="1"/>
    <col min="24" max="24" width="45.42578125" style="83" hidden="1" customWidth="1"/>
    <col min="25" max="33" width="9.140625" style="83" hidden="1" customWidth="1"/>
    <col min="34" max="34" width="9.140625" style="85" hidden="1" customWidth="1"/>
    <col min="35" max="47" width="9.140625" style="83" hidden="1" customWidth="1"/>
    <col min="48" max="48" width="9.140625" style="84" hidden="1" customWidth="1"/>
    <col min="49" max="59" width="9.140625" style="83" hidden="1" customWidth="1"/>
    <col min="60" max="60" width="9.140625" style="85" hidden="1" customWidth="1"/>
    <col min="61" max="61" width="9.140625" style="84" hidden="1" customWidth="1"/>
    <col min="62" max="71" width="9.140625" style="83" hidden="1" customWidth="1"/>
    <col min="72" max="72" width="9.140625" style="85" hidden="1" customWidth="1"/>
    <col min="73" max="73" width="9.140625" style="83" hidden="1" customWidth="1"/>
    <col min="74" max="74" width="9.140625" style="84" hidden="1" customWidth="1"/>
    <col min="75" max="85" width="9.140625" style="83" hidden="1" customWidth="1"/>
    <col min="86" max="86" width="9.140625" style="85" hidden="1" customWidth="1"/>
    <col min="87" max="87" width="9.140625" style="84" hidden="1" customWidth="1"/>
    <col min="88" max="98" width="9.140625" style="83" hidden="1" customWidth="1"/>
    <col min="99" max="99" width="9.140625" style="85" hidden="1" customWidth="1"/>
    <col min="100" max="100" width="9.140625" style="84" hidden="1" customWidth="1"/>
    <col min="101" max="111" width="9.140625" style="83" hidden="1" customWidth="1"/>
    <col min="112" max="112" width="9.140625" style="85" hidden="1" customWidth="1"/>
    <col min="113" max="113" width="9.140625" style="84" hidden="1" customWidth="1"/>
    <col min="114" max="124" width="9.140625" style="83" hidden="1" customWidth="1"/>
    <col min="125" max="125" width="9.140625" style="85" hidden="1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E27" sqref="E27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4" t="s">
        <v>8085</v>
      </c>
    </row>
    <row r="3" spans="1:3" x14ac:dyDescent="0.25">
      <c r="A3" s="7">
        <v>2</v>
      </c>
      <c r="B3" s="8" t="s">
        <v>4564</v>
      </c>
      <c r="C3" s="114" t="s">
        <v>8086</v>
      </c>
    </row>
    <row r="4" spans="1:3" x14ac:dyDescent="0.25">
      <c r="A4" s="7">
        <v>3</v>
      </c>
      <c r="B4" s="8" t="s">
        <v>4565</v>
      </c>
      <c r="C4" s="114" t="s">
        <v>8087</v>
      </c>
    </row>
    <row r="5" spans="1:3" x14ac:dyDescent="0.25">
      <c r="A5" s="7">
        <v>4</v>
      </c>
      <c r="B5" s="8" t="s">
        <v>3544</v>
      </c>
      <c r="C5" s="114" t="s">
        <v>8088</v>
      </c>
    </row>
    <row r="6" spans="1:3" x14ac:dyDescent="0.25">
      <c r="A6" s="7">
        <v>5</v>
      </c>
      <c r="B6" s="8" t="s">
        <v>3713</v>
      </c>
      <c r="C6" s="114" t="s">
        <v>8089</v>
      </c>
    </row>
    <row r="7" spans="1:3" x14ac:dyDescent="0.25">
      <c r="A7" s="7">
        <v>6</v>
      </c>
      <c r="B7" s="8" t="s">
        <v>8090</v>
      </c>
      <c r="C7" s="114" t="s">
        <v>8091</v>
      </c>
    </row>
    <row r="8" spans="1:3" x14ac:dyDescent="0.25">
      <c r="A8" s="7">
        <v>7</v>
      </c>
      <c r="B8" s="8" t="s">
        <v>3549</v>
      </c>
      <c r="C8" s="114" t="s">
        <v>8092</v>
      </c>
    </row>
    <row r="9" spans="1:3" x14ac:dyDescent="0.25">
      <c r="A9" s="7">
        <v>8</v>
      </c>
      <c r="B9" s="8" t="s">
        <v>3539</v>
      </c>
      <c r="C9" s="114" t="s">
        <v>8085</v>
      </c>
    </row>
    <row r="10" spans="1:3" x14ac:dyDescent="0.25">
      <c r="A10" s="7">
        <v>9</v>
      </c>
      <c r="B10" s="8" t="s">
        <v>4564</v>
      </c>
      <c r="C10" s="114" t="s">
        <v>8086</v>
      </c>
    </row>
    <row r="11" spans="1:3" x14ac:dyDescent="0.25">
      <c r="A11" s="7">
        <v>10</v>
      </c>
      <c r="B11" s="8" t="s">
        <v>4565</v>
      </c>
      <c r="C11" s="114" t="s">
        <v>8087</v>
      </c>
    </row>
    <row r="12" spans="1:3" x14ac:dyDescent="0.25">
      <c r="A12" s="7">
        <v>11</v>
      </c>
      <c r="B12" s="8" t="s">
        <v>3544</v>
      </c>
      <c r="C12" s="114" t="s">
        <v>8088</v>
      </c>
    </row>
    <row r="13" spans="1:3" x14ac:dyDescent="0.25">
      <c r="A13" s="7">
        <v>12</v>
      </c>
      <c r="B13" s="8" t="s">
        <v>3713</v>
      </c>
      <c r="C13" s="114" t="s">
        <v>8089</v>
      </c>
    </row>
    <row r="14" spans="1:3" x14ac:dyDescent="0.25">
      <c r="A14" s="7">
        <v>13</v>
      </c>
      <c r="B14" s="8" t="s">
        <v>3652</v>
      </c>
      <c r="C14" s="114" t="s">
        <v>8093</v>
      </c>
    </row>
    <row r="15" spans="1:3" x14ac:dyDescent="0.25">
      <c r="A15" s="7">
        <v>14</v>
      </c>
      <c r="B15" s="8" t="s">
        <v>3549</v>
      </c>
      <c r="C15" s="114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7" customWidth="1"/>
    <col min="2" max="2" width="39.7109375" style="4" bestFit="1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233</v>
      </c>
    </row>
    <row r="4" spans="1:2" x14ac:dyDescent="0.25">
      <c r="A4" s="7">
        <v>3</v>
      </c>
      <c r="B4" s="4" t="s">
        <v>10</v>
      </c>
    </row>
    <row r="5" spans="1:2" x14ac:dyDescent="0.25">
      <c r="A5" s="7">
        <v>4</v>
      </c>
      <c r="B5" s="4" t="s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39" priority="1">
      <formula>$AL2="Новинка следующего года"</formula>
    </cfRule>
    <cfRule type="expression" dxfId="38" priority="2">
      <formula>$AL2="Новинка текущего года"</formula>
    </cfRule>
    <cfRule type="expression" dxfId="37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</vt:i4>
      </vt:variant>
    </vt:vector>
  </HeadingPairs>
  <TitlesOfParts>
    <vt:vector size="20" baseType="lpstr">
      <vt:lpstr>Товары</vt:lpstr>
      <vt:lpstr>Клиенты</vt:lpstr>
      <vt:lpstr>Product Structure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2020-07-20T10:48:49Z</dcterms:modified>
</cp:coreProperties>
</file>