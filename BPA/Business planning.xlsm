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/>
  <workbookPr codeName="ЭтаКнига"/>
  <mc:AlternateContent xmlns:mc="http://schemas.openxmlformats.org/markup-compatibility/2006">
    <mc:Choice Requires="x15">
      <x15ac:absPath xmlns:x15ac="http://schemas.microsoft.com/office/spreadsheetml/2010/11/ac" url="C:\Project\Husquarna\BPA\BPA\"/>
    </mc:Choice>
  </mc:AlternateContent>
  <xr:revisionPtr revIDLastSave="0" documentId="13_ncr:1_{DF5625E9-EF70-4069-94FB-1656B6382BAD}" xr6:coauthVersionLast="45" xr6:coauthVersionMax="45" xr10:uidLastSave="{00000000-0000-0000-0000-000000000000}"/>
  <bookViews>
    <workbookView xWindow="810" yWindow="-120" windowWidth="23310" windowHeight="13740" xr2:uid="{00000000-000D-0000-FFFF-FFFF00000000}"/>
  </bookViews>
  <sheets>
    <sheet name="Товары" sheetId="5" r:id="rId1"/>
    <sheet name="Клиенты" sheetId="12" r:id="rId2"/>
    <sheet name="Скидки" sheetId="14" r:id="rId3"/>
    <sheet name="РРЦ" sheetId="8" r:id="rId4"/>
    <sheet name="DIY" sheetId="9" r:id="rId5"/>
    <sheet name="Планирование" sheetId="15" r:id="rId6"/>
    <sheet name="Прайс лист" sheetId="19" r:id="rId7"/>
    <sheet name="Планирование нового года шаблон" sheetId="22" state="hidden" r:id="rId8"/>
    <sheet name="Exclusives" sheetId="20" r:id="rId9"/>
    <sheet name="Channel type" sheetId="16" r:id="rId10"/>
    <sheet name="Customer status" sheetId="17" r:id="rId11"/>
    <sheet name="Продуктовые календари" sheetId="6" r:id="rId12"/>
    <sheet name="Суперкатегории" sheetId="1" r:id="rId13"/>
    <sheet name="Продукт группы" sheetId="3" r:id="rId14"/>
    <sheet name="Статусы товаров" sheetId="4" r:id="rId15"/>
    <sheet name="STK" sheetId="7" r:id="rId16"/>
    <sheet name="Бюджетные курсы" sheetId="10" r:id="rId17"/>
    <sheet name="Эксклюзивность" sheetId="11" r:id="rId18"/>
    <sheet name="GardenChannel" sheetId="13" r:id="rId19"/>
  </sheets>
  <externalReferences>
    <externalReference r:id="rId20"/>
  </externalReferences>
  <definedNames>
    <definedName name="_xlnm._FilterDatabase" localSheetId="6" hidden="1">'Прайс лист'!$B$13:$W$13</definedName>
    <definedName name="Battery_Cat">[1]Arrays!$D$3:$D$8</definedName>
    <definedName name="Consumer_Brands_Net_Sales">'[1]Calcs HQV Group Data'!$O:$O</definedName>
    <definedName name="Corded_Cat">[1]Arrays!$D$10:$D$14</definedName>
    <definedName name="Country_sub_region_GDW">'[1]Calcs HQV Group Data'!$K:$K</definedName>
    <definedName name="Gardena_Net_Sales">'[1]Calcs HQV Group Data'!$N:$N</definedName>
    <definedName name="Group_Sales_Local_Currency">'[1]Calcs HQV Group Data'!$P:$P</definedName>
    <definedName name="HandTools_Cat">[1]Arrays!$D$16:$D$19</definedName>
    <definedName name="Husqvarna_Net_Sales">'[1]Calcs HQV Group Data'!$M:$M</definedName>
    <definedName name="Input_Battery_less_36">'[1]Input Market Data'!$Y:$Y</definedName>
    <definedName name="Input_battery_more_36">'[1]Input Market Data'!$Z:$Z</definedName>
    <definedName name="Input_Channel_Split_Dealer">'[1]Input Market Data'!$O:$O</definedName>
    <definedName name="Input_Channel_Split_Online">'[1]Input Market Data'!$Q:$Q</definedName>
    <definedName name="Input_Channel_Split_Retailer">'[1]Input Market Data'!$P:$P</definedName>
    <definedName name="Input_Market_1">'[1]Input Market Data'!$AB:$AB</definedName>
    <definedName name="Input_Market_1_name">'[1]Input Market Data'!$AC:$AC</definedName>
    <definedName name="Input_Market_2">'[1]Input Market Data'!$AD:$AD</definedName>
    <definedName name="Input_Market_2_name">'[1]Input Market Data'!$AE:$AE</definedName>
    <definedName name="Input_Market_3">'[1]Input Market Data'!$AF:$AF</definedName>
    <definedName name="Input_Market_3_name">'[1]Input Market Data'!$AG:$AG</definedName>
    <definedName name="Input_Market_4">'[1]Input Market Data'!$AH:$AH</definedName>
    <definedName name="Input_Market_4_name">'[1]Input Market Data'!$AI:$AI</definedName>
    <definedName name="Input_Market_5">'[1]Input Market Data'!$AJ:$AJ</definedName>
    <definedName name="Input_Market_5_name">'[1]Input Market Data'!$AK:$AK</definedName>
    <definedName name="Input_Market_Expected_CAGR">'[1]Input Market Data'!$H:$H</definedName>
    <definedName name="Input_Market_Private">'[1]Input Market Data'!$AL:$AL</definedName>
    <definedName name="Input_Market_Value_LC">'[1]Input Market Data'!$G:$G</definedName>
    <definedName name="Input_Market_Volume">'[1]Input Market Data'!$J:$J</definedName>
    <definedName name="Input_Use_Mass">'[1]Input Market Data'!$T:$T</definedName>
    <definedName name="Input_Use_Professional">'[1]Input Market Data'!$S:$S</definedName>
    <definedName name="Input_User_Consumer">'[1]Input Market Data'!$W:$W</definedName>
    <definedName name="Input_User_Professional">'[1]Input Market Data'!$V:$V</definedName>
    <definedName name="Input_Weather">'[1]Input Market Data'!$M:$M</definedName>
    <definedName name="Market_Value_LC">'[1]Calcs HQV Group Data'!$X:$X</definedName>
    <definedName name="New_Categories">'[1]Calcs HQV Group Data'!$F:$F</definedName>
    <definedName name="Parts_Accessories_Cat">[1]Arrays!$D$21:$D$30</definedName>
    <definedName name="PetrolHH_Cat">[1]Arrays!$D$32:$D$35</definedName>
    <definedName name="Robotic">[1]Arrays!$D$37:$D$38</definedName>
    <definedName name="SubCategory_3">'[1]Calcs HQV Group Data'!$G:$G</definedName>
    <definedName name="Volume_Group">'[1]Calcs HQV Group Data'!$AH:$AH</definedName>
    <definedName name="Volume_Market">'[1]Calcs HQV Group Data'!$AJ:$AJ</definedName>
    <definedName name="Watering_Cat">[1]Arrays!$D$40:$D$42</definedName>
    <definedName name="Wheeled_Cat">[1]Arrays!$D$44:$D$49</definedName>
    <definedName name="Year">'[1]Calcs HQV Group Data'!$B:$B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J24" i="22" l="1"/>
  <c r="GJ23" i="22"/>
  <c r="GJ22" i="22"/>
  <c r="GJ21" i="22"/>
  <c r="GJ20" i="22"/>
  <c r="GJ19" i="22"/>
  <c r="GJ18" i="22"/>
  <c r="GJ17" i="22"/>
  <c r="GJ16" i="22"/>
  <c r="GJ15" i="22"/>
  <c r="GJ14" i="22"/>
  <c r="GJ13" i="22"/>
  <c r="GJ12" i="22"/>
  <c r="GJ7" i="22"/>
  <c r="AW4" i="5" l="1"/>
  <c r="AW5" i="5"/>
  <c r="AW6" i="5"/>
  <c r="AW7" i="5"/>
  <c r="AW8" i="5"/>
  <c r="AW9" i="5"/>
  <c r="AW10" i="5"/>
  <c r="AW3" i="5"/>
  <c r="F2" i="12" l="1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112" i="12"/>
  <c r="F113" i="12"/>
  <c r="F114" i="12"/>
  <c r="F115" i="12"/>
  <c r="F116" i="12"/>
  <c r="F117" i="12"/>
  <c r="F118" i="12"/>
  <c r="F119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38" i="12"/>
  <c r="F139" i="12"/>
  <c r="F140" i="12"/>
  <c r="F141" i="12"/>
  <c r="F142" i="12"/>
  <c r="F143" i="12"/>
  <c r="F144" i="12"/>
  <c r="F145" i="12"/>
  <c r="F146" i="12"/>
  <c r="F147" i="12"/>
  <c r="F148" i="12"/>
  <c r="F149" i="12"/>
  <c r="F150" i="12"/>
  <c r="F151" i="12"/>
  <c r="F152" i="12"/>
  <c r="F153" i="12"/>
  <c r="F154" i="12"/>
  <c r="F155" i="12"/>
  <c r="F156" i="12"/>
  <c r="F157" i="12"/>
  <c r="F158" i="12"/>
  <c r="F159" i="12"/>
  <c r="F160" i="12"/>
  <c r="F161" i="12"/>
  <c r="F162" i="12"/>
  <c r="F163" i="12"/>
  <c r="F164" i="12"/>
  <c r="F165" i="12"/>
  <c r="F166" i="12"/>
  <c r="F167" i="12"/>
  <c r="F168" i="12"/>
  <c r="F169" i="12"/>
  <c r="F170" i="12"/>
  <c r="F171" i="12"/>
  <c r="F172" i="12"/>
  <c r="F173" i="12"/>
  <c r="F174" i="12"/>
  <c r="F175" i="12"/>
  <c r="F176" i="12"/>
  <c r="F177" i="12"/>
  <c r="F178" i="12"/>
  <c r="F179" i="12"/>
  <c r="F180" i="12"/>
  <c r="F181" i="12"/>
  <c r="F182" i="12"/>
  <c r="F183" i="12"/>
  <c r="F184" i="12"/>
  <c r="F185" i="12"/>
  <c r="F186" i="12"/>
  <c r="F187" i="12"/>
  <c r="F188" i="12"/>
  <c r="F189" i="12"/>
  <c r="F190" i="12"/>
  <c r="F191" i="12"/>
  <c r="F192" i="12"/>
  <c r="F193" i="12"/>
  <c r="F194" i="12"/>
  <c r="F195" i="12"/>
  <c r="F196" i="12"/>
  <c r="F197" i="12"/>
  <c r="F198" i="12"/>
  <c r="F199" i="12"/>
  <c r="F200" i="12"/>
  <c r="F201" i="12"/>
  <c r="F202" i="12"/>
  <c r="F203" i="12"/>
  <c r="F204" i="12"/>
  <c r="F205" i="12"/>
  <c r="F206" i="12"/>
  <c r="F207" i="12"/>
  <c r="F208" i="12"/>
  <c r="F209" i="12"/>
  <c r="F210" i="12"/>
  <c r="F211" i="12"/>
  <c r="F212" i="12"/>
  <c r="F213" i="12"/>
  <c r="F214" i="12"/>
  <c r="F215" i="12"/>
  <c r="F216" i="12"/>
  <c r="F217" i="12"/>
  <c r="F218" i="12"/>
  <c r="F219" i="12"/>
  <c r="F220" i="12"/>
  <c r="F221" i="12"/>
  <c r="F222" i="12"/>
  <c r="F223" i="12"/>
  <c r="F224" i="12"/>
  <c r="F225" i="12"/>
  <c r="F226" i="12"/>
  <c r="F227" i="12"/>
  <c r="F228" i="12"/>
  <c r="F229" i="12"/>
  <c r="F230" i="12"/>
  <c r="F231" i="12"/>
  <c r="F232" i="12"/>
  <c r="F233" i="12"/>
  <c r="F234" i="12"/>
  <c r="F235" i="12"/>
  <c r="F236" i="12"/>
  <c r="F237" i="12"/>
  <c r="F238" i="12"/>
  <c r="F239" i="12"/>
  <c r="F240" i="12"/>
  <c r="F241" i="12"/>
  <c r="F242" i="12"/>
  <c r="F243" i="12"/>
  <c r="F244" i="12"/>
  <c r="F245" i="12"/>
  <c r="F246" i="12"/>
  <c r="F247" i="12"/>
  <c r="F248" i="12"/>
  <c r="F249" i="12"/>
  <c r="F250" i="12"/>
  <c r="F251" i="12"/>
  <c r="F252" i="12"/>
  <c r="F253" i="12"/>
  <c r="F254" i="12"/>
  <c r="F255" i="12"/>
  <c r="F256" i="12"/>
  <c r="F257" i="12"/>
  <c r="F258" i="12"/>
  <c r="F259" i="12"/>
  <c r="F260" i="12"/>
  <c r="F261" i="12"/>
  <c r="F262" i="12"/>
  <c r="F263" i="12"/>
  <c r="F264" i="12"/>
  <c r="F265" i="12"/>
  <c r="F266" i="12"/>
  <c r="F267" i="12"/>
  <c r="F268" i="12"/>
  <c r="F269" i="12"/>
  <c r="F270" i="12"/>
  <c r="F271" i="12"/>
  <c r="F272" i="12"/>
  <c r="F273" i="12"/>
  <c r="F274" i="12"/>
  <c r="F275" i="12"/>
  <c r="F276" i="12"/>
  <c r="F277" i="12"/>
  <c r="F278" i="12"/>
  <c r="F279" i="12"/>
  <c r="F280" i="12"/>
  <c r="F281" i="12"/>
  <c r="F282" i="12"/>
  <c r="F283" i="12"/>
  <c r="F284" i="12"/>
  <c r="F285" i="12"/>
  <c r="F286" i="12"/>
  <c r="F287" i="12"/>
  <c r="F288" i="12"/>
  <c r="F289" i="12"/>
  <c r="F290" i="12"/>
  <c r="F291" i="12"/>
  <c r="F292" i="12"/>
  <c r="F293" i="12"/>
  <c r="F294" i="12"/>
  <c r="F295" i="12"/>
  <c r="F296" i="12"/>
  <c r="F297" i="12"/>
  <c r="F298" i="12"/>
  <c r="F299" i="12"/>
  <c r="F300" i="12"/>
  <c r="F301" i="12"/>
  <c r="F302" i="12"/>
  <c r="F303" i="12"/>
  <c r="F304" i="12"/>
  <c r="F305" i="12"/>
  <c r="F306" i="12"/>
  <c r="F307" i="12"/>
  <c r="F308" i="12"/>
  <c r="F309" i="12"/>
  <c r="F310" i="12"/>
  <c r="F311" i="12"/>
  <c r="F312" i="12"/>
  <c r="F313" i="12"/>
  <c r="F314" i="12"/>
  <c r="F315" i="12"/>
  <c r="F316" i="12"/>
  <c r="F317" i="12"/>
  <c r="F318" i="12"/>
  <c r="F319" i="12"/>
  <c r="F320" i="12"/>
  <c r="F321" i="12"/>
  <c r="F322" i="12"/>
  <c r="F323" i="12"/>
  <c r="F324" i="12"/>
  <c r="F325" i="12"/>
  <c r="F326" i="12"/>
  <c r="F327" i="12"/>
  <c r="F328" i="12"/>
  <c r="F329" i="12"/>
  <c r="F330" i="12"/>
  <c r="F331" i="12"/>
  <c r="F332" i="12"/>
  <c r="F333" i="12"/>
  <c r="F334" i="12"/>
  <c r="F335" i="12"/>
  <c r="F336" i="12"/>
  <c r="F337" i="12"/>
  <c r="F338" i="12"/>
  <c r="F339" i="12"/>
  <c r="F340" i="12"/>
  <c r="F341" i="12"/>
  <c r="F342" i="12"/>
  <c r="F343" i="12"/>
  <c r="F344" i="12"/>
  <c r="F345" i="12"/>
  <c r="F346" i="12"/>
  <c r="F347" i="12"/>
  <c r="F348" i="12"/>
  <c r="F349" i="12"/>
  <c r="F350" i="12"/>
  <c r="F351" i="12"/>
  <c r="F352" i="12"/>
  <c r="F353" i="12"/>
  <c r="F354" i="12"/>
  <c r="F355" i="12"/>
  <c r="F356" i="12"/>
  <c r="F357" i="12"/>
  <c r="F358" i="12"/>
  <c r="F359" i="12"/>
  <c r="F360" i="12"/>
  <c r="F361" i="12"/>
  <c r="F362" i="12"/>
  <c r="F363" i="12"/>
  <c r="F364" i="12"/>
  <c r="F365" i="12"/>
  <c r="F366" i="12"/>
  <c r="F367" i="12"/>
  <c r="F368" i="12"/>
  <c r="F369" i="12"/>
  <c r="F370" i="12"/>
  <c r="F371" i="12"/>
  <c r="F372" i="12"/>
  <c r="F373" i="12"/>
  <c r="F374" i="12"/>
  <c r="F375" i="12"/>
  <c r="F376" i="12"/>
  <c r="F377" i="12"/>
  <c r="F378" i="12"/>
  <c r="F379" i="12"/>
  <c r="F380" i="12"/>
  <c r="F381" i="12"/>
  <c r="F382" i="12"/>
  <c r="F383" i="12"/>
  <c r="F384" i="12"/>
  <c r="F385" i="12"/>
  <c r="F386" i="12"/>
  <c r="F387" i="12"/>
  <c r="F388" i="12"/>
  <c r="F389" i="12"/>
  <c r="F390" i="12"/>
  <c r="F391" i="12"/>
  <c r="F392" i="12"/>
  <c r="F393" i="12"/>
  <c r="F394" i="12"/>
  <c r="F395" i="12"/>
  <c r="F396" i="12"/>
  <c r="F397" i="12"/>
  <c r="F398" i="12"/>
  <c r="F399" i="12"/>
  <c r="F400" i="12"/>
  <c r="F401" i="12"/>
  <c r="F402" i="12"/>
  <c r="F403" i="12"/>
  <c r="F404" i="12"/>
  <c r="F405" i="12"/>
  <c r="F406" i="12"/>
  <c r="F407" i="12"/>
  <c r="F408" i="12"/>
  <c r="F409" i="12"/>
  <c r="F410" i="12"/>
  <c r="F411" i="12"/>
  <c r="F412" i="12"/>
  <c r="F413" i="12"/>
  <c r="F414" i="12"/>
  <c r="F415" i="12"/>
  <c r="F416" i="12"/>
  <c r="F417" i="12"/>
  <c r="F418" i="12"/>
  <c r="F419" i="12"/>
  <c r="F420" i="12"/>
  <c r="F421" i="12"/>
  <c r="F422" i="12"/>
  <c r="F423" i="12"/>
  <c r="F424" i="12"/>
  <c r="F425" i="12"/>
  <c r="F426" i="12"/>
  <c r="F427" i="12"/>
  <c r="F428" i="12"/>
  <c r="F429" i="12"/>
  <c r="F430" i="12"/>
  <c r="F431" i="12"/>
  <c r="F432" i="12"/>
  <c r="F433" i="12"/>
  <c r="F434" i="12"/>
  <c r="F435" i="12"/>
  <c r="F436" i="12"/>
  <c r="F437" i="12"/>
  <c r="F438" i="12"/>
  <c r="F439" i="12"/>
  <c r="F440" i="12"/>
  <c r="AX3" i="5" l="1"/>
  <c r="AX4" i="5"/>
  <c r="AX5" i="5"/>
  <c r="AX6" i="5"/>
  <c r="AX7" i="5"/>
  <c r="AX8" i="5"/>
  <c r="AX9" i="5"/>
  <c r="AX10" i="5"/>
  <c r="AT1" i="5"/>
  <c r="AS9" i="5" l="1"/>
  <c r="AU10" i="5"/>
  <c r="AV10" i="5" s="1"/>
  <c r="AU3" i="5"/>
  <c r="AV3" i="5" s="1"/>
  <c r="AU4" i="5"/>
  <c r="AV4" i="5" s="1"/>
  <c r="AU5" i="5"/>
  <c r="AV5" i="5" s="1"/>
  <c r="AU6" i="5"/>
  <c r="AV6" i="5" s="1"/>
  <c r="AU7" i="5"/>
  <c r="AV7" i="5" s="1"/>
  <c r="AU8" i="5"/>
  <c r="AV8" i="5" s="1"/>
  <c r="AU9" i="5"/>
  <c r="AV9" i="5" s="1"/>
  <c r="AS5" i="5"/>
  <c r="AS6" i="5"/>
  <c r="AS8" i="5"/>
  <c r="AS3" i="5"/>
  <c r="AS4" i="5"/>
  <c r="AS7" i="5"/>
  <c r="AS10" i="5"/>
  <c r="D5" i="5"/>
  <c r="D6" i="5"/>
  <c r="D7" i="5"/>
  <c r="D8" i="5"/>
  <c r="D9" i="5"/>
  <c r="D10" i="5"/>
  <c r="F5" i="5"/>
  <c r="F6" i="5"/>
  <c r="F7" i="5"/>
  <c r="F8" i="5"/>
  <c r="F9" i="5"/>
  <c r="F10" i="5"/>
  <c r="G5" i="5"/>
  <c r="G6" i="5"/>
  <c r="G7" i="5"/>
  <c r="G8" i="5"/>
  <c r="G9" i="5"/>
  <c r="G10" i="5"/>
  <c r="D4" i="5" l="1"/>
  <c r="F4" i="5"/>
  <c r="G4" i="5"/>
  <c r="G3" i="5" l="1"/>
  <c r="F3" i="5"/>
  <c r="D3" i="5" l="1"/>
</calcChain>
</file>

<file path=xl/sharedStrings.xml><?xml version="1.0" encoding="utf-8"?>
<sst xmlns="http://schemas.openxmlformats.org/spreadsheetml/2006/main" count="3475" uniqueCount="1468">
  <si>
    <t>№</t>
  </si>
  <si>
    <t>Суперкатегория (ENG)</t>
  </si>
  <si>
    <t>Суперкатегория (RUS)</t>
  </si>
  <si>
    <t>Watering</t>
  </si>
  <si>
    <t>Продукт группа</t>
  </si>
  <si>
    <t>Название продукт группы (ENG)</t>
  </si>
  <si>
    <t>Название продукт группы (RUS)</t>
  </si>
  <si>
    <t>WMO_C</t>
  </si>
  <si>
    <t>Watering Mobile OGS</t>
  </si>
  <si>
    <t>Статус</t>
  </si>
  <si>
    <t>Активный</t>
  </si>
  <si>
    <t>Новинка текущего года</t>
  </si>
  <si>
    <t>Новинка следующего года</t>
  </si>
  <si>
    <t>Категория для прайс-листа диллеров</t>
  </si>
  <si>
    <t>SubGroup</t>
  </si>
  <si>
    <t>Generic Name (long)</t>
  </si>
  <si>
    <t>Model</t>
  </si>
  <si>
    <t>PNS</t>
  </si>
  <si>
    <t>Артикул</t>
  </si>
  <si>
    <t>Артикул предшественника (если есть)</t>
  </si>
  <si>
    <t>Название артикула (ENG)</t>
  </si>
  <si>
    <t>Название артикула (RUS)</t>
  </si>
  <si>
    <t>Используемый календарь</t>
  </si>
  <si>
    <t>Эксклюзив клиента или канала продажи</t>
  </si>
  <si>
    <t>Локальный сертификат</t>
  </si>
  <si>
    <t>Название</t>
  </si>
  <si>
    <t>Путь к файлу</t>
  </si>
  <si>
    <t>2010</t>
  </si>
  <si>
    <t>С:/2010.xls</t>
  </si>
  <si>
    <t>STK 2.5, Eur</t>
  </si>
  <si>
    <t>STK 2.5, руб.</t>
  </si>
  <si>
    <t>Дата принятия</t>
  </si>
  <si>
    <t>IRP, Eur</t>
  </si>
  <si>
    <t>РРЦ, руб. с НДС</t>
  </si>
  <si>
    <t>DIY price list, руб. без НДС</t>
  </si>
  <si>
    <t>Процент от РРЦ, без НДС</t>
  </si>
  <si>
    <t>Эксклюзивность</t>
  </si>
  <si>
    <t>ЛЕРУА МЕРЛЕН</t>
  </si>
  <si>
    <t>ОБИ</t>
  </si>
  <si>
    <t>DIY канал</t>
  </si>
  <si>
    <t>All channels</t>
  </si>
  <si>
    <t>GardenaChannel</t>
  </si>
  <si>
    <t>Customer</t>
  </si>
  <si>
    <t>Channel type</t>
  </si>
  <si>
    <t>Customer status</t>
  </si>
  <si>
    <t>Sales manager</t>
  </si>
  <si>
    <t>Маг</t>
  </si>
  <si>
    <t>CustomerBudget</t>
  </si>
  <si>
    <t>Код</t>
  </si>
  <si>
    <t>GardenChannel</t>
  </si>
  <si>
    <t>ДСЮ</t>
  </si>
  <si>
    <t>Из справочника клиентов</t>
  </si>
  <si>
    <t>Период</t>
  </si>
  <si>
    <t>Оборудование для полива</t>
  </si>
  <si>
    <t>Электрика (Готовая продукция)</t>
  </si>
  <si>
    <t>=[Pricelist MT]</t>
  </si>
  <si>
    <t>Газонокосилки-роботы</t>
  </si>
  <si>
    <t>=[DIY Price list]</t>
  </si>
  <si>
    <t>Насосное оборудование</t>
  </si>
  <si>
    <t>=[DIY Price list]*(1-20%)</t>
  </si>
  <si>
    <t>Ручные и режущие инструменты</t>
  </si>
  <si>
    <t>Зимние инструменты ClassicLine</t>
  </si>
  <si>
    <t>Максимальный годовой бонус</t>
  </si>
  <si>
    <t>ID</t>
  </si>
  <si>
    <t>Идентификатор записи</t>
  </si>
  <si>
    <t>Дата прогноза</t>
  </si>
  <si>
    <t>Данные справочника товаров</t>
  </si>
  <si>
    <t>РРЦ, руб.с НДС</t>
  </si>
  <si>
    <t>Индекс IRP</t>
  </si>
  <si>
    <t>2 net цена, руб.</t>
  </si>
  <si>
    <t>3 net цена, руб.</t>
  </si>
  <si>
    <t>Transfer цена, руб.</t>
  </si>
  <si>
    <t>12 столбцов</t>
  </si>
  <si>
    <t>Price-list январь</t>
  </si>
  <si>
    <t>Price-list февраль</t>
  </si>
  <si>
    <t>Price-list март</t>
  </si>
  <si>
    <t>Price-list апрель</t>
  </si>
  <si>
    <t>Price-list май</t>
  </si>
  <si>
    <t>Price-list июнь</t>
  </si>
  <si>
    <t>Price-list июль</t>
  </si>
  <si>
    <t>Price-list август</t>
  </si>
  <si>
    <t>Price-list сентябрь</t>
  </si>
  <si>
    <t>Price-list октябрь</t>
  </si>
  <si>
    <t>Price-list ноябрь</t>
  </si>
  <si>
    <t>Price-list декабрь</t>
  </si>
  <si>
    <t>Объем продаж февраль</t>
  </si>
  <si>
    <t>Объем продаж март</t>
  </si>
  <si>
    <t>Объем продаж апрель</t>
  </si>
  <si>
    <t>Объем продаж май</t>
  </si>
  <si>
    <t>Объем продаж июнь</t>
  </si>
  <si>
    <t>Объем продаж июль</t>
  </si>
  <si>
    <t>Объем продаж август</t>
  </si>
  <si>
    <t>Объем продаж сентябрь</t>
  </si>
  <si>
    <t>Объем продаж октябрь</t>
  </si>
  <si>
    <t>Объем продаж ноябрь</t>
  </si>
  <si>
    <t>Объем продаж декабрь</t>
  </si>
  <si>
    <t>Объем продаж январь</t>
  </si>
  <si>
    <t>GP Value февраль</t>
  </si>
  <si>
    <t>GP Value март</t>
  </si>
  <si>
    <t>GP Value апрель</t>
  </si>
  <si>
    <t>GP Value май</t>
  </si>
  <si>
    <t>GP Value июнь</t>
  </si>
  <si>
    <t>GP Value июль</t>
  </si>
  <si>
    <t>GP Value август</t>
  </si>
  <si>
    <t>GP Value сентябрь</t>
  </si>
  <si>
    <t>GP Value октябрь</t>
  </si>
  <si>
    <t>GP Value ноябрь</t>
  </si>
  <si>
    <t>GP Value декабрь</t>
  </si>
  <si>
    <t>Promo NS февраль</t>
  </si>
  <si>
    <t>Promo NS март</t>
  </si>
  <si>
    <t>Promo NS апрель</t>
  </si>
  <si>
    <t>Promo NS май</t>
  </si>
  <si>
    <t>Promo NS июнь</t>
  </si>
  <si>
    <t>Promo NS июль</t>
  </si>
  <si>
    <t>Promo NS август</t>
  </si>
  <si>
    <t>Promo NS сентябрь</t>
  </si>
  <si>
    <t>Promo NS октябрь</t>
  </si>
  <si>
    <t>Promo NS ноябрь</t>
  </si>
  <si>
    <t>Promo NS декабрь</t>
  </si>
  <si>
    <t>Promo GS февраль</t>
  </si>
  <si>
    <t>Promo GS март</t>
  </si>
  <si>
    <t>Promo GS апрель</t>
  </si>
  <si>
    <t>Promo GS май</t>
  </si>
  <si>
    <t>Promo GS июнь</t>
  </si>
  <si>
    <t>Promo GS июль</t>
  </si>
  <si>
    <t>Promo GS август</t>
  </si>
  <si>
    <t>Promo GS сентябрь</t>
  </si>
  <si>
    <t>Promo GS октябрь</t>
  </si>
  <si>
    <t>Promo GS ноябрь</t>
  </si>
  <si>
    <t>Promo GS декабрь</t>
  </si>
  <si>
    <t>Promo Объем февраль</t>
  </si>
  <si>
    <t>Promo Объем март</t>
  </si>
  <si>
    <t>Promo Объем апрель</t>
  </si>
  <si>
    <t>Promo Объем май</t>
  </si>
  <si>
    <t>Promo Объем июнь</t>
  </si>
  <si>
    <t>Promo Объем июль</t>
  </si>
  <si>
    <t>Promo Объем август</t>
  </si>
  <si>
    <t>Promo Объем сентябрь</t>
  </si>
  <si>
    <t>Promo Объем октябрь</t>
  </si>
  <si>
    <t>Promo Объем ноябрь</t>
  </si>
  <si>
    <t>Promo Объем декабрь</t>
  </si>
  <si>
    <t>Promo Price-list февраль</t>
  </si>
  <si>
    <t>Promo Price-list март</t>
  </si>
  <si>
    <t>Promo Price-list апрель</t>
  </si>
  <si>
    <t>Promo Price-list май</t>
  </si>
  <si>
    <t>Promo Price-list июнь</t>
  </si>
  <si>
    <t>Promo Price-list июль</t>
  </si>
  <si>
    <t>Promo Price-list август</t>
  </si>
  <si>
    <t>Promo Price-list сентябрь</t>
  </si>
  <si>
    <t>Promo Price-list октябрь</t>
  </si>
  <si>
    <t>Promo Price-list ноябрь</t>
  </si>
  <si>
    <t>Promo Price-list декабрь</t>
  </si>
  <si>
    <t>NS Январь</t>
  </si>
  <si>
    <t>NS февраль</t>
  </si>
  <si>
    <t>NS март</t>
  </si>
  <si>
    <t>NS апрель</t>
  </si>
  <si>
    <t>NS май</t>
  </si>
  <si>
    <t>NS июнь</t>
  </si>
  <si>
    <t>NS июль</t>
  </si>
  <si>
    <t>NS август</t>
  </si>
  <si>
    <t>NS сентябрь</t>
  </si>
  <si>
    <t>NS октябрь</t>
  </si>
  <si>
    <t>NS ноябрь</t>
  </si>
  <si>
    <t>NS декабрь</t>
  </si>
  <si>
    <t>GS февраль</t>
  </si>
  <si>
    <t>GS март</t>
  </si>
  <si>
    <t>GS апрель</t>
  </si>
  <si>
    <t>GS май</t>
  </si>
  <si>
    <t>GS июнь</t>
  </si>
  <si>
    <t>GS июль</t>
  </si>
  <si>
    <t>GS август</t>
  </si>
  <si>
    <t>GS сентябрь</t>
  </si>
  <si>
    <t>GS октябрь</t>
  </si>
  <si>
    <t>GS ноябрь</t>
  </si>
  <si>
    <t>GS декабрь</t>
  </si>
  <si>
    <t>GS январь</t>
  </si>
  <si>
    <t>Promo Price-list январь</t>
  </si>
  <si>
    <t>Promo Объем продаж январь</t>
  </si>
  <si>
    <t>Promo GS январь</t>
  </si>
  <si>
    <t>Promo NS январь</t>
  </si>
  <si>
    <t>GP Value январь</t>
  </si>
  <si>
    <t>to be sold in</t>
  </si>
  <si>
    <t>Sales Start Date</t>
  </si>
  <si>
    <t>Preliminary Elimination Date</t>
  </si>
  <si>
    <t>Current Producing Factory Entity Reference</t>
  </si>
  <si>
    <t>Unit of measure</t>
  </si>
  <si>
    <t>Article gross weight, preliminary</t>
  </si>
  <si>
    <t>Article net weight</t>
  </si>
  <si>
    <t>Packaging length</t>
  </si>
  <si>
    <t>Packaging height</t>
  </si>
  <si>
    <t>Packaging volume</t>
  </si>
  <si>
    <t>Product size width</t>
  </si>
  <si>
    <t>Units Per Pallet</t>
  </si>
  <si>
    <t>Product size height</t>
  </si>
  <si>
    <t>Product size length</t>
  </si>
  <si>
    <t>Packaging width</t>
  </si>
  <si>
    <t>Article net weight, preliminary</t>
  </si>
  <si>
    <t>Article gross weight</t>
  </si>
  <si>
    <t>Quantity in Master pack</t>
  </si>
  <si>
    <t>GTIN-13/EAN</t>
  </si>
  <si>
    <t>Elimination Date</t>
  </si>
  <si>
    <t>AMA_C</t>
  </si>
  <si>
    <t>WMT_C</t>
  </si>
  <si>
    <t>Country of Origin</t>
  </si>
  <si>
    <t>AET_P</t>
  </si>
  <si>
    <t>AMC_C</t>
  </si>
  <si>
    <t>AMT_C</t>
  </si>
  <si>
    <t>EEO_C</t>
  </si>
  <si>
    <t>HEB_C</t>
  </si>
  <si>
    <t>HEB_P</t>
  </si>
  <si>
    <t>HEC_C</t>
  </si>
  <si>
    <t>HEC_P</t>
  </si>
  <si>
    <t>HEH_C</t>
  </si>
  <si>
    <t>HEH_P</t>
  </si>
  <si>
    <t>HET_C</t>
  </si>
  <si>
    <t>HET_P</t>
  </si>
  <si>
    <t>HSP_C</t>
  </si>
  <si>
    <t>LBL_P</t>
  </si>
  <si>
    <t>LEL_C</t>
  </si>
  <si>
    <t>LEP_C</t>
  </si>
  <si>
    <t>LML_C</t>
  </si>
  <si>
    <t>LRL_C</t>
  </si>
  <si>
    <t>LRL_P</t>
  </si>
  <si>
    <t>LSP_C</t>
  </si>
  <si>
    <t>OBR_C</t>
  </si>
  <si>
    <t>WMA_C</t>
  </si>
  <si>
    <t>WMH_C</t>
  </si>
  <si>
    <t>WMS_C</t>
  </si>
  <si>
    <t>WPO_C</t>
  </si>
  <si>
    <t>WPU_C</t>
  </si>
  <si>
    <t>WPU_P</t>
  </si>
  <si>
    <t>WSC_C</t>
  </si>
  <si>
    <t>WSS_C</t>
  </si>
  <si>
    <t>TAP CONNECTOR</t>
  </si>
  <si>
    <t>02900-29.000.00</t>
  </si>
  <si>
    <t>18200-29.000.00</t>
  </si>
  <si>
    <t>18240-20.000.00</t>
  </si>
  <si>
    <t>02901-29.000.00</t>
  </si>
  <si>
    <t>18201-29.000.00</t>
  </si>
  <si>
    <t>18241-20.000.00</t>
  </si>
  <si>
    <t>02902-29.000.00</t>
  </si>
  <si>
    <t>18202-29.000.00</t>
  </si>
  <si>
    <t>new</t>
  </si>
  <si>
    <t xml:space="preserve">Штуцер резьбовой 1/2" </t>
  </si>
  <si>
    <t>Штуцер резьбовой Premium 21 мм (G 1/2")</t>
  </si>
  <si>
    <t xml:space="preserve">Штуцер резьбовой 3/4" </t>
  </si>
  <si>
    <t>Штуцер резьбовой Premium 26.5 мм (G3/4")</t>
  </si>
  <si>
    <t xml:space="preserve">Штуцер резьбовой 1" </t>
  </si>
  <si>
    <t>Выведено из ассортимента текущего года</t>
  </si>
  <si>
    <t>Dealer</t>
  </si>
  <si>
    <t>Regional</t>
  </si>
  <si>
    <t>Online</t>
  </si>
  <si>
    <t>Процент повышения РРЦ</t>
  </si>
  <si>
    <t>РРЦ финальная, руб.</t>
  </si>
  <si>
    <t>РРЦ расчетная, руб.</t>
  </si>
  <si>
    <t>РРЦ, евро</t>
  </si>
  <si>
    <t>Бюджетный курс</t>
  </si>
  <si>
    <t>Дата повышения</t>
  </si>
  <si>
    <t>Скидка DIY</t>
  </si>
  <si>
    <t>МРЛ</t>
  </si>
  <si>
    <t>2555 ООО "Леруа Мерлен Восток"</t>
  </si>
  <si>
    <t>DIY</t>
  </si>
  <si>
    <t>ТАРХОВА ТАТЬЯНА</t>
  </si>
  <si>
    <t>ЛЕРУ</t>
  </si>
  <si>
    <t>5550 ООО «Строй Парк-Логистик»</t>
  </si>
  <si>
    <t>СПЛ</t>
  </si>
  <si>
    <t>СТРО</t>
  </si>
  <si>
    <t>5570 ООО "К-РАУТА РУС"</t>
  </si>
  <si>
    <t>К-РАУТА</t>
  </si>
  <si>
    <t>К-РА</t>
  </si>
  <si>
    <t>ДСС</t>
  </si>
  <si>
    <t>1078 ООО "АРХЛЕС-СЕРВИС"</t>
  </si>
  <si>
    <t>DEALERS&amp;REGIONAL DISTR</t>
  </si>
  <si>
    <t>STANDARD</t>
  </si>
  <si>
    <t>АЛЕКСАНДРОВ ИГОРЬ</t>
  </si>
  <si>
    <t>1507 ООО "АРЕАЛ ПЛЮС"</t>
  </si>
  <si>
    <t>1515 ООО "СМД"</t>
  </si>
  <si>
    <t>1538 ООО "РОТА"</t>
  </si>
  <si>
    <t>1577 ИП Суптеля Сергей Александрович</t>
  </si>
  <si>
    <t>1656 ООО "ОСИПОВ, АГЕЕВ И КО"</t>
  </si>
  <si>
    <t>1679 ИП Люкин Станислав</t>
  </si>
  <si>
    <t>1691 ИП Богданов Андрей Олегович</t>
  </si>
  <si>
    <t>1732 ИП Соловьев Сергей</t>
  </si>
  <si>
    <t>1736 ИП Леничев Юрий Геннадьевич</t>
  </si>
  <si>
    <t>1750 ООО "ОЛЬХА"</t>
  </si>
  <si>
    <t>1762 ООО "БЕНЗОЛЮКС"</t>
  </si>
  <si>
    <t>PREMIUM</t>
  </si>
  <si>
    <t>1766 ООО "Партнер АСЦ"</t>
  </si>
  <si>
    <t>1780 ООО "НАДЕЖДА"</t>
  </si>
  <si>
    <t>1781 ООО "МУРМАН-ИНСТРУМЕНТ"</t>
  </si>
  <si>
    <t>1792 ООО "ПОДКОВА"</t>
  </si>
  <si>
    <t>1803 ООО "ЛЕС-СЕРВИС П"</t>
  </si>
  <si>
    <t>1804 ООО"ПО ДИНОС-ПАРК"</t>
  </si>
  <si>
    <t>1825 ООО "МАСТЕРЛАЙН"</t>
  </si>
  <si>
    <t>1852 ООО "МАСТЕР БЕНЗО-СЕРВИС"</t>
  </si>
  <si>
    <t>1859 ООО "ТС "МАСТЕР"</t>
  </si>
  <si>
    <t>1873 ООО "СЦ ЛЕС-СЕРВИС"</t>
  </si>
  <si>
    <t>1884 ИП Исупов Николай Александрович</t>
  </si>
  <si>
    <t>1885 ИП Керро Владимир</t>
  </si>
  <si>
    <t>2858 ИП Деришев Илья Анатольевич</t>
  </si>
  <si>
    <t>3772 ИП Татаринов Константин Bалентинови</t>
  </si>
  <si>
    <t>4309 ООО "АРХАНГЕЛЬСК-ВОСТОК-СЕРВИС"</t>
  </si>
  <si>
    <t>4639 ИП Колесов Александр Викторович</t>
  </si>
  <si>
    <t>4768 ООО "ПЛАНЕТА-СЕРВИС"</t>
  </si>
  <si>
    <t>5019 ООО "ТЕХНОЛОГИЯ"</t>
  </si>
  <si>
    <t>5033 ООО "НЕВА-ТРЕЙД СПБ"</t>
  </si>
  <si>
    <t>5040 ООО "СЕВЕРНЫЕ СТРЕЛЫ"</t>
  </si>
  <si>
    <t>5048 ООО "ВЕРКМАН"</t>
  </si>
  <si>
    <t>5054 ООО "ВТК"</t>
  </si>
  <si>
    <t>5056 ООО "СФЕРА"</t>
  </si>
  <si>
    <t>PLATINUM</t>
  </si>
  <si>
    <t>5057 ИП Исупов Анатолий Александрович</t>
  </si>
  <si>
    <t>5060 ООО "СЕРВИСНЫЙ ЦЕНТР "МАСТЕР"</t>
  </si>
  <si>
    <t>5062 ООО «САДОВЫЕ МАШИНЫ»</t>
  </si>
  <si>
    <t>5083 ООО "БЛ"</t>
  </si>
  <si>
    <t>5171 ООО "БАЗИС"</t>
  </si>
  <si>
    <t>5174 ООО «ЕВРОТЕК.СПБ.РУ»</t>
  </si>
  <si>
    <t>5178 ООО "ПРЯМЫЕ РУКИ"</t>
  </si>
  <si>
    <t>5180 ООО «САДПАРК»</t>
  </si>
  <si>
    <t>5194 ООО "ЭБС"</t>
  </si>
  <si>
    <t>5721 ООО "СЕРВИС И"</t>
  </si>
  <si>
    <t>5725 ООО «ГИДРОСИЛА»</t>
  </si>
  <si>
    <t>5727 ООО "БОБЁР"</t>
  </si>
  <si>
    <t>5750 ООО «МотоТехЦентр»</t>
  </si>
  <si>
    <t>5762 ООО "ШТУРМАН18"</t>
  </si>
  <si>
    <t>5771 ООО "ИНСТРУМЕНТ"</t>
  </si>
  <si>
    <t>6042 ООО "ТПО "ЕВРОТЕК"</t>
  </si>
  <si>
    <t>МРМ</t>
  </si>
  <si>
    <t>5070 ООО СТД "ПЕТРОВИЧ"</t>
  </si>
  <si>
    <t>СТД ПЕТРОВИЧ</t>
  </si>
  <si>
    <t>ЧУДИН АЛЕКСЕЙ</t>
  </si>
  <si>
    <t>5307 Красногорский филиал "Крокус Сити"</t>
  </si>
  <si>
    <t>КРОКУС</t>
  </si>
  <si>
    <t>КРОК</t>
  </si>
  <si>
    <t>5310 АО "Кротекс"</t>
  </si>
  <si>
    <t>5412 ООО "Бауцентр Рус"</t>
  </si>
  <si>
    <t>БАУЦЕНТР</t>
  </si>
  <si>
    <t>БАУЦ</t>
  </si>
  <si>
    <t>5414 Воронежский ф-л ЗАО "КРОКУС"</t>
  </si>
  <si>
    <t>5466 Мытищинский филиал "Твой Дом" АО</t>
  </si>
  <si>
    <t>5467 Красногорский филиал "Твой Дом"</t>
  </si>
  <si>
    <t>5536 «ТВОЙ ДОМ КУНЦЕВО» АО «КРОКУС»</t>
  </si>
  <si>
    <t>5824 ООО МЕТРО Кэш энд Керри</t>
  </si>
  <si>
    <t>МЕТРО</t>
  </si>
  <si>
    <t>МЕТР</t>
  </si>
  <si>
    <t>МРО</t>
  </si>
  <si>
    <t>5302 ООО "Сделай Своими Руками - Казань"</t>
  </si>
  <si>
    <t>НЕБОВ АЛЕКСАНДР</t>
  </si>
  <si>
    <t xml:space="preserve">ОБИ </t>
  </si>
  <si>
    <t>5303 ООО "Сделай Своими Руками"</t>
  </si>
  <si>
    <t>5388 ООО "ОБИ Франчайзинговый Центр"</t>
  </si>
  <si>
    <t>5389 ООО"СделайСвоимиРукамиСеверо-Запад"</t>
  </si>
  <si>
    <t>5408 ООО "Гарден Центр Групп"</t>
  </si>
  <si>
    <t>ДАРВИН</t>
  </si>
  <si>
    <t>ДАРВ</t>
  </si>
  <si>
    <t>ДСВ</t>
  </si>
  <si>
    <t>1374 ООО "ТЕХНОСТИЛЬ"</t>
  </si>
  <si>
    <t>ШКИДИН РОМАН</t>
  </si>
  <si>
    <t>1408 ООО "АРДЕНА"</t>
  </si>
  <si>
    <t>1630 ИП Клочкова Ольга Алексеевна</t>
  </si>
  <si>
    <t>1909 ООО "АВА-ТРАК"</t>
  </si>
  <si>
    <t>1972 ООО "БРИГАДА"</t>
  </si>
  <si>
    <t>2148 ИП Поливахин Александр Иванович</t>
  </si>
  <si>
    <t>2162 ИП Паздникова Людмила Игоревна</t>
  </si>
  <si>
    <t>2164 ООО "ТЦ ЭСТОМ"</t>
  </si>
  <si>
    <t>2167 ИП Боброва Наталья Геннадьевна</t>
  </si>
  <si>
    <t>2196 ИП Красильников А.В.</t>
  </si>
  <si>
    <t>2199 ООО "ЮЖНО СИБИРСКИЙ МОТОЦЕНТР"</t>
  </si>
  <si>
    <t>2262 ИП Антохова Ирина Геннадьевна</t>
  </si>
  <si>
    <t>2270 ОБЩЕСТВО С ОГРАНИЧЕННОЙ ОТВЕТСТВЕН</t>
  </si>
  <si>
    <t>2271 ИП Манаев Николай Николаевич</t>
  </si>
  <si>
    <t>2323 ЗАО "АКЛЕС"</t>
  </si>
  <si>
    <t>2448 ООО ТОРГОВЫЙ ДОМ "БЕНЗОЭЛЕКТРОМАСТЕ</t>
  </si>
  <si>
    <t>2478 ИП Шестаков Сергей Валерьевич</t>
  </si>
  <si>
    <t>2486 ООО "ТК ИНСТРУМЕНТ МАРКЕТ"</t>
  </si>
  <si>
    <t>2488 ООО "БОГУЧАНЫ-ЧТЗ-СЕРВИС"</t>
  </si>
  <si>
    <t>2954 ООО "МЕХАНИК"</t>
  </si>
  <si>
    <t>2955 ИП Кириллова Наталья Николаевна</t>
  </si>
  <si>
    <t>2980 ИП Анкут Юлия Сергеевна</t>
  </si>
  <si>
    <t>2983 ООО "ЮГУС"</t>
  </si>
  <si>
    <t>3704 ООО "ЭНЕРГИЯ"</t>
  </si>
  <si>
    <t>3710 АО "ИНТЕРГРУПП"</t>
  </si>
  <si>
    <t>3726 ООО "ПРОФПАРК"</t>
  </si>
  <si>
    <t>3744 ООО "СОЗВЕЗДИЕ ТЕХНО"</t>
  </si>
  <si>
    <t>3800 ООО "МАСТЕР"</t>
  </si>
  <si>
    <t>3910 ООО "ВВТ-РЕГИОН"</t>
  </si>
  <si>
    <t>3911 АО "РОСИНСТРУМЕНТ"</t>
  </si>
  <si>
    <t>3912 ООО "КОМПАНИЯ БЕНЗОИНСТРУМЕНТ"</t>
  </si>
  <si>
    <t>3914 ИП Еньшин Николай Егорович</t>
  </si>
  <si>
    <t>3953 ООО СЦ "БЕНЗОТЕХНИКА"</t>
  </si>
  <si>
    <t>4294 ООО "ЮГУС-НОВОСИБИРСК"</t>
  </si>
  <si>
    <t>4577 ИП Голубчиков Геннадий Юрьевич</t>
  </si>
  <si>
    <t>4649 ООО "ЭБИСУ"</t>
  </si>
  <si>
    <t>4682 ООО "МИРАЖ"</t>
  </si>
  <si>
    <t>4699 ООО "СЕВЕРСКИНСТРУМЕНТСНАБ"</t>
  </si>
  <si>
    <t>4840 ООО "ПАРКОВАЯ ТЕХНИКА"</t>
  </si>
  <si>
    <t>4884 ООО "СТАНДАРТ"</t>
  </si>
  <si>
    <t>4926 ООО "ТЕХНО-М"</t>
  </si>
  <si>
    <t>4933 ООО "ЭЛЕКТРОСЕРВИС"</t>
  </si>
  <si>
    <t>4942 ООО "ЛЕГО"</t>
  </si>
  <si>
    <t>4984 ООО "НОРД ИНТЕХ"</t>
  </si>
  <si>
    <t>4989 ООО "ДЕЛЬТА-ПЛЮС"</t>
  </si>
  <si>
    <t>5066 ИП Сальков Кирилл Алексеевич</t>
  </si>
  <si>
    <t>5074 ООО "ТД СИБИРСКИЙ ИНСТРУМЕНТ"</t>
  </si>
  <si>
    <t>5085 ООО "ЛИДЕР"</t>
  </si>
  <si>
    <t>5088 ООО "ТЕХСЕРВИС-ХАБАРОВСК"</t>
  </si>
  <si>
    <t>5098 ООО "КОМПАНИЯ МОТОТЕХНИКА"</t>
  </si>
  <si>
    <t>5161 ООО "БЕНЗОИНСТРУМЕНТ"</t>
  </si>
  <si>
    <t>5168 ИП Саломатов Юрий Николаевич</t>
  </si>
  <si>
    <t>5185 ООО "ПРОФИНСТРУМЕНТ"</t>
  </si>
  <si>
    <t>5267 ИП Муратов Ефим Игоревич</t>
  </si>
  <si>
    <t>5500 ООО "Техносистема"</t>
  </si>
  <si>
    <t>5708 ООО "АНКОР-АМУР"</t>
  </si>
  <si>
    <t>5716 ООО "ПРОФИНСТРУМЕНТ"</t>
  </si>
  <si>
    <t>5720 ООО "БАЙКАЛОПТИНСТРУМЕНТ"</t>
  </si>
  <si>
    <t>5724 ИП Золотухин Денис Николаевич</t>
  </si>
  <si>
    <t>5730 ИП Чирков Юрий Михайлович</t>
  </si>
  <si>
    <t>5746 ООО "СИНТЕХ"</t>
  </si>
  <si>
    <t>5748 ООО "ОРИЕНТИНСТРУМЕНТ"</t>
  </si>
  <si>
    <t>5767 ИП Голубчикова Татьяна Васильевна</t>
  </si>
  <si>
    <t>5788 ООО "ПРИМЛЕСТЕХНИКА"</t>
  </si>
  <si>
    <t>6027 ООО "ДИЛЕРСКИЙ ЦЕНТР "СОЗВЕЗДИЕ ТЕХ</t>
  </si>
  <si>
    <t>6048 ООО"РЕМИНСЕРВИС"</t>
  </si>
  <si>
    <t>6061 ООО "БЕНЗОИНСТРУМЕНТ НСК"</t>
  </si>
  <si>
    <t>6076 ООО "САДОВЫЕ МАШИНЫ"</t>
  </si>
  <si>
    <t>6139 ИП Пилипенко Павел Николаевич</t>
  </si>
  <si>
    <t>6142 ООО "МЕХАНИК"</t>
  </si>
  <si>
    <t>МФДИ</t>
  </si>
  <si>
    <t>5525 ООО «РуМета»</t>
  </si>
  <si>
    <t>РУМЕТА</t>
  </si>
  <si>
    <t>МОНАСТЫРСКИЙ МИХАИЛ</t>
  </si>
  <si>
    <t>ЭНТИ</t>
  </si>
  <si>
    <t>5560 ООО "ЭнТи Сервис"</t>
  </si>
  <si>
    <t>ДДЮ</t>
  </si>
  <si>
    <t>2708 ИП Обухова Марина Сергеевна</t>
  </si>
  <si>
    <t>ПОЛУНОВ ДМИТРИЙ</t>
  </si>
  <si>
    <t>5540 ООО "ТПК "РОСТИ"</t>
  </si>
  <si>
    <t>REGIONAL DISTR BASIC</t>
  </si>
  <si>
    <t>РОСТ</t>
  </si>
  <si>
    <t>ДЭЦВ</t>
  </si>
  <si>
    <t>1589 ООО "220 Вольт Сервис"</t>
  </si>
  <si>
    <t>ONLINE</t>
  </si>
  <si>
    <t>ВЕЛИКОПОЛЬСКИЙ ВЛАДИСЛАВ</t>
  </si>
  <si>
    <t>1663 ООО "ТДСЗ"</t>
  </si>
  <si>
    <t>3898 ООО "ВСЕИНСТРУМЕНТЫ.РУ"</t>
  </si>
  <si>
    <t>5195 ООО "БКР"</t>
  </si>
  <si>
    <t>5571 ООО "ХАСКЕЛ"</t>
  </si>
  <si>
    <t>ХАСКЕЛ</t>
  </si>
  <si>
    <t>5699 ООО «Интернет решения»</t>
  </si>
  <si>
    <t>ДДС</t>
  </si>
  <si>
    <t>5593 ООО "АЛИДИ-НОРД"</t>
  </si>
  <si>
    <t>АЛИДИ НОРД</t>
  </si>
  <si>
    <t>ДДВ</t>
  </si>
  <si>
    <t>5594 ООО "САНГ"</t>
  </si>
  <si>
    <t>ДДУ</t>
  </si>
  <si>
    <t>5596 ООО "ТАЙДИ-СИТИ"</t>
  </si>
  <si>
    <t>ЖУРАВЛЕВ ПАВЕЛ</t>
  </si>
  <si>
    <t>5666 ООО "СОЮЗ-ТНП"</t>
  </si>
  <si>
    <t>МППР</t>
  </si>
  <si>
    <t>5793 ООО ПРЕДПРИЯТИЕ "АЛИДИ"</t>
  </si>
  <si>
    <t>АЛИДИ (ФУД СЕТИ)</t>
  </si>
  <si>
    <t>БИЛОУС ЕКАТЕРИНА</t>
  </si>
  <si>
    <t>ДСУ</t>
  </si>
  <si>
    <t>1019 ООО "УРАЛСЕРВИСЛЕС"</t>
  </si>
  <si>
    <t>1100 ООО "ТОМИК"</t>
  </si>
  <si>
    <t>1182 ООО"ИНСТРУМЕНТ-ЦЕНТР"</t>
  </si>
  <si>
    <t>1931 ИП Кокорин Сергей Александрович</t>
  </si>
  <si>
    <t>2903 ООО"ЛЕССНАБ"</t>
  </si>
  <si>
    <t>2988 ИП Чекалкин Алексей Валентинович</t>
  </si>
  <si>
    <t>2993 ООО "МЕГАМАСТЕР"</t>
  </si>
  <si>
    <t>2996 ООО"ИНИГС"</t>
  </si>
  <si>
    <t>3572 ИП Кербс Владимир Андреевич</t>
  </si>
  <si>
    <t>3755 ООО ТД "ИНСТРУМЕНТ СЕРВИС"</t>
  </si>
  <si>
    <t>3825 ИП Кузнецов Вадим Борисович</t>
  </si>
  <si>
    <t>4074 ИП Охапкина Ольга Анатольевна</t>
  </si>
  <si>
    <t>4605 ООО "ЛЕКАР - ИНСТРУМЕНТ"</t>
  </si>
  <si>
    <t>4621 ИП Мингалев Александр Викторович</t>
  </si>
  <si>
    <t>4626 ООО "УДТ - ЧЕЛЯБИНСК"</t>
  </si>
  <si>
    <t>4663 ИП Андреев Дмитрий Михайлович</t>
  </si>
  <si>
    <t>4668 ИП Апалькова Дарья Петровна</t>
  </si>
  <si>
    <t>4684 ИП Евграфов Сергей Петрович</t>
  </si>
  <si>
    <t>4793 ИП Долматов Рафаиль Фаильевич</t>
  </si>
  <si>
    <t>4831 ИП Князева Елена Алексеевна</t>
  </si>
  <si>
    <t>4846 ИП Выползов Владимир Григорьевич</t>
  </si>
  <si>
    <t>4953 ООО "ЗАПСИБИНЦЕНТР"</t>
  </si>
  <si>
    <t>5072 ООО «ЛИДЕРСТРОЙИНСТРУМЕНТ-ТТ»</t>
  </si>
  <si>
    <t>5183 ООО "ПРОМСНАБ"</t>
  </si>
  <si>
    <t>5288 ООО "ФОРМУЛА ИНСТРУМЕНТА"</t>
  </si>
  <si>
    <t>5717 ООО "АДЛИБ"</t>
  </si>
  <si>
    <t>5756 ИП Попов Михаил Иванович</t>
  </si>
  <si>
    <t>5764 ИП Луконина Анна Леонидовна</t>
  </si>
  <si>
    <t>5781 ИП Кабиров Фаукат Гимаевич</t>
  </si>
  <si>
    <t>6025 ООО "ЛИДЕР"</t>
  </si>
  <si>
    <t>6031 ИП Кокорин Иван Сергеевич</t>
  </si>
  <si>
    <t>ДСЦО</t>
  </si>
  <si>
    <t>1023 ООО "АГРОЭКСПО"</t>
  </si>
  <si>
    <t>ОРЛОВ КИРИЛЛ</t>
  </si>
  <si>
    <t>1219 ИП Голиков Николай Дмитриевич</t>
  </si>
  <si>
    <t>1397 ООО "ОРИОН-СЕРВИС"</t>
  </si>
  <si>
    <t>1434 ИП Ушакова Ирина Геннадьевна</t>
  </si>
  <si>
    <t>1465 ИП Голикова Елена Николаевна</t>
  </si>
  <si>
    <t>1492 ИП Ковалева Галина Юрьевна</t>
  </si>
  <si>
    <t>1647 ООО "ЗВОХ"</t>
  </si>
  <si>
    <t>1954 ООО "СИЕРРА"</t>
  </si>
  <si>
    <t>1957 ИП Рябов Игорь Владимирович</t>
  </si>
  <si>
    <t>1967 ООО "УДАРНИК"</t>
  </si>
  <si>
    <t>2111 ООО НТЦ "ПИК"</t>
  </si>
  <si>
    <t>2255 ООО "КОМИНТЕК-К"</t>
  </si>
  <si>
    <t>2340 ИП Никитин Юрий Николаевич</t>
  </si>
  <si>
    <t>2520 ИП Литвинов Игорь Евгеньевич</t>
  </si>
  <si>
    <t>2581 ООО "ОРГТЕХПРОМ"</t>
  </si>
  <si>
    <t>2588 ООО"АСТАРИ"</t>
  </si>
  <si>
    <t>2647 ИП Алексеев Вячеслав Александрович</t>
  </si>
  <si>
    <t>2652 ИП Бекренев Григорий Александрович</t>
  </si>
  <si>
    <t>2653 ИП Бекренева Алла Игоревна</t>
  </si>
  <si>
    <t>2676 ИП Лихачев Николай Николаевич</t>
  </si>
  <si>
    <t>2742 ООО "САДОВЫЕ МЕХАНИЗМЫ"</t>
  </si>
  <si>
    <t>2743 ИП Эйхельберг Виктор Викторович</t>
  </si>
  <si>
    <t>2792 ИП Баева Галина Егоровна</t>
  </si>
  <si>
    <t>2799 ООО "БАКАЛ-СЕРВИС"</t>
  </si>
  <si>
    <t>3713 ООО"ТЭМПО"</t>
  </si>
  <si>
    <t>3801 ИП Алексеев Александр Вячеславович</t>
  </si>
  <si>
    <t>3817 ООО "КОМПАНИЯ ИЛЛЕОН-СТРОЙ"</t>
  </si>
  <si>
    <t>3883 ИП Брынский Андрей Вячеславович</t>
  </si>
  <si>
    <t>3888 ООО "БАКАЛ"</t>
  </si>
  <si>
    <t>3984 ИП Красножёнов Сергей Владимирович</t>
  </si>
  <si>
    <t>4270 ООО "СЕРВИС-ТЕХНИКА-ОБОРУДОВАНИЕ"</t>
  </si>
  <si>
    <t>4272 ИП Машников Юрий Николаевич</t>
  </si>
  <si>
    <t>4636 ООО "БИГАМ-ИНВЕСТ"</t>
  </si>
  <si>
    <t>4672 ИП Бахчагулян Вардан Борисович</t>
  </si>
  <si>
    <t>4767 ИП Синицын Александр Александрович</t>
  </si>
  <si>
    <t>4772 ООО "КРЕАТИВ"</t>
  </si>
  <si>
    <t>4797 ООО"МОТОТЕХНИКА"</t>
  </si>
  <si>
    <t>4799 ООО  "ТУЛСО"</t>
  </si>
  <si>
    <t>4843 ИП Амиров Марат Магомедович</t>
  </si>
  <si>
    <t>4878 ООО "КОМПАНИЯ ТРАСКОМ"</t>
  </si>
  <si>
    <t>4897 ИП Баев Вячеслав Владимирович</t>
  </si>
  <si>
    <t>4900 ООО "ЮНИТЕХКОНТРАКТ"</t>
  </si>
  <si>
    <t>4912 ИП Давыдов Алексей Николаевич</t>
  </si>
  <si>
    <t>4922 ООО "МАЛЕНЬКИЕ МОТОРЫ"</t>
  </si>
  <si>
    <t>4934 ООО "ИМПЕРИЯ ИНСТРУМЕНТА"</t>
  </si>
  <si>
    <t>4935 ООО "МК-ЭНЕРГОСЕТ"</t>
  </si>
  <si>
    <t>4955 ООО "АГРОТЕХНИКА"</t>
  </si>
  <si>
    <t>4970 ИП Чистяков Иван Александрович</t>
  </si>
  <si>
    <t>4985 ИП Шаршонь Валерий Юльевич</t>
  </si>
  <si>
    <t>4991 ООО "АГРОСЕРВИС"</t>
  </si>
  <si>
    <t>5082 ИП Токарчук Екатерина Евгеньевна</t>
  </si>
  <si>
    <t>5170 ООО "ТЕХНОПРО"</t>
  </si>
  <si>
    <t>5176 ООО "ИНЖЕНЕРНЫЕ РЕШЕНИЯ"</t>
  </si>
  <si>
    <t>5192 ИП Милюшкин Анатолий Алексеевич</t>
  </si>
  <si>
    <t>5292 ООО "ТД ВЕКПРОМ"</t>
  </si>
  <si>
    <t>5707 ООО "КУПИ НА ДАЧУ"</t>
  </si>
  <si>
    <t>5712 ИП Кириленко Юрий Николаевич</t>
  </si>
  <si>
    <t>5722 ООО "ГК ИМПЕРИЯ ИНСТРУМЕНТА"</t>
  </si>
  <si>
    <t>5733 ООО "ОТК"</t>
  </si>
  <si>
    <t>5747 ИП Крылов Леонид Борисович</t>
  </si>
  <si>
    <t>5782 ИП Ковба Игорь Юрьевич</t>
  </si>
  <si>
    <t>5795 ИП Фельдман Елена Анатольевна</t>
  </si>
  <si>
    <t>5919 ООО "ПРОФПОСТАВКА"</t>
  </si>
  <si>
    <t>6024 ООО "ИНСТОРГ"</t>
  </si>
  <si>
    <t>6028 ИП Татаринова Антонина Кирилловна</t>
  </si>
  <si>
    <t>6029 ИП Квартальнов Александр Викторович</t>
  </si>
  <si>
    <t>6032 ООО «ИНКОМ»</t>
  </si>
  <si>
    <t>6034 ИП Ахметова Ксения Анатольевна</t>
  </si>
  <si>
    <t>6038 ООО "ДИЛЕКСИ"</t>
  </si>
  <si>
    <t>6052 ИП Дыдыкина Инна Александровна</t>
  </si>
  <si>
    <t>6129 ООО "БЕНЗОМАРКЕТ"</t>
  </si>
  <si>
    <t>6218 ООО "РЕГИОН СБЫТ"</t>
  </si>
  <si>
    <t>ДСЦК</t>
  </si>
  <si>
    <t>1036 ИП Шейко Надежда Васильевна</t>
  </si>
  <si>
    <t>КАШКИН ВЛАДИМИР</t>
  </si>
  <si>
    <t>1258 ИП Шуралева Надежда Ивановна</t>
  </si>
  <si>
    <t>1292 ИП Чирков Игорь Викторович</t>
  </si>
  <si>
    <t>1312 ИП Гусаров Александр Николаевич</t>
  </si>
  <si>
    <t>1379 ИП Петушков Леонид Анатольевич</t>
  </si>
  <si>
    <t>1425 ИП Грушина Марина Евгеньевна</t>
  </si>
  <si>
    <t>1497 ООО "ВЛАДИНТЕРЛЕС-ЦЕНТР"</t>
  </si>
  <si>
    <t>1929 ИП Скоков Максим Владимирович</t>
  </si>
  <si>
    <t>1995 ООО "СОФТЛЕС"</t>
  </si>
  <si>
    <t>2156 ИП Панфилов Сергей Евгеньевич</t>
  </si>
  <si>
    <t>2252 ИП Мотрук Вячеслав Петрович</t>
  </si>
  <si>
    <t>2593 ООО"ЗАКАТ-2"</t>
  </si>
  <si>
    <t>2745 ООО"ИНТЕР"</t>
  </si>
  <si>
    <t>2829 ООО "ИНСТРУМЕНТАЛЬНЫЙ МИР"</t>
  </si>
  <si>
    <t>2839 ООО "ИМКОМ-СЕРВИС"</t>
  </si>
  <si>
    <t>2899 ИП Бурчик Валерия Валентиновна</t>
  </si>
  <si>
    <t>3875 ООО "МАСТЕР-САД"</t>
  </si>
  <si>
    <t>3877 ООО"100 ПИЛ"</t>
  </si>
  <si>
    <t>3897 ООО"ВИРА"</t>
  </si>
  <si>
    <t>4266 ООО "АПЕЛЬСИНКА"</t>
  </si>
  <si>
    <t>4298 ООО "ВАШ ИНСТРУМЕНТ"</t>
  </si>
  <si>
    <t>4555 ООО ФИРМА "ВЛАДИМИР-ИНСТРУМЕНТ"</t>
  </si>
  <si>
    <t>4634 ООО"МАСТАК-СЕРВИС"</t>
  </si>
  <si>
    <t>4665 ИП Ивашкин Игорь Геннадьевич</t>
  </si>
  <si>
    <t>4673 ИП Чайковская Анна Михайловна</t>
  </si>
  <si>
    <t>4784 ООО "СЕЛЛЕР"</t>
  </si>
  <si>
    <t>4788 ООО"ЭЛБИ"</t>
  </si>
  <si>
    <t>4844 ООО "АВГУР"</t>
  </si>
  <si>
    <t>4879 ООО "РЕМСАД"</t>
  </si>
  <si>
    <t>4911 ООО "МАСТЕР-СЕРВИС"</t>
  </si>
  <si>
    <t>4917 ООО "РЕГИОН ТРЕЙД"</t>
  </si>
  <si>
    <t>4929 ООО "ТРЕЙД ЭКСПЕРТ"</t>
  </si>
  <si>
    <t>4959 ИП Шнайдер Илья Михайлович</t>
  </si>
  <si>
    <t>4962 ИП Кузнецова Наталья Павловна</t>
  </si>
  <si>
    <t>4973 ИП Батров Николай Александрович</t>
  </si>
  <si>
    <t>5068 ООО "ДЯДЬКО"</t>
  </si>
  <si>
    <t>5086 ИП Бабушкин Евгений Владимирович</t>
  </si>
  <si>
    <t>5087 ИП Новинская Дарья Игоревна</t>
  </si>
  <si>
    <t>5094 ИП Даньшин Александр Иванович</t>
  </si>
  <si>
    <t>5154 ООО "ТЕХНОЛОГИСТИКС"</t>
  </si>
  <si>
    <t>5225 ООО "ТЕРЦИЯ"</t>
  </si>
  <si>
    <t>5270 ООО "ПРОФ-ИНСТРУМЕНТЫ"</t>
  </si>
  <si>
    <t>5277 ООО "СИСТЕМНЫЙ СПЕЦИАЛИСТ"</t>
  </si>
  <si>
    <t>5735 ИП Бирюков Сергей Викторович</t>
  </si>
  <si>
    <t>5737 ООО "СНАБЖЕНИЕ 24"</t>
  </si>
  <si>
    <t>5916 ИП Федотов Алексей Сергеевич</t>
  </si>
  <si>
    <t>6079 ООО "ПРАЙМ"</t>
  </si>
  <si>
    <t>ДСП</t>
  </si>
  <si>
    <t>1117 ООО НПП "ЛЕСПРОМСЕРВИС"</t>
  </si>
  <si>
    <t>КОРНИЛИН ИЛЬЯ</t>
  </si>
  <si>
    <t>1307 ООО "АЛЬТУС"</t>
  </si>
  <si>
    <t>1329 ИП Тихонов Алексей Валерьевич</t>
  </si>
  <si>
    <t>2137 ООО "ИЖЛЕССЕРВИС"</t>
  </si>
  <si>
    <t>2382 ООО "СОДРУЖЕСТВО - 1"</t>
  </si>
  <si>
    <t>2631 ИП Бидненко Александр Станиславович</t>
  </si>
  <si>
    <t>2632 ИП Бидненко Людмила Андреевна</t>
  </si>
  <si>
    <t>2635 ООО "ПРОФПАРКСЕРВИС"</t>
  </si>
  <si>
    <t>2643 ООО "АРСЕНАЛ"</t>
  </si>
  <si>
    <t>2663 ИП Ащепкова Лидия Васильевна</t>
  </si>
  <si>
    <t>2664 ИП Ушкалов Дмитрий Славиевич</t>
  </si>
  <si>
    <t>2703 ИП Евдокимов Александр Сергеевич</t>
  </si>
  <si>
    <t>2706 ИП Кротов Анатолий Владимирович</t>
  </si>
  <si>
    <t>2709 ИП Тимошкин Сергей Николаевич</t>
  </si>
  <si>
    <t>2724 ООО "СПЕЦИАЛИСТ"</t>
  </si>
  <si>
    <t>2731 ООО "АГРОТОРГСЕРВИС"</t>
  </si>
  <si>
    <t>2840 ООО "ТМК ОПТТОРГ"</t>
  </si>
  <si>
    <t>2859 ИП Шихарев Андриан Олегович</t>
  </si>
  <si>
    <t>2862 ИП Ведехин Михаил Анатольевич</t>
  </si>
  <si>
    <t>2863 ИП Котков Сергей Юрьевич</t>
  </si>
  <si>
    <t>2871 ИП Федосеев Евгений Иванович</t>
  </si>
  <si>
    <t>2888 ООО ТК "ИНСТРУМЕНТ"</t>
  </si>
  <si>
    <t>2891 ИП Загребина Ольга Геннадьевна</t>
  </si>
  <si>
    <t>2962 ООО"ЭНТУЗИАСТ-С"</t>
  </si>
  <si>
    <t>3716 ИП Смирнов Олег Петрович</t>
  </si>
  <si>
    <t>3734 ИП Бустеряков Сергей Иванович</t>
  </si>
  <si>
    <t>3736 ИП Галиуллин Айрат Ренатович</t>
  </si>
  <si>
    <t>3738 ООО "ПРОФТУЛЗ"</t>
  </si>
  <si>
    <t>3752 ООО "ПРИЗМА"</t>
  </si>
  <si>
    <t>3776 ИП Касимов Руслан Нурисламович</t>
  </si>
  <si>
    <t>3822 ООО "АГРОТОРГ"</t>
  </si>
  <si>
    <t>3823 ООО "БЕНЗОИНСТРУМЕНТ"</t>
  </si>
  <si>
    <t>3829 ИП Захаров Игорь Анатольевич</t>
  </si>
  <si>
    <t>3830 ООО "ДРОВОСЕК"</t>
  </si>
  <si>
    <t>3866 ИП Рыгалов Сергей Викторович</t>
  </si>
  <si>
    <t>3873 ООО "ПРОФИНСТРУМЕНТ"</t>
  </si>
  <si>
    <t>3878 ИП Долгих Александр Павлович</t>
  </si>
  <si>
    <t>4327 ИП Хавронин Михаил Евгеньевич</t>
  </si>
  <si>
    <t>4330 ООО "СВОЙ ДОМ-НН"</t>
  </si>
  <si>
    <t>4517 ООО "СЕРВИС-ЛЕС"</t>
  </si>
  <si>
    <t>4556 ИП Стройло Николай Максимович</t>
  </si>
  <si>
    <t>4595 ООО "НАСОС-СЕРВИС"</t>
  </si>
  <si>
    <t>4632 ООО "ПРОГРЕСС-М"</t>
  </si>
  <si>
    <t>4659 ООО "СТРОЙ-ИНСТРУМЕНТ"</t>
  </si>
  <si>
    <t>4674 ИП Годунов Алексей Александрович</t>
  </si>
  <si>
    <t>4779 ИП Сибрин Олег Вячеславович</t>
  </si>
  <si>
    <t>4833 ООО "ТАНДЕМ СЕРВИС"</t>
  </si>
  <si>
    <t>4849 ООО "ТИТАН-СТРОЙ"</t>
  </si>
  <si>
    <t>4859 ИП Матюков Виталий Владимирович</t>
  </si>
  <si>
    <t>4860 ООО "БЕЛПТС"</t>
  </si>
  <si>
    <t>4880 ООО "ТЕХСНАБКОМПЛЕКТ"</t>
  </si>
  <si>
    <t>4920 ИП Васильев Сергей Анатольевич</t>
  </si>
  <si>
    <t>4964 ИП Шевелев Сергей Яковлевич</t>
  </si>
  <si>
    <t>4966 ИП Голубов Виталий Григорьевич</t>
  </si>
  <si>
    <t>4979 ООО «СТРОЙЛОН»</t>
  </si>
  <si>
    <t>4980 ИП Гордеев Александр Константинович</t>
  </si>
  <si>
    <t>4993 ООО "МЕГАФОРС"</t>
  </si>
  <si>
    <t>4994 ООО "ЛЕС ПАРК САД"</t>
  </si>
  <si>
    <t>5081 ООО "ТОРГОВО-СЕРВИСНЫЙ ЦЕНТР"</t>
  </si>
  <si>
    <t>5091 ИП Мурадян Станислав Сергеевич</t>
  </si>
  <si>
    <t>5166 ИП Поляков Сергей Петрович</t>
  </si>
  <si>
    <t>5272 ИП Никитина Наталья Владимировна</t>
  </si>
  <si>
    <t>5710 ООО "ТЕХНИКА БЕЛОГОРЬЯ"</t>
  </si>
  <si>
    <t>5719 ООО "ИНСТРУМЕНТ СЕРВИС"</t>
  </si>
  <si>
    <t>5729 ООО "РЕВАНШ"</t>
  </si>
  <si>
    <t>5739 ИП Спицин Владимир Викторович</t>
  </si>
  <si>
    <t>6037 ООО "ТД Арсенал"</t>
  </si>
  <si>
    <t>6146 ИП Матвеенко Вера Викторовна</t>
  </si>
  <si>
    <t>1175 ООО "ВОКА И К"</t>
  </si>
  <si>
    <t>1192 ИП Альбаева Гульсария Муталиповна</t>
  </si>
  <si>
    <t>1196 ООО "ЭКОЛАНД"</t>
  </si>
  <si>
    <t>1269 ИП Муромцев Алексей Александрович</t>
  </si>
  <si>
    <t>1365 ООО "КОМПАНИЯ "ИНСТРУМЕНТАЛ"</t>
  </si>
  <si>
    <t>1471 АО"ИНТЕРИНСТРУМЕНТ-КОМПЛЕКТСЕРВИС"</t>
  </si>
  <si>
    <t>1982 ИП Гаген Владимир Павлович</t>
  </si>
  <si>
    <t>1984 ИП Тельнов Владимир Александрович</t>
  </si>
  <si>
    <t>2172 ИП Стоценко Олег Леонидович</t>
  </si>
  <si>
    <t>2229 ООО "РОТОР"</t>
  </si>
  <si>
    <t>2354 ООО "ИК ЭНКОР"</t>
  </si>
  <si>
    <t>2577 ИП Шипилов Александр Юрьевич</t>
  </si>
  <si>
    <t>2609 ИП Сычев Сергей Иванович</t>
  </si>
  <si>
    <t>2732 ООО "АРСЕНАЛ"</t>
  </si>
  <si>
    <t>2785 ИП Проничкин Геннадий Владимирович</t>
  </si>
  <si>
    <t>2892 ООО "ДОМ И САД"</t>
  </si>
  <si>
    <t>2911 ИП Осипян Виктор Навасартович</t>
  </si>
  <si>
    <t>2912 ИП Лавриненко Татьяна Ивановна</t>
  </si>
  <si>
    <t>2927 ИП Сименихин Александр Владимирович</t>
  </si>
  <si>
    <t>2971 ИП Иванов Владислав Анатольевич</t>
  </si>
  <si>
    <t>2972 ООО "КАВИНТЕХСТРОЙ"</t>
  </si>
  <si>
    <t>3587 ООО "ЭТК"</t>
  </si>
  <si>
    <t>3641 ООО "ТВИНС"</t>
  </si>
  <si>
    <t>3684 ИП Мищенко Софья Валерьевна</t>
  </si>
  <si>
    <t>3687 ООО "ТЕХНИКА"</t>
  </si>
  <si>
    <t>3753 ИП Иушина Людмила Викторовна</t>
  </si>
  <si>
    <t>3765 ООО "ТЕХНОПАРК"</t>
  </si>
  <si>
    <t>3809 ИП Харченко Евгений Вадимович</t>
  </si>
  <si>
    <t>3838 ООО "ТД ПРОМКОМПЛЕКТ"</t>
  </si>
  <si>
    <t>3840 ООО "ДУМЕКО ВЕРКЦОЙГЕ"</t>
  </si>
  <si>
    <t>4301 ИП Сивцев Ростислав Николаевич</t>
  </si>
  <si>
    <t>4306 ООО "ТД "БАКАУТ"</t>
  </si>
  <si>
    <t>4586 ЗАО КПК "СТАВРОПОЛЬСТРОЙОПТОРГ"</t>
  </si>
  <si>
    <t>4587 ИП Курочкин Александр Викторович</t>
  </si>
  <si>
    <t>4588 ИП Губарьков Владимир Валентинович</t>
  </si>
  <si>
    <t>4593 ООО "КРОВЕЛЬНЫЕ СИСТЕМЫ"</t>
  </si>
  <si>
    <t>4661 ООО "ТЕХНО-ЮНИОН"</t>
  </si>
  <si>
    <t>4780 ООО "К-МТ"</t>
  </si>
  <si>
    <t>4782 ИП Чиркин Сергей Вячеславович</t>
  </si>
  <si>
    <t>4817 ООО "КАРАВАЙ"</t>
  </si>
  <si>
    <t>4865 ООО "ВОРК"</t>
  </si>
  <si>
    <t>4871 ИП Перхун Александр Викторович</t>
  </si>
  <si>
    <t>4876 ИП Голощук Александр Анатольевич</t>
  </si>
  <si>
    <t>4889 ООО "СК СЛАВЯНЕ"</t>
  </si>
  <si>
    <t>4898 ИП Сычев Дмитрий Александрович</t>
  </si>
  <si>
    <t>4899 ИП Самарченко Дмитрий Александрович</t>
  </si>
  <si>
    <t>4904 ООО "ТЕХНО СЕРВИС"</t>
  </si>
  <si>
    <t>4906 ИП Мизев Сергей Семенович</t>
  </si>
  <si>
    <t>4908 ООО "ЭВЕРЕСТ-СЕРВИС"</t>
  </si>
  <si>
    <t>4951 ООО "СТРОЙ-ОПТ"</t>
  </si>
  <si>
    <t>4981 ИП Стоценко Светлана Михайловна</t>
  </si>
  <si>
    <t>4986 ИП Сафонкин Владимир Петрович</t>
  </si>
  <si>
    <t>4998 ООО "Авгит-Инструмент"</t>
  </si>
  <si>
    <t>4999 ИП Голощук Дмитрий Александрович</t>
  </si>
  <si>
    <t>5071 ООО "ЭГОПЛАСТ"</t>
  </si>
  <si>
    <t>5079 ООО "ПРОФИТРЕЙДИНГ"</t>
  </si>
  <si>
    <t>5084 ООО "ВЕРСТАК"</t>
  </si>
  <si>
    <t>5099 ООО "ПОДНЕБЕСЬЕ-ЮГ"</t>
  </si>
  <si>
    <t>5186 ООО "КПД+"</t>
  </si>
  <si>
    <t>5610 ИП Камашина Евгения Михайловна</t>
  </si>
  <si>
    <t>5703 ИП Семенов Алексей Юрьевич</t>
  </si>
  <si>
    <t>5711 ООО "БАКАУТ-Н"</t>
  </si>
  <si>
    <t>5726 ООО "ЮГ-ТЕХНО"</t>
  </si>
  <si>
    <t>5757 ООО "БАКАУТ"</t>
  </si>
  <si>
    <t>5763 ООО "Д СЕРВИС"</t>
  </si>
  <si>
    <t>5791 ИП Павлов Евгений Александрович</t>
  </si>
  <si>
    <t>5920 ООО «ХОПЕР ИНСТРУМЕНТ»</t>
  </si>
  <si>
    <t>6039 ИП Баранов Виталий Сергеевич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</si>
  <si>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</si>
  <si>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</si>
  <si>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</si>
  <si>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</si>
  <si>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</si>
  <si>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</si>
  <si>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</si>
  <si>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</si>
  <si>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</si>
  <si>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</si>
  <si>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</si>
  <si>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</si>
  <si>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</si>
  <si>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</si>
  <si>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</si>
  <si>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</si>
  <si>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</si>
  <si>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</si>
  <si>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</si>
  <si>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</si>
  <si>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</si>
  <si>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</si>
  <si>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</si>
  <si>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</si>
  <si>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</si>
  <si>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</si>
  <si>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</si>
  <si>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</si>
  <si>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</si>
  <si>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</si>
  <si>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</si>
  <si>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</si>
  <si>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</si>
  <si>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</si>
  <si>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</si>
  <si>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</si>
  <si>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</si>
  <si>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</si>
  <si>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</si>
  <si>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</si>
  <si>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</si>
  <si>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</si>
  <si>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</si>
  <si>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</si>
  <si>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</si>
  <si>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</si>
  <si>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</si>
  <si>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</si>
  <si>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</si>
  <si>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</si>
  <si>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</si>
  <si>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</si>
  <si>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</si>
  <si>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</si>
  <si>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</si>
  <si>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</si>
  <si>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</si>
  <si>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</si>
  <si>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</si>
  <si>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</si>
  <si>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</si>
  <si>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</si>
  <si>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</si>
  <si>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</si>
  <si>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</si>
  <si>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</si>
  <si>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</si>
  <si>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</si>
  <si>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</si>
  <si>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</si>
  <si>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</si>
  <si>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</si>
  <si>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</si>
  <si>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</si>
  <si>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</si>
  <si>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</si>
  <si>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</si>
  <si>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</si>
  <si>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</si>
  <si>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</si>
  <si>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</si>
  <si>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</si>
  <si>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</si>
  <si>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</si>
  <si>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</si>
  <si>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</si>
  <si>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</si>
  <si>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</si>
  <si>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</si>
  <si>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</si>
  <si>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</si>
  <si>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</si>
  <si>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</si>
  <si>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</si>
  <si>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</si>
  <si>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</si>
  <si>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</si>
  <si>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</si>
  <si>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</si>
  <si>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</si>
  <si>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</si>
  <si>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</si>
  <si>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</si>
  <si>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</si>
  <si>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</si>
  <si>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</si>
  <si>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</si>
  <si>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</si>
  <si>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</si>
  <si>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</si>
  <si>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</si>
  <si>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</si>
  <si>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</si>
  <si>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</si>
  <si>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</si>
  <si>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</si>
  <si>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</si>
  <si>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</si>
  <si>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</si>
  <si>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</si>
  <si>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</si>
  <si>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</si>
  <si>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</si>
  <si>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</si>
  <si>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</si>
  <si>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</si>
  <si>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</si>
  <si>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</si>
  <si>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</si>
  <si>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</si>
  <si>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</si>
  <si>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</si>
  <si>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</si>
  <si>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</si>
  <si>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</si>
  <si>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</si>
  <si>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</si>
  <si>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</si>
  <si>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</si>
  <si>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</si>
  <si>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</si>
  <si>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</si>
  <si>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</si>
  <si>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</si>
  <si>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</si>
  <si>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</si>
  <si>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</si>
  <si>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</si>
  <si>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</si>
  <si>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</si>
  <si>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</si>
  <si>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</si>
  <si>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</si>
  <si>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</si>
  <si>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</si>
  <si>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</si>
  <si>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</si>
  <si>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</si>
  <si>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</si>
  <si>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</si>
  <si>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</si>
  <si>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</si>
  <si>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</si>
  <si>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</si>
  <si>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</si>
  <si>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</si>
  <si>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</si>
  <si>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</si>
  <si>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</si>
  <si>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</si>
  <si>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</si>
  <si>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</si>
  <si>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</si>
  <si>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</si>
  <si>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</si>
  <si>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</si>
  <si>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</si>
  <si>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</si>
  <si>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</si>
  <si>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</si>
  <si>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</si>
  <si>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</si>
  <si>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</si>
  <si>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</si>
  <si>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</si>
  <si>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</si>
  <si>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</si>
  <si>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</si>
  <si>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</si>
  <si>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</si>
  <si>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</si>
  <si>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</si>
  <si>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</si>
  <si>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</si>
  <si>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</si>
  <si>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</si>
  <si>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</si>
  <si>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</si>
  <si>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</si>
  <si>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</si>
  <si>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</si>
  <si>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</si>
  <si>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</si>
  <si>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</si>
  <si>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</si>
  <si>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</si>
  <si>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</si>
  <si>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</si>
  <si>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</si>
  <si>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</si>
  <si>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</si>
  <si>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</si>
  <si>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</si>
  <si>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</si>
  <si>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</si>
  <si>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</si>
  <si>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</si>
  <si>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</si>
  <si>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</si>
  <si>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</si>
  <si>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</si>
  <si>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</si>
  <si>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</si>
  <si>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</si>
  <si>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</si>
  <si>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</si>
  <si>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</si>
  <si>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</si>
  <si>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</si>
  <si>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</si>
  <si>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</si>
  <si>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</si>
  <si>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</si>
  <si>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</si>
  <si>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</si>
  <si>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</si>
  <si>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</si>
  <si>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</si>
  <si>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</si>
  <si>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</si>
  <si>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</si>
  <si>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</si>
  <si>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</si>
  <si>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</si>
  <si>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</si>
  <si>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</si>
  <si>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</si>
  <si>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</si>
  <si>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</si>
  <si>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</si>
  <si>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</si>
  <si>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</si>
  <si>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</si>
  <si>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</si>
  <si>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</si>
  <si>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</si>
  <si>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</si>
  <si>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</si>
  <si>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</si>
  <si>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</si>
  <si>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</si>
  <si>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</si>
  <si>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</si>
  <si>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</si>
  <si>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</si>
  <si>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</si>
  <si>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</si>
  <si>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</si>
  <si>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</si>
  <si>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</si>
  <si>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</si>
  <si>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</si>
  <si>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</si>
  <si>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</si>
  <si>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</si>
  <si>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</si>
  <si>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</si>
  <si>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</si>
  <si>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</si>
  <si>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</si>
  <si>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</si>
  <si>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</si>
  <si>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</si>
  <si>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</si>
  <si>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</si>
  <si>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</si>
  <si>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</si>
  <si>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</si>
  <si>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</si>
  <si>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</si>
  <si>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</si>
  <si>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</si>
  <si>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</si>
  <si>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</si>
  <si>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</si>
  <si>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</si>
  <si>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</si>
  <si>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</si>
  <si>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</si>
  <si>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</si>
  <si>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</si>
  <si>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</si>
  <si>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</si>
  <si>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</si>
  <si>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</si>
  <si>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</si>
  <si>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</si>
  <si>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</si>
  <si>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</si>
  <si>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</si>
  <si>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</si>
  <si>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</si>
  <si>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</si>
  <si>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</si>
  <si>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</si>
  <si>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</si>
  <si>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</si>
  <si>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</si>
  <si>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</si>
  <si>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</si>
  <si>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</si>
  <si>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</si>
  <si>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</si>
  <si>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</si>
  <si>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</si>
  <si>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</si>
  <si>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</si>
  <si>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</si>
  <si>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</si>
  <si>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</si>
  <si>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</si>
  <si>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</si>
  <si>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</si>
  <si>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</si>
  <si>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</si>
  <si>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</si>
  <si>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</si>
  <si>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</si>
  <si>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</si>
  <si>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</si>
  <si>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</si>
  <si>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</si>
  <si>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</si>
  <si>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</si>
  <si>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</si>
  <si>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</si>
  <si>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</si>
  <si>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</si>
  <si>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</si>
  <si>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</si>
  <si>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</si>
  <si>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</si>
  <si>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</si>
  <si>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</si>
  <si>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</si>
  <si>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</si>
  <si>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</si>
  <si>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</si>
  <si>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</si>
  <si>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</si>
  <si>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</si>
  <si>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</si>
  <si>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</si>
  <si>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</si>
  <si>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</si>
  <si>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</si>
  <si>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</si>
  <si>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</si>
  <si>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</si>
  <si>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</si>
  <si>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</si>
  <si>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</si>
  <si>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</si>
  <si>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</si>
  <si>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</si>
  <si>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</si>
  <si>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</si>
  <si>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</si>
  <si>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</si>
  <si>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</si>
  <si>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</si>
  <si>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</si>
  <si>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</si>
  <si>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</si>
  <si>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</si>
  <si>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</si>
  <si>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</si>
  <si>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</si>
  <si>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</si>
  <si>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</si>
  <si>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</si>
  <si>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</si>
  <si>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</si>
  <si>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</si>
  <si>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</si>
  <si>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</si>
  <si>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</si>
  <si>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</si>
  <si>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</si>
  <si>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</si>
  <si>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</si>
  <si>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</si>
  <si>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</si>
  <si>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</si>
  <si>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</si>
  <si>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</si>
  <si>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</si>
  <si>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</si>
  <si>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</si>
  <si>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</si>
  <si>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</si>
  <si>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</si>
  <si>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</si>
  <si>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</si>
  <si>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</si>
  <si>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</si>
  <si>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</si>
  <si>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</si>
  <si>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</si>
  <si>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</si>
  <si>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</si>
  <si>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</si>
  <si>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</si>
  <si>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</si>
  <si>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</si>
  <si>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</si>
  <si>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</si>
  <si>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</si>
  <si>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</si>
  <si>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</si>
  <si>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</si>
  <si>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</si>
  <si>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</si>
  <si>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</si>
  <si>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</si>
  <si>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</si>
  <si>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</si>
  <si>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</si>
  <si>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</si>
  <si>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ДДП</t>
  </si>
  <si>
    <t>ДДЦК</t>
  </si>
  <si>
    <t>ДДЦО</t>
  </si>
  <si>
    <t>СДК</t>
  </si>
  <si>
    <t>ПЕЛЕВИН ИЛЬЯ</t>
  </si>
  <si>
    <t>СДБ</t>
  </si>
  <si>
    <t>Доставка товара до склада покупателя по территории РФ бесплатно</t>
  </si>
  <si>
    <t xml:space="preserve">Дата обновления: </t>
  </si>
  <si>
    <t>Срок действия: до дополнительного уведомления</t>
  </si>
  <si>
    <t>141400, Московская область, г.Химки, ул. Ленинградская, владение 39, строение 6, помещение №ОВ02_04.Химки-Бизнес Парк".</t>
  </si>
  <si>
    <t>тел.: (495)797-2654, 797-2670, 797-2671, 797-2673;  факс: (495) 797-26-72</t>
  </si>
  <si>
    <t>Телефон «горячей линии»  8-800-200-1962,  www.GARDENA.ru</t>
  </si>
  <si>
    <r>
      <rPr>
        <b/>
        <sz val="12"/>
        <color rgb="FFFF0000"/>
        <rFont val="Calibri"/>
        <family val="2"/>
        <charset val="204"/>
        <scheme val="minor"/>
      </rPr>
      <t>* Товар в ограниченном кол-ве отмечен колонке X и выделен красным шрифтом</t>
    </r>
    <r>
      <rPr>
        <sz val="12"/>
        <rFont val="Calibri"/>
        <family val="2"/>
        <scheme val="minor"/>
      </rPr>
      <t xml:space="preserve">
</t>
    </r>
    <r>
      <rPr>
        <b/>
        <sz val="12"/>
        <color rgb="FF7030A0"/>
        <rFont val="Calibri"/>
        <family val="2"/>
        <charset val="204"/>
        <scheme val="minor"/>
      </rPr>
      <t>*Новые продукты 2020 г. имеют статус "Новинка" в колонке X и отмечены фиолетовым шрифтом</t>
    </r>
  </si>
  <si>
    <t>КАТЕГОРИЯ</t>
  </si>
  <si>
    <t>Фото продукта</t>
  </si>
  <si>
    <t>Продукт группа - название</t>
  </si>
  <si>
    <t>Артикул GARDENA</t>
  </si>
  <si>
    <t>Артикул предшествующего продукта (если есть)</t>
  </si>
  <si>
    <t>Описание</t>
  </si>
  <si>
    <t>РРЦ 2020, руб. с НДС</t>
  </si>
  <si>
    <t>EAN штуки</t>
  </si>
  <si>
    <t>страна производства</t>
  </si>
  <si>
    <t>единица измерения</t>
  </si>
  <si>
    <t>кол-во в мастер-паке</t>
  </si>
  <si>
    <t>Вес гросс штуки, финальный</t>
  </si>
  <si>
    <t>Вес нетто штуки, финальный</t>
  </si>
  <si>
    <t>Длина упаковки</t>
  </si>
  <si>
    <t>Ширина упаковки</t>
  </si>
  <si>
    <t>Высота упаковки</t>
  </si>
  <si>
    <t>Объем упаковки</t>
  </si>
  <si>
    <t>Кол-во штук на паллете</t>
  </si>
  <si>
    <t>Сертификация</t>
  </si>
  <si>
    <t>Гарантия</t>
  </si>
  <si>
    <t>РРЦ текущий</t>
  </si>
  <si>
    <t>DIY текущий</t>
  </si>
  <si>
    <t>=[РРЦ]</t>
  </si>
  <si>
    <t>Id</t>
  </si>
  <si>
    <t>Name</t>
  </si>
  <si>
    <t>выбрать значение</t>
  </si>
  <si>
    <t>Планирование бюджета/Обновление бюджета</t>
  </si>
  <si>
    <t>Планирование бюджета</t>
  </si>
  <si>
    <t>Campaign = 0</t>
  </si>
  <si>
    <t>Новый год</t>
  </si>
  <si>
    <t>Campaign != 0</t>
  </si>
  <si>
    <t>Бюджет 2020</t>
  </si>
  <si>
    <t>максмальный годовой бонус, %</t>
  </si>
  <si>
    <t>Decision, за выбранный год. По выбранному клиенту.
Там где Campaign = 0</t>
  </si>
  <si>
    <t>Если месяц закончился то decision</t>
  </si>
  <si>
    <t>Если не закончился, то бюджет</t>
  </si>
  <si>
    <t>Price</t>
  </si>
  <si>
    <t>Количество</t>
  </si>
  <si>
    <t>Годовой бонус</t>
  </si>
  <si>
    <t>Decision, за выбранный год. По выбранному клиенту.
Там где Campaign != 0</t>
  </si>
  <si>
    <t>справочник товаров</t>
  </si>
  <si>
    <t>формула</t>
  </si>
  <si>
    <t>формула, шт. умножить на STK руб</t>
  </si>
  <si>
    <t>формула
= GP% * NS</t>
  </si>
  <si>
    <t>формула = 1 - LC/NS</t>
  </si>
  <si>
    <t>формула
GS/Qty</t>
  </si>
  <si>
    <t>формула
= NS/Qty</t>
  </si>
  <si>
    <t>Справочник цен</t>
  </si>
  <si>
    <t>Формула</t>
  </si>
  <si>
    <t>сумма по  Quantity</t>
  </si>
  <si>
    <t>сумма по  Quantity в decision и qty в бюджете</t>
  </si>
  <si>
    <t>PricelistPriceTotal умножить на количество</t>
  </si>
  <si>
    <t>штуки умножить на price list</t>
  </si>
  <si>
    <t>PricelistPriceTotal умножить на количество минус Bonus</t>
  </si>
  <si>
    <t>берем GS - процент годового бонуса (столбец С)</t>
  </si>
  <si>
    <t>Заполнить вручную</t>
  </si>
  <si>
    <t>штуки умножить на промо price list столбец EK</t>
  </si>
  <si>
    <t>Процент изменения</t>
  </si>
  <si>
    <t>STK 2.5,  Eur</t>
  </si>
  <si>
    <t>Delta, %</t>
  </si>
  <si>
    <t>QTY Act, шт.</t>
  </si>
  <si>
    <t>GS, руб.</t>
  </si>
  <si>
    <t>NS, руб.</t>
  </si>
  <si>
    <t>LC, руб.</t>
  </si>
  <si>
    <t>GP value, руб.</t>
  </si>
  <si>
    <t>GP, %</t>
  </si>
  <si>
    <t xml:space="preserve">ИТОГО Прогноз за год, шт. </t>
  </si>
  <si>
    <t>ИТОГО Прогноз январь, шт.</t>
  </si>
  <si>
    <t>ИТОГО Прогноз февраль, шт.</t>
  </si>
  <si>
    <t>ИТОГО Прогноз март, шт.</t>
  </si>
  <si>
    <t>ИТОГО Прогноз апрель, шт.</t>
  </si>
  <si>
    <t>ИТОГО Прогноз май, шт.</t>
  </si>
  <si>
    <t>ИТОГО Прогноз июнь, шт.</t>
  </si>
  <si>
    <t>ИТОГО Прогноз июль, шт.</t>
  </si>
  <si>
    <t>ИТОГО Прогноз август, шт.</t>
  </si>
  <si>
    <t>ИТОГО Прогноз сентрябрь, шт.</t>
  </si>
  <si>
    <t>ИТОГО Прогноз октябрь, шт.</t>
  </si>
  <si>
    <t>ИТОГО Прогноз ноябрь, шт.</t>
  </si>
  <si>
    <t>ИТОГО Прогноз декабрь, шт.</t>
  </si>
  <si>
    <t>ИТОГО GS за год, руб.</t>
  </si>
  <si>
    <t>ИТОГО GS январь, шт.</t>
  </si>
  <si>
    <t>ИТОГО GS февраль, шт.</t>
  </si>
  <si>
    <t>ИТОГО GS март, шт.</t>
  </si>
  <si>
    <t>ИТОГО GS апрель, шт.</t>
  </si>
  <si>
    <t>ИТОГО GS май, шт.</t>
  </si>
  <si>
    <t>ИТОГО GS июнь, шт.</t>
  </si>
  <si>
    <t>ИТОГО GS июль, шт.</t>
  </si>
  <si>
    <t>ИТОГО GS август, шт.</t>
  </si>
  <si>
    <t>ИТОГО GS сентрябрь, шт.</t>
  </si>
  <si>
    <t>ИТОГО GS октябрь, шт.</t>
  </si>
  <si>
    <t>ИТОГО GS ноябрь, шт.</t>
  </si>
  <si>
    <t>ИТОГО NS за год, руб.</t>
  </si>
  <si>
    <t>ИТОГО NS январь, шт.</t>
  </si>
  <si>
    <t>ИТОГО NS февраль, шт.</t>
  </si>
  <si>
    <t>ИТОГО NS март, шт.</t>
  </si>
  <si>
    <t>ИТОГО NS апрель, шт.</t>
  </si>
  <si>
    <t>ИТОГО NS май, шт.</t>
  </si>
  <si>
    <t>ИТОГО NS июнь, шт.</t>
  </si>
  <si>
    <t>ИТОГО NS июль, шт.</t>
  </si>
  <si>
    <t>ИТОГО NS август, шт.</t>
  </si>
  <si>
    <t>ИТОГО NS сентрябрь, шт.</t>
  </si>
  <si>
    <t>ИТОГО NS октябрь, шт.</t>
  </si>
  <si>
    <t>ИТОГО NS ноябрь, шт.</t>
  </si>
  <si>
    <t>ИТОГО LC за год, руб.</t>
  </si>
  <si>
    <t>ИТОГО LC январь, руб.</t>
  </si>
  <si>
    <t>ИТОГО LC февраль, руб.</t>
  </si>
  <si>
    <t>ИТОГО LC март, руб.</t>
  </si>
  <si>
    <t>ИТОГО LC апрель, руб.</t>
  </si>
  <si>
    <t>ИТОГО LC май, руб.</t>
  </si>
  <si>
    <t>ИТОГО LC июнь, руб.</t>
  </si>
  <si>
    <t>ИТОГО LC июль, руб.</t>
  </si>
  <si>
    <t>ИТОГО LC август, руб.</t>
  </si>
  <si>
    <t>ИТОГО LC сентрябрь, руб.</t>
  </si>
  <si>
    <t>ИТОГО LC октябрь, руб.</t>
  </si>
  <si>
    <t>ИТОГО LC ноябрь, руб.</t>
  </si>
  <si>
    <t>ИТОГО GP value за год, руб.</t>
  </si>
  <si>
    <t>ИТОГО GP value январь, руб.</t>
  </si>
  <si>
    <t>ИТОГО GP value февраль, руб.</t>
  </si>
  <si>
    <t>ИТОГО GP value март, руб.</t>
  </si>
  <si>
    <t>ИТОГО GP value апрель, руб.</t>
  </si>
  <si>
    <t>ИТОГО GP value май, руб.</t>
  </si>
  <si>
    <t>ИТОГО GP value июнь, руб.</t>
  </si>
  <si>
    <t>ИТОГО GP value июль, руб.</t>
  </si>
  <si>
    <t>ИТОГО GP value август, руб.</t>
  </si>
  <si>
    <t>ИТОГО GP value сентрябрь, руб.</t>
  </si>
  <si>
    <t>ИТОГО GP value октябрь, руб.</t>
  </si>
  <si>
    <t>ИТОГО GP value ноябрь, руб.</t>
  </si>
  <si>
    <t>ИТОГО GP % за год</t>
  </si>
  <si>
    <t>ИТОГО GP % январь</t>
  </si>
  <si>
    <t>ИТОГО GP % февраль</t>
  </si>
  <si>
    <t>ИТОГО GP % март</t>
  </si>
  <si>
    <t>ИТОГО GP % апрель</t>
  </si>
  <si>
    <t>ИТОГО GP % май</t>
  </si>
  <si>
    <t>ИТОГО GP % июнь</t>
  </si>
  <si>
    <t>ИТОГО GP % июль</t>
  </si>
  <si>
    <t>ИТОГО GP % август</t>
  </si>
  <si>
    <t>ИТОГО GP % сентрябрь</t>
  </si>
  <si>
    <t>ИТОГО GP % октябрь</t>
  </si>
  <si>
    <t>ИТОГО GP % ноябрь</t>
  </si>
  <si>
    <t>ИТОГО 2 net цена за год</t>
  </si>
  <si>
    <t>ИТОГО 2 net цена январь</t>
  </si>
  <si>
    <t>ИТОГО 2 net цена февраль</t>
  </si>
  <si>
    <t>ИТОГО 2 net цена март</t>
  </si>
  <si>
    <t>ИТОГО 2 net цена апрель</t>
  </si>
  <si>
    <t>ИТОГО 2 net цена май</t>
  </si>
  <si>
    <t>ИТОГО 2 net цена июнь</t>
  </si>
  <si>
    <t>ИТОГО 2 net цена июль</t>
  </si>
  <si>
    <t>ИТОГО 2 net цена август</t>
  </si>
  <si>
    <t>ИТОГО 2 net цена сентрябрь</t>
  </si>
  <si>
    <t>ИТОГО 2 net цена октябрь</t>
  </si>
  <si>
    <t>ИТОГО 2 net цена ноябрь</t>
  </si>
  <si>
    <t>ИТОГО 3 net цена за год</t>
  </si>
  <si>
    <t>ИТОГО 3 net цена январь</t>
  </si>
  <si>
    <t>ИТОГО 3 net цена февраль</t>
  </si>
  <si>
    <t>ИТОГО 3 net цена март</t>
  </si>
  <si>
    <t>ИТОГО 3 net цена апрель</t>
  </si>
  <si>
    <t>ИТОГО 3 net цена май</t>
  </si>
  <si>
    <t>ИТОГО 3 net цена июнь</t>
  </si>
  <si>
    <t>ИТОГО 3 net цена июль</t>
  </si>
  <si>
    <t>ИТОГО 3 net цена август</t>
  </si>
  <si>
    <t>ИТОГО 3 net цена сентрябрь</t>
  </si>
  <si>
    <t>ИТОГО 3 net цена октябрь</t>
  </si>
  <si>
    <t>ИТОГО 3 net цена ноябрь</t>
  </si>
  <si>
    <t>Price list цена, руб.</t>
  </si>
  <si>
    <t>Скидка от РРЦ, %</t>
  </si>
  <si>
    <t xml:space="preserve">Прогноз за год, шт. </t>
  </si>
  <si>
    <t>Прогноз январь, шт.</t>
  </si>
  <si>
    <t>Прогноз февраль, шт.</t>
  </si>
  <si>
    <t>Прогноз март, шт.</t>
  </si>
  <si>
    <t>Прогноз апрель, шт.</t>
  </si>
  <si>
    <t>Прогноз май, шт.</t>
  </si>
  <si>
    <t>Прогноз июнь, шт.</t>
  </si>
  <si>
    <t>Прогноз июль, шт.</t>
  </si>
  <si>
    <t>Прогноз август, шт.</t>
  </si>
  <si>
    <t>Прогноз сентрябрь, шт.</t>
  </si>
  <si>
    <t>Прогноз октябрь, шт.</t>
  </si>
  <si>
    <t>Прогноз ноябрь, шт.</t>
  </si>
  <si>
    <t>Прогноз декабрь, шт.</t>
  </si>
  <si>
    <t>Отличие</t>
  </si>
  <si>
    <t>GS за год, руб.</t>
  </si>
  <si>
    <t>GS январь, руб.</t>
  </si>
  <si>
    <t>GS февраль, руб.</t>
  </si>
  <si>
    <t>GS март, руб.</t>
  </si>
  <si>
    <t>GS апрель, руб.</t>
  </si>
  <si>
    <t>GS май, руб.</t>
  </si>
  <si>
    <t>GS июнь, руб.</t>
  </si>
  <si>
    <t>GS июль, руб.</t>
  </si>
  <si>
    <t>GS август, руб.</t>
  </si>
  <si>
    <t>GS сентрябрь, руб.</t>
  </si>
  <si>
    <t>GS октябрь, руб.</t>
  </si>
  <si>
    <t>GS ноябрь, руб.</t>
  </si>
  <si>
    <t>NS за год, руб.</t>
  </si>
  <si>
    <t>NS январь, руб.</t>
  </si>
  <si>
    <t>NS февраль, руб.</t>
  </si>
  <si>
    <t>NS март, руб.</t>
  </si>
  <si>
    <t>NS апрель, руб.</t>
  </si>
  <si>
    <t>NS май, руб.</t>
  </si>
  <si>
    <t>NS июнь, руб.</t>
  </si>
  <si>
    <t>NS июль, руб.</t>
  </si>
  <si>
    <t>NS август, руб.</t>
  </si>
  <si>
    <t>NS сентрябрь, руб.</t>
  </si>
  <si>
    <t>NS октябрь, руб.</t>
  </si>
  <si>
    <t>NS ноябрь, руб.</t>
  </si>
  <si>
    <t>NS декабрь, шт.</t>
  </si>
  <si>
    <t>Промо цена, руб.</t>
  </si>
  <si>
    <t>скидка от Price list цены, %</t>
  </si>
  <si>
    <t xml:space="preserve">Промо прогноз за год, шт. </t>
  </si>
  <si>
    <t>Промо прогноз январь, шт.</t>
  </si>
  <si>
    <t>Промо прогноз февраль, шт.</t>
  </si>
  <si>
    <t>Промо прогноз март, шт.</t>
  </si>
  <si>
    <t>Промо прогноз апрель, шт.</t>
  </si>
  <si>
    <t>Промо прогноз май, шт.</t>
  </si>
  <si>
    <t>Промо прогноз июнь, шт.</t>
  </si>
  <si>
    <t>Промо прогноз июль, шт.</t>
  </si>
  <si>
    <t>Промо прогноз август, шт.</t>
  </si>
  <si>
    <t>Промо прогноз сентрябрь, шт.</t>
  </si>
  <si>
    <t>Промо прогноз октябрь, шт.</t>
  </si>
  <si>
    <t>Промо прогноз ноябрь, шт.</t>
  </si>
  <si>
    <t>Промо прогноз декабрь, шт.</t>
  </si>
  <si>
    <t>Промо GS за год, руб.</t>
  </si>
  <si>
    <t>Промо GS январь, руб.</t>
  </si>
  <si>
    <t>Промо GS февраль, руб.</t>
  </si>
  <si>
    <t>Промо GS март, руб.</t>
  </si>
  <si>
    <t>Промо GS апрель, руб.</t>
  </si>
  <si>
    <t>Промо GS май, руб.</t>
  </si>
  <si>
    <t>Промо GS июнь, руб.</t>
  </si>
  <si>
    <t>Промо GS июль, руб.</t>
  </si>
  <si>
    <t>Промо GS август, руб.</t>
  </si>
  <si>
    <t>Промо GS сентрябрь, руб.</t>
  </si>
  <si>
    <t>Промо GS октябрь, руб.</t>
  </si>
  <si>
    <t>Промо GS ноябрь, руб.</t>
  </si>
  <si>
    <t>Промо NS за год, руб.</t>
  </si>
  <si>
    <t>Промо NS январь, руб.</t>
  </si>
  <si>
    <t>Промо NS февраль, руб.</t>
  </si>
  <si>
    <t>Промо NS март, руб.</t>
  </si>
  <si>
    <t>Промо NS апрель, руб.</t>
  </si>
  <si>
    <t>Промо NS май, руб.</t>
  </si>
  <si>
    <t>Промо NS июнь, руб.</t>
  </si>
  <si>
    <t>Промо NS июль, руб.</t>
  </si>
  <si>
    <t>Промо NS август, руб.</t>
  </si>
  <si>
    <t>Промо NS сентрябрь, руб.</t>
  </si>
  <si>
    <t>Промо NS октябрь, руб.</t>
  </si>
  <si>
    <t>Промо NS ноябрь, руб.</t>
  </si>
  <si>
    <t>РРЦ, руб.с НДС2</t>
  </si>
  <si>
    <t>Delta, %3</t>
  </si>
  <si>
    <t>Столбец4</t>
  </si>
  <si>
    <t>Price list цена, руб.5</t>
  </si>
  <si>
    <t>Скидка от РРЦ, %6</t>
  </si>
  <si>
    <t>Прогноз за год, шт. 7</t>
  </si>
  <si>
    <t>Прогноз январь, шт.8</t>
  </si>
  <si>
    <t>Прогноз февраль, шт.9</t>
  </si>
  <si>
    <t>Прогноз март, шт.10</t>
  </si>
  <si>
    <t>Прогноз апрель, шт.11</t>
  </si>
  <si>
    <t>Прогноз май, шт.12</t>
  </si>
  <si>
    <t>Прогноз июнь, шт.13</t>
  </si>
  <si>
    <t>Прогноз июль, шт.14</t>
  </si>
  <si>
    <t>Прогноз август, шт.15</t>
  </si>
  <si>
    <t>Прогноз сентрябрь, шт.16</t>
  </si>
  <si>
    <t>Прогноз октябрь, шт.17</t>
  </si>
  <si>
    <t>Прогноз ноябрь, шт.18</t>
  </si>
  <si>
    <t>Прогноз декабрь, шт.19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</si>
</sst>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\ _р_._-;\-* #,##0.00\ _р_._-;_-* &quot;-&quot;??\ _р_._-;_-@_-"/>
    <numFmt numFmtId="165" formatCode="_-* #,##0\ _р_._-;\-* #,##0\ _р_._-;_-* &quot;-&quot;??\ _р_._-;_-@_-"/>
    <numFmt numFmtId="166" formatCode="_-* #,##0.00\ _₽_-;\-* #,##0.00\ _₽_-;_-* &quot;-&quot;??\ _₽_-;_-@_-"/>
    <numFmt numFmtId="167" formatCode="_-* #,##0\ _₽_-;\-* #,##0\ _₽_-;_-* &quot;-&quot;??\ _₽_-;_-@_-"/>
  </numFmts>
  <fonts count="17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12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Calibri"/>
      <family val="2"/>
      <scheme val="minor"/>
    </font>
    <font>
      <b/>
      <sz val="12"/>
      <color rgb="FF0070C0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b/>
      <sz val="12"/>
      <color rgb="FF7030A0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" fillId="0" borderId="0"/>
    <xf numFmtId="166" fontId="8" fillId="0" borderId="0" applyFont="0" applyFill="0" applyBorder="0" applyAlignment="0" applyProtection="0"/>
    <xf numFmtId="0" fontId="15" fillId="6" borderId="4" applyNumberFormat="0" applyAlignment="0" applyProtection="0"/>
  </cellStyleXfs>
  <cellXfs count="105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165" fontId="0" fillId="0" borderId="0" xfId="1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 wrapText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2" fontId="2" fillId="2" borderId="2" xfId="0" applyNumberFormat="1" applyFont="1" applyFill="1" applyBorder="1" applyAlignment="1">
      <alignment horizontal="center" vertical="center" wrapText="1"/>
    </xf>
    <xf numFmtId="14" fontId="2" fillId="2" borderId="3" xfId="0" applyNumberFormat="1" applyFont="1" applyFill="1" applyBorder="1" applyAlignment="1">
      <alignment horizontal="center" vertical="center" wrapText="1"/>
    </xf>
    <xf numFmtId="9" fontId="0" fillId="0" borderId="0" xfId="2" applyFont="1" applyAlignment="1">
      <alignment horizontal="center" vertical="center"/>
    </xf>
    <xf numFmtId="9" fontId="0" fillId="0" borderId="0" xfId="2" applyFont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2" fontId="2" fillId="2" borderId="3" xfId="2" applyNumberFormat="1" applyFont="1" applyFill="1" applyBorder="1" applyAlignment="1">
      <alignment horizontal="center" vertical="center" wrapText="1"/>
    </xf>
    <xf numFmtId="0" fontId="0" fillId="0" borderId="0" xfId="0" applyFill="1" applyBorder="1"/>
    <xf numFmtId="49" fontId="0" fillId="0" borderId="0" xfId="0" applyNumberFormat="1" applyFill="1" applyBorder="1" applyAlignment="1">
      <alignment horizontal="center" vertical="center" wrapText="1"/>
    </xf>
    <xf numFmtId="49" fontId="0" fillId="0" borderId="0" xfId="0" applyNumberFormat="1" applyFill="1" applyBorder="1" applyAlignment="1">
      <alignment horizontal="center"/>
    </xf>
    <xf numFmtId="1" fontId="0" fillId="0" borderId="0" xfId="0" applyNumberFormat="1"/>
    <xf numFmtId="9" fontId="0" fillId="0" borderId="0" xfId="0" applyNumberFormat="1"/>
    <xf numFmtId="49" fontId="0" fillId="0" borderId="0" xfId="0" quotePrefix="1" applyNumberFormat="1"/>
    <xf numFmtId="0" fontId="0" fillId="0" borderId="0" xfId="0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4" fillId="0" borderId="0" xfId="0" applyNumberFormat="1" applyFont="1" applyFill="1" applyAlignment="1">
      <alignment horizontal="left" vertical="center" wrapText="1"/>
    </xf>
    <xf numFmtId="0" fontId="4" fillId="0" borderId="0" xfId="0" applyFont="1" applyFill="1" applyAlignment="1">
      <alignment horizontal="center" vertical="center" wrapText="1"/>
    </xf>
    <xf numFmtId="49" fontId="4" fillId="0" borderId="0" xfId="0" applyNumberFormat="1" applyFont="1" applyFill="1" applyAlignment="1">
      <alignment horizontal="center" vertical="center" wrapText="1"/>
    </xf>
    <xf numFmtId="0" fontId="4" fillId="0" borderId="0" xfId="0" applyFont="1" applyFill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0" fontId="5" fillId="3" borderId="0" xfId="0" applyFont="1" applyFill="1" applyAlignment="1">
      <alignment horizontal="center" vertical="center" wrapText="1"/>
    </xf>
    <xf numFmtId="9" fontId="4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4" fontId="4" fillId="0" borderId="0" xfId="0" applyNumberFormat="1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4" fontId="5" fillId="3" borderId="0" xfId="0" applyNumberFormat="1" applyFont="1" applyFill="1" applyAlignment="1">
      <alignment horizontal="center" vertical="center" wrapText="1"/>
    </xf>
    <xf numFmtId="0" fontId="4" fillId="0" borderId="0" xfId="0" applyFont="1" applyAlignment="1">
      <alignment horizontal="right" vertical="center"/>
    </xf>
    <xf numFmtId="49" fontId="0" fillId="0" borderId="0" xfId="0" applyNumberFormat="1" applyFill="1" applyBorder="1" applyAlignment="1">
      <alignment horizontal="left"/>
    </xf>
    <xf numFmtId="0" fontId="0" fillId="0" borderId="0" xfId="0" applyNumberFormat="1" applyFill="1" applyBorder="1" applyAlignment="1">
      <alignment horizontal="center"/>
    </xf>
    <xf numFmtId="14" fontId="6" fillId="4" borderId="0" xfId="0" applyNumberFormat="1" applyFont="1" applyFill="1" applyAlignment="1">
      <alignment horizontal="center" vertical="center"/>
    </xf>
    <xf numFmtId="0" fontId="7" fillId="0" borderId="0" xfId="3" applyFont="1" applyAlignment="1">
      <alignment vertical="center" wrapText="1"/>
    </xf>
    <xf numFmtId="0" fontId="7" fillId="0" borderId="0" xfId="3" applyFont="1" applyAlignment="1">
      <alignment vertical="center"/>
    </xf>
    <xf numFmtId="0" fontId="7" fillId="0" borderId="0" xfId="3" applyFont="1" applyAlignment="1">
      <alignment horizontal="center" vertical="center"/>
    </xf>
    <xf numFmtId="0" fontId="7" fillId="0" borderId="0" xfId="3" applyFont="1" applyAlignment="1">
      <alignment horizontal="left" vertical="center" wrapText="1"/>
    </xf>
    <xf numFmtId="167" fontId="7" fillId="0" borderId="0" xfId="4" applyNumberFormat="1" applyFont="1" applyAlignment="1">
      <alignment vertical="center"/>
    </xf>
    <xf numFmtId="167" fontId="7" fillId="0" borderId="0" xfId="4" applyNumberFormat="1" applyFont="1" applyAlignment="1">
      <alignment horizontal="center" vertical="center"/>
    </xf>
    <xf numFmtId="0" fontId="7" fillId="0" borderId="0" xfId="3" applyFont="1" applyAlignment="1">
      <alignment horizontal="left" vertical="center"/>
    </xf>
    <xf numFmtId="14" fontId="10" fillId="0" borderId="0" xfId="3" applyNumberFormat="1" applyFont="1" applyAlignment="1">
      <alignment horizontal="center" vertical="center"/>
    </xf>
    <xf numFmtId="14" fontId="10" fillId="0" borderId="0" xfId="3" applyNumberFormat="1" applyFont="1" applyAlignment="1">
      <alignment horizontal="left" vertical="center"/>
    </xf>
    <xf numFmtId="14" fontId="10" fillId="0" borderId="0" xfId="3" applyNumberFormat="1" applyFont="1" applyAlignment="1">
      <alignment horizontal="left" vertical="center" wrapText="1"/>
    </xf>
    <xf numFmtId="14" fontId="11" fillId="0" borderId="0" xfId="3" applyNumberFormat="1" applyFont="1" applyAlignment="1">
      <alignment horizontal="center" vertical="center"/>
    </xf>
    <xf numFmtId="0" fontId="9" fillId="0" borderId="0" xfId="3" applyFont="1" applyAlignment="1">
      <alignment horizontal="left" vertical="center"/>
    </xf>
    <xf numFmtId="0" fontId="8" fillId="0" borderId="0" xfId="3" applyAlignment="1">
      <alignment horizontal="center" vertical="center"/>
    </xf>
    <xf numFmtId="0" fontId="10" fillId="5" borderId="0" xfId="3" applyFont="1" applyFill="1" applyAlignment="1">
      <alignment horizontal="center" vertical="center" wrapText="1"/>
    </xf>
    <xf numFmtId="167" fontId="10" fillId="5" borderId="0" xfId="4" applyNumberFormat="1" applyFont="1" applyFill="1" applyBorder="1" applyAlignment="1">
      <alignment horizontal="center" vertical="center" wrapText="1"/>
    </xf>
    <xf numFmtId="0" fontId="10" fillId="5" borderId="0" xfId="3" applyFont="1" applyFill="1" applyAlignment="1">
      <alignment horizontal="left" vertical="center" wrapText="1"/>
    </xf>
    <xf numFmtId="0" fontId="7" fillId="0" borderId="0" xfId="3" applyFont="1" applyFill="1" applyAlignment="1">
      <alignment vertical="center"/>
    </xf>
    <xf numFmtId="0" fontId="1" fillId="7" borderId="5" xfId="3" applyFont="1" applyFill="1" applyBorder="1" applyAlignment="1">
      <alignment horizontal="center" vertical="top" wrapText="1"/>
    </xf>
    <xf numFmtId="0" fontId="15" fillId="6" borderId="4" xfId="5" applyAlignment="1">
      <alignment horizontal="center" vertical="top" wrapText="1"/>
    </xf>
    <xf numFmtId="0" fontId="1" fillId="7" borderId="0" xfId="3" applyFont="1" applyFill="1" applyAlignment="1">
      <alignment horizontal="center" vertical="top" wrapText="1"/>
    </xf>
    <xf numFmtId="0" fontId="1" fillId="7" borderId="0" xfId="3" applyFont="1" applyFill="1" applyAlignment="1">
      <alignment horizontal="left" vertical="top"/>
    </xf>
    <xf numFmtId="0" fontId="1" fillId="7" borderId="6" xfId="3" applyFont="1" applyFill="1" applyBorder="1" applyAlignment="1">
      <alignment horizontal="center" vertical="top" wrapText="1"/>
    </xf>
    <xf numFmtId="0" fontId="1" fillId="7" borderId="7" xfId="3" applyFont="1" applyFill="1" applyBorder="1" applyAlignment="1">
      <alignment horizontal="center" vertical="top" wrapText="1"/>
    </xf>
    <xf numFmtId="0" fontId="1" fillId="7" borderId="7" xfId="3" applyFont="1" applyFill="1" applyBorder="1" applyAlignment="1">
      <alignment vertical="top" wrapText="1"/>
    </xf>
    <xf numFmtId="0" fontId="1" fillId="7" borderId="0" xfId="3" applyFont="1" applyFill="1" applyAlignment="1">
      <alignment vertical="top" wrapText="1"/>
    </xf>
    <xf numFmtId="14" fontId="1" fillId="7" borderId="7" xfId="3" applyNumberFormat="1" applyFont="1" applyFill="1" applyBorder="1" applyAlignment="1">
      <alignment horizontal="center" vertical="top" wrapText="1"/>
    </xf>
    <xf numFmtId="9" fontId="1" fillId="7" borderId="8" xfId="3" applyNumberFormat="1" applyFont="1" applyFill="1" applyBorder="1" applyAlignment="1">
      <alignment vertical="top" wrapText="1"/>
    </xf>
    <xf numFmtId="9" fontId="1" fillId="7" borderId="9" xfId="3" applyNumberFormat="1" applyFont="1" applyFill="1" applyBorder="1" applyAlignment="1">
      <alignment vertical="top" wrapText="1"/>
    </xf>
    <xf numFmtId="0" fontId="1" fillId="7" borderId="9" xfId="3" applyFont="1" applyFill="1" applyBorder="1" applyAlignment="1">
      <alignment vertical="top" wrapText="1"/>
    </xf>
    <xf numFmtId="9" fontId="1" fillId="7" borderId="0" xfId="3" applyNumberFormat="1" applyFont="1" applyFill="1" applyAlignment="1">
      <alignment horizontal="center" vertical="top" wrapText="1"/>
    </xf>
    <xf numFmtId="0" fontId="1" fillId="7" borderId="0" xfId="3" applyFont="1" applyFill="1" applyAlignment="1">
      <alignment horizontal="center" vertical="top"/>
    </xf>
    <xf numFmtId="0" fontId="1" fillId="7" borderId="7" xfId="3" applyFont="1" applyFill="1" applyBorder="1" applyAlignment="1">
      <alignment horizontal="center" vertical="top"/>
    </xf>
    <xf numFmtId="0" fontId="1" fillId="7" borderId="6" xfId="3" applyFont="1" applyFill="1" applyBorder="1" applyAlignment="1">
      <alignment horizontal="center" vertical="top"/>
    </xf>
    <xf numFmtId="9" fontId="1" fillId="7" borderId="0" xfId="3" applyNumberFormat="1" applyFont="1" applyFill="1" applyAlignment="1">
      <alignment horizontal="center" vertical="top"/>
    </xf>
    <xf numFmtId="0" fontId="7" fillId="0" borderId="0" xfId="3" applyFont="1" applyAlignment="1">
      <alignment horizontal="center" vertical="center"/>
    </xf>
    <xf numFmtId="0" fontId="9" fillId="0" borderId="0" xfId="3" applyFont="1" applyAlignment="1">
      <alignment horizontal="left" vertical="center"/>
    </xf>
    <xf numFmtId="0" fontId="12" fillId="0" borderId="0" xfId="3" applyFont="1" applyAlignment="1">
      <alignment horizontal="left" vertical="center" wrapText="1"/>
    </xf>
    <xf numFmtId="0" fontId="16" fillId="7" borderId="10" xfId="3" applyFont="1" applyFill="1" applyBorder="1" applyAlignment="1">
      <alignment horizontal="center" vertical="top" wrapText="1"/>
    </xf>
    <xf numFmtId="0" fontId="16" fillId="7" borderId="5" xfId="3" applyFont="1" applyFill="1" applyBorder="1" applyAlignment="1">
      <alignment horizontal="center" vertical="top" wrapText="1"/>
    </xf>
    <xf numFmtId="0" fontId="16" fillId="7" borderId="0" xfId="3" applyFont="1" applyFill="1" applyAlignment="1">
      <alignment horizontal="center" vertical="top" wrapText="1"/>
    </xf>
    <xf numFmtId="0" fontId="16" fillId="0" borderId="0" xfId="3" applyFont="1" applyAlignment="1">
      <alignment horizontal="center" vertical="top" wrapText="1"/>
    </xf>
    <xf numFmtId="0" fontId="16" fillId="7" borderId="11" xfId="3" applyFont="1" applyFill="1" applyBorder="1" applyAlignment="1">
      <alignment horizontal="center" vertical="top" wrapText="1"/>
    </xf>
    <xf numFmtId="0" fontId="16" fillId="8" borderId="5" xfId="3" applyFont="1" applyFill="1" applyBorder="1" applyAlignment="1">
      <alignment horizontal="center" vertical="top" wrapText="1"/>
    </xf>
    <xf numFmtId="0" fontId="16" fillId="7" borderId="0" xfId="3" applyFont="1" applyFill="1" applyAlignment="1">
      <alignment horizontal="center" vertical="top"/>
    </xf>
    <xf numFmtId="0" fontId="16" fillId="7" borderId="7" xfId="3" applyFont="1" applyFill="1" applyBorder="1" applyAlignment="1">
      <alignment horizontal="center" vertical="top"/>
    </xf>
    <xf numFmtId="0" fontId="16" fillId="7" borderId="6" xfId="3" applyFont="1" applyFill="1" applyBorder="1" applyAlignment="1">
      <alignment horizontal="center" vertical="top"/>
    </xf>
    <xf numFmtId="0" fontId="16" fillId="7" borderId="0" xfId="3" applyFont="1" applyFill="1" applyBorder="1" applyAlignment="1">
      <alignment horizontal="center" vertical="top"/>
    </xf>
    <xf numFmtId="0" fontId="1" fillId="7" borderId="0" xfId="3" applyFont="1" applyFill="1" applyBorder="1" applyAlignment="1">
      <alignment horizontal="center" vertical="top" wrapText="1"/>
    </xf>
  </cellXfs>
  <cellStyles count="6">
    <cellStyle name="Вывод" xfId="5" builtinId="21"/>
    <cellStyle name="Обычный" xfId="0" builtinId="0"/>
    <cellStyle name="Обычный 2" xfId="3" xr:uid="{58445EC4-1144-43F9-9A22-802BCAC03EE0}"/>
    <cellStyle name="Процентный" xfId="2" builtinId="5"/>
    <cellStyle name="Финансовый" xfId="1" builtinId="3"/>
    <cellStyle name="Финансовый 2" xfId="4" xr:uid="{61CA8B72-821B-4755-A028-E05E6EACF08D}"/>
  </cellStyles>
  <dxfs count="487">
    <dxf>
      <font>
        <color rgb="FFC00000"/>
      </font>
    </dxf>
    <dxf>
      <font>
        <color rgb="FF7030A0"/>
      </font>
    </dxf>
    <dxf>
      <font>
        <color rgb="FF0070C0"/>
      </font>
    </dxf>
    <dxf>
      <fill>
        <patternFill>
          <bgColor rgb="FFFFCCFF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ont>
        <color rgb="FFC00000"/>
      </font>
    </dxf>
    <dxf>
      <font>
        <color rgb="FF7030A0"/>
      </font>
    </dxf>
    <dxf>
      <font>
        <color rgb="FF0070C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border outline="0">
        <right style="thin">
          <color indexed="64"/>
        </right>
      </border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numFmt numFmtId="19" formatCode="dd/mm/yyyy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* #,##0\ _р_._-;\-* #,##0\ _р_._-;_-* &quot;-&quot;??\ _р_._-;_-@_-"/>
      <alignment horizontal="center" vertical="bottom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* #,##0\ _₽_-;\-* #,##0\ _₽_-;_-* &quot;-&quot;??\ _₽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* #,##0\ _₽_-;\-* #,##0\ _₽_-;_-* &quot;-&quot;??\ _₽_-;_-@_-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1</xdr:row>
          <xdr:rowOff>161925</xdr:rowOff>
        </xdr:from>
        <xdr:to>
          <xdr:col>2</xdr:col>
          <xdr:colOff>1257300</xdr:colOff>
          <xdr:row>1</xdr:row>
          <xdr:rowOff>742950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ardena/Marketing/Market%20research/assessment/Russia%20Market%20Assessment%20Collection%20Sheet%20v%2004%20AR%20(003)%20201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Charts Market+HQV Group"/>
      <sheetName val="Overview Market+HQV Group"/>
      <sheetName val="Input Market Data"/>
      <sheetName val="Calcs HQV Group Data"/>
      <sheetName val="Macroeconomic info"/>
      <sheetName val="Arrays"/>
    </sheetNames>
    <sheetDataSet>
      <sheetData sheetId="0"/>
      <sheetData sheetId="1"/>
      <sheetData sheetId="2"/>
      <sheetData sheetId="3">
        <row r="1">
          <cell r="G1">
            <v>0</v>
          </cell>
          <cell r="H1">
            <v>0</v>
          </cell>
        </row>
        <row r="2">
          <cell r="G2">
            <v>0</v>
          </cell>
          <cell r="H2">
            <v>0</v>
          </cell>
        </row>
        <row r="3">
          <cell r="G3">
            <v>0</v>
          </cell>
          <cell r="H3">
            <v>0</v>
          </cell>
        </row>
        <row r="4">
          <cell r="G4" t="str">
            <v>This is for the entire market for each Sub-category 3. The numbers should be manufacturer value, not retail value.</v>
          </cell>
          <cell r="H4">
            <v>0</v>
          </cell>
          <cell r="J4" t="str">
            <v>This is for the entire market for each Sub-category 3. The numbers should be manufacturer value, not retail value.</v>
          </cell>
          <cell r="M4" t="str">
            <v>1=weak season</v>
          </cell>
          <cell r="O4">
            <v>0</v>
          </cell>
          <cell r="P4">
            <v>0</v>
          </cell>
          <cell r="Q4">
            <v>0</v>
          </cell>
          <cell r="S4">
            <v>0</v>
          </cell>
          <cell r="T4">
            <v>0</v>
          </cell>
          <cell r="V4">
            <v>0</v>
          </cell>
          <cell r="W4">
            <v>0</v>
          </cell>
          <cell r="Y4">
            <v>0</v>
          </cell>
          <cell r="Z4">
            <v>0</v>
          </cell>
        </row>
        <row r="5">
          <cell r="G5">
            <v>0</v>
          </cell>
          <cell r="H5">
            <v>0</v>
          </cell>
          <cell r="J5">
            <v>0</v>
          </cell>
          <cell r="M5" t="str">
            <v>2=medium season</v>
          </cell>
          <cell r="O5" t="str">
            <v>This is for the entire market for each Sub-category 3. This data should be based on market volume.</v>
          </cell>
          <cell r="P5">
            <v>0</v>
          </cell>
          <cell r="Q5">
            <v>0</v>
          </cell>
          <cell r="S5">
            <v>0</v>
          </cell>
          <cell r="T5">
            <v>0</v>
          </cell>
          <cell r="V5">
            <v>0</v>
          </cell>
          <cell r="W5">
            <v>0</v>
          </cell>
          <cell r="Y5">
            <v>0</v>
          </cell>
          <cell r="Z5">
            <v>0</v>
          </cell>
          <cell r="AE5" t="str">
            <v>This is for the entire market for each Sub-category 3. This data should be based on market value.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</row>
        <row r="6">
          <cell r="G6">
            <v>0</v>
          </cell>
          <cell r="H6">
            <v>0</v>
          </cell>
          <cell r="J6">
            <v>0</v>
          </cell>
          <cell r="M6" t="str">
            <v>3=strong season</v>
          </cell>
          <cell r="O6">
            <v>0</v>
          </cell>
          <cell r="P6">
            <v>0</v>
          </cell>
          <cell r="Q6">
            <v>0</v>
          </cell>
          <cell r="S6">
            <v>0</v>
          </cell>
          <cell r="T6">
            <v>0</v>
          </cell>
          <cell r="V6">
            <v>0</v>
          </cell>
          <cell r="W6">
            <v>0</v>
          </cell>
          <cell r="Y6">
            <v>0</v>
          </cell>
          <cell r="Z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</row>
        <row r="7">
          <cell r="G7" t="str">
            <v>Market value</v>
          </cell>
          <cell r="H7">
            <v>0</v>
          </cell>
          <cell r="J7" t="str">
            <v>Market Volume</v>
          </cell>
          <cell r="M7" t="str">
            <v>Season</v>
          </cell>
          <cell r="O7" t="str">
            <v>Channels Split (%)</v>
          </cell>
          <cell r="P7">
            <v>0</v>
          </cell>
          <cell r="Q7">
            <v>0</v>
          </cell>
          <cell r="S7" t="str">
            <v>Intended User Split</v>
          </cell>
          <cell r="T7">
            <v>0</v>
          </cell>
          <cell r="V7" t="str">
            <v>User Split</v>
          </cell>
          <cell r="W7">
            <v>0</v>
          </cell>
          <cell r="Y7" t="str">
            <v>Battery product voltage split</v>
          </cell>
          <cell r="Z7">
            <v>0</v>
          </cell>
          <cell r="AB7" t="str">
            <v>5 largest other players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</row>
        <row r="8">
          <cell r="G8" t="str">
            <v>Market value in local currency</v>
          </cell>
          <cell r="H8" t="str">
            <v>Expected Market Value CAGR 2017-2021 (%)</v>
          </cell>
          <cell r="J8" t="str">
            <v>Market volume #</v>
          </cell>
          <cell r="M8" t="str">
            <v>Seasonality, (rank 1-3)</v>
          </cell>
          <cell r="O8" t="str">
            <v>% Dealer</v>
          </cell>
          <cell r="P8" t="str">
            <v>% Retailer</v>
          </cell>
          <cell r="Q8" t="str">
            <v>% Online (Pure players and direct sales)</v>
          </cell>
          <cell r="S8" t="str">
            <v>% Professional product</v>
          </cell>
          <cell r="T8" t="str">
            <v>% Mass consumer product</v>
          </cell>
          <cell r="V8" t="str">
            <v>% Professionals</v>
          </cell>
          <cell r="W8" t="str">
            <v>% Consumers</v>
          </cell>
          <cell r="Y8" t="str">
            <v>% of Market volume of battery products &lt;36V</v>
          </cell>
          <cell r="Z8" t="str">
            <v>% of Market volume of battery products ≥36V</v>
          </cell>
          <cell r="AB8" t="str">
            <v>Market share % player 1</v>
          </cell>
          <cell r="AC8" t="str">
            <v>Name player 1</v>
          </cell>
          <cell r="AD8" t="str">
            <v>Market share % player 2</v>
          </cell>
          <cell r="AE8" t="str">
            <v>Name player 2</v>
          </cell>
          <cell r="AF8" t="str">
            <v>Market share % player 3</v>
          </cell>
          <cell r="AG8" t="str">
            <v>Name player 3</v>
          </cell>
          <cell r="AH8" t="str">
            <v>Market share % player 4</v>
          </cell>
          <cell r="AI8" t="str">
            <v>Name player 4</v>
          </cell>
          <cell r="AJ8" t="str">
            <v>Market share % player 5</v>
          </cell>
          <cell r="AK8" t="str">
            <v>Name player 5</v>
          </cell>
          <cell r="AL8" t="str">
            <v>Market share % private label</v>
          </cell>
        </row>
        <row r="9">
          <cell r="G9">
            <v>261738006.35593224</v>
          </cell>
          <cell r="H9">
            <v>0.1</v>
          </cell>
          <cell r="J9">
            <v>20424</v>
          </cell>
          <cell r="M9">
            <v>3</v>
          </cell>
          <cell r="O9">
            <v>0.86241186839012929</v>
          </cell>
          <cell r="P9">
            <v>4.1764590677634154E-2</v>
          </cell>
          <cell r="Q9">
            <v>9.5823540932236509E-2</v>
          </cell>
          <cell r="S9">
            <v>0.2400117508813161</v>
          </cell>
          <cell r="T9">
            <v>0.7599882491186839</v>
          </cell>
          <cell r="V9">
            <v>0.39169604386995693</v>
          </cell>
          <cell r="W9">
            <v>0.60830395613004307</v>
          </cell>
          <cell r="Y9">
            <v>0</v>
          </cell>
          <cell r="Z9">
            <v>0</v>
          </cell>
          <cell r="AB9">
            <v>0.55934457974896756</v>
          </cell>
          <cell r="AC9" t="str">
            <v>Stihl</v>
          </cell>
          <cell r="AD9">
            <v>6.3819883155735876E-2</v>
          </cell>
          <cell r="AE9" t="str">
            <v>Echo</v>
          </cell>
          <cell r="AF9">
            <v>3.1048166380699342E-2</v>
          </cell>
          <cell r="AG9" t="str">
            <v>Oleo-Mac</v>
          </cell>
          <cell r="AH9">
            <v>1.2331583451458718E-2</v>
          </cell>
          <cell r="AI9" t="str">
            <v>MTD</v>
          </cell>
          <cell r="AJ9">
            <v>7.581572202096677E-3</v>
          </cell>
          <cell r="AK9" t="str">
            <v>RYOBI</v>
          </cell>
          <cell r="AL9">
            <v>6.5858296057930255E-2</v>
          </cell>
        </row>
        <row r="10">
          <cell r="G10">
            <v>5194913773.7288141</v>
          </cell>
          <cell r="H10">
            <v>2.8000000000000001E-2</v>
          </cell>
          <cell r="J10">
            <v>793079</v>
          </cell>
          <cell r="M10">
            <v>2</v>
          </cell>
          <cell r="O10">
            <v>0.84425662512813993</v>
          </cell>
          <cell r="P10">
            <v>6.1937083190955755E-2</v>
          </cell>
          <cell r="Q10">
            <v>9.3806291680904333E-2</v>
          </cell>
          <cell r="S10">
            <v>4.7705209695377129E-2</v>
          </cell>
          <cell r="T10">
            <v>0.95229479030462283</v>
          </cell>
          <cell r="V10">
            <v>8.8263590386329735E-2</v>
          </cell>
          <cell r="W10">
            <v>0.91173640961367031</v>
          </cell>
          <cell r="Y10">
            <v>0</v>
          </cell>
          <cell r="Z10">
            <v>0</v>
          </cell>
          <cell r="AB10">
            <v>0.50744617451198482</v>
          </cell>
          <cell r="AC10" t="str">
            <v>Stihl</v>
          </cell>
          <cell r="AD10">
            <v>3.2269585053012244E-2</v>
          </cell>
          <cell r="AE10" t="str">
            <v>Echo</v>
          </cell>
          <cell r="AF10">
            <v>4.0619913697061867E-3</v>
          </cell>
          <cell r="AG10" t="str">
            <v>Oleo-Mac</v>
          </cell>
          <cell r="AH10">
            <v>2.0786543444386851E-3</v>
          </cell>
          <cell r="AI10" t="str">
            <v>Al-ko</v>
          </cell>
          <cell r="AJ10">
            <v>4.4278152912550269E-4</v>
          </cell>
          <cell r="AK10" t="str">
            <v>Makita</v>
          </cell>
          <cell r="AL10">
            <v>0.28387681648241714</v>
          </cell>
        </row>
        <row r="11">
          <cell r="G11">
            <v>28398483.05084746</v>
          </cell>
          <cell r="H11">
            <v>0.1</v>
          </cell>
          <cell r="J11">
            <v>2573</v>
          </cell>
          <cell r="M11">
            <v>2</v>
          </cell>
          <cell r="O11">
            <v>0.86502137582588434</v>
          </cell>
          <cell r="P11">
            <v>3.8865137971239798E-2</v>
          </cell>
          <cell r="Q11">
            <v>9.6113486202875908E-2</v>
          </cell>
          <cell r="S11">
            <v>0.12203653322969296</v>
          </cell>
          <cell r="T11">
            <v>0.87796346677030701</v>
          </cell>
          <cell r="V11">
            <v>0.68013991449669642</v>
          </cell>
          <cell r="W11">
            <v>0.31986008550330353</v>
          </cell>
          <cell r="Y11">
            <v>0</v>
          </cell>
          <cell r="Z11">
            <v>0</v>
          </cell>
          <cell r="AB11">
            <v>0.46078762263799594</v>
          </cell>
          <cell r="AC11" t="str">
            <v>Stihl</v>
          </cell>
          <cell r="AD11">
            <v>2.1821707473632664E-2</v>
          </cell>
          <cell r="AE11" t="str">
            <v>Stiga</v>
          </cell>
          <cell r="AF11">
            <v>1.4177171673946538E-2</v>
          </cell>
          <cell r="AG11" t="str">
            <v>Ryobi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0.13133360329254284</v>
          </cell>
        </row>
        <row r="12">
          <cell r="G12">
            <v>5136424515.8898306</v>
          </cell>
          <cell r="H12">
            <v>4.2000000000000003E-2</v>
          </cell>
          <cell r="J12">
            <v>1012513</v>
          </cell>
          <cell r="M12">
            <v>3</v>
          </cell>
          <cell r="O12">
            <v>0.77433429579724089</v>
          </cell>
          <cell r="P12">
            <v>3.2082130253448832E-2</v>
          </cell>
          <cell r="Q12">
            <v>0.19358357394931025</v>
          </cell>
          <cell r="S12">
            <v>0.1068334937439846</v>
          </cell>
          <cell r="T12">
            <v>0.89316650625601535</v>
          </cell>
          <cell r="V12">
            <v>3.2082130253448832E-2</v>
          </cell>
          <cell r="W12">
            <v>0.96791786974655114</v>
          </cell>
          <cell r="Y12">
            <v>0</v>
          </cell>
          <cell r="Z12">
            <v>0</v>
          </cell>
          <cell r="AB12">
            <v>0.13435059185509404</v>
          </cell>
          <cell r="AC12" t="str">
            <v>Stihl</v>
          </cell>
          <cell r="AD12">
            <v>6.9852554392926564E-2</v>
          </cell>
          <cell r="AE12" t="str">
            <v>Echo</v>
          </cell>
          <cell r="AF12">
            <v>1.2858807166066025E-2</v>
          </cell>
          <cell r="AG12" t="str">
            <v>MARUYAMA</v>
          </cell>
          <cell r="AH12">
            <v>1.0809710634333267E-2</v>
          </cell>
          <cell r="AI12" t="str">
            <v>Al-Ko</v>
          </cell>
          <cell r="AJ12">
            <v>6.6284295351322848E-3</v>
          </cell>
          <cell r="AK12" t="str">
            <v>Hitachi</v>
          </cell>
          <cell r="AL12">
            <v>0.65083556425490463</v>
          </cell>
        </row>
        <row r="13">
          <cell r="G13">
            <v>14513243.008474579</v>
          </cell>
          <cell r="H13">
            <v>0.31</v>
          </cell>
          <cell r="J13">
            <v>3117</v>
          </cell>
          <cell r="M13">
            <v>2</v>
          </cell>
          <cell r="O13">
            <v>0.77433429579724089</v>
          </cell>
          <cell r="P13">
            <v>3.2082130253448832E-2</v>
          </cell>
          <cell r="Q13">
            <v>0.19358357394931025</v>
          </cell>
          <cell r="S13">
            <v>0.1068334937439846</v>
          </cell>
          <cell r="T13">
            <v>0.89316650625601535</v>
          </cell>
          <cell r="V13">
            <v>3.2082130253448832E-2</v>
          </cell>
          <cell r="W13">
            <v>0.96791786974655114</v>
          </cell>
          <cell r="Y13">
            <v>0.4196342637151107</v>
          </cell>
          <cell r="Z13">
            <v>0.5803657362848893</v>
          </cell>
          <cell r="AB13">
            <v>0.43174113321137281</v>
          </cell>
          <cell r="AC13" t="str">
            <v>GREENWORKS</v>
          </cell>
          <cell r="AD13">
            <v>0.19171969866737867</v>
          </cell>
          <cell r="AE13" t="str">
            <v>Stihl</v>
          </cell>
          <cell r="AF13">
            <v>0.15428457238798571</v>
          </cell>
          <cell r="AG13" t="str">
            <v>BOSCH</v>
          </cell>
          <cell r="AH13">
            <v>6.9417897362500897E-2</v>
          </cell>
          <cell r="AI13" t="str">
            <v>KARCHER</v>
          </cell>
          <cell r="AJ13">
            <v>2.255961230732767E-2</v>
          </cell>
          <cell r="AK13" t="str">
            <v>RYOBI</v>
          </cell>
          <cell r="AL13" t="str">
            <v xml:space="preserve"> </v>
          </cell>
        </row>
        <row r="14">
          <cell r="G14">
            <v>29190667.372881349</v>
          </cell>
          <cell r="H14">
            <v>0.25</v>
          </cell>
          <cell r="J14">
            <v>3264</v>
          </cell>
          <cell r="M14">
            <v>2</v>
          </cell>
          <cell r="O14">
            <v>0.7948774509803922</v>
          </cell>
          <cell r="P14">
            <v>3.0637254901960783E-2</v>
          </cell>
          <cell r="Q14">
            <v>0.17448529411764704</v>
          </cell>
          <cell r="S14">
            <v>0.18229166666666666</v>
          </cell>
          <cell r="T14">
            <v>0.81770833333333337</v>
          </cell>
          <cell r="V14">
            <v>3.0637254901960783E-2</v>
          </cell>
          <cell r="W14">
            <v>0.96936274509803921</v>
          </cell>
          <cell r="Y14">
            <v>0.36611519607843135</v>
          </cell>
          <cell r="Z14">
            <v>0.63388480392156865</v>
          </cell>
          <cell r="AB14">
            <v>0.51985219910444169</v>
          </cell>
          <cell r="AC14" t="str">
            <v>GREENWORKS</v>
          </cell>
          <cell r="AD14">
            <v>0.193876104614641</v>
          </cell>
          <cell r="AE14" t="str">
            <v>Stihl</v>
          </cell>
          <cell r="AF14">
            <v>9.7546849160563665E-2</v>
          </cell>
          <cell r="AG14" t="str">
            <v>BOSCH</v>
          </cell>
          <cell r="AH14">
            <v>4.7443260067956204E-2</v>
          </cell>
          <cell r="AI14" t="str">
            <v>KARCHER</v>
          </cell>
          <cell r="AJ14">
            <v>3.7811161928858313E-2</v>
          </cell>
          <cell r="AK14" t="str">
            <v>B&amp;D</v>
          </cell>
          <cell r="AL14">
            <v>4.1802339030983515E-2</v>
          </cell>
        </row>
        <row r="15">
          <cell r="G15">
            <v>98670000</v>
          </cell>
          <cell r="H15">
            <v>9.6744118687875025E-2</v>
          </cell>
          <cell r="J15">
            <v>35643</v>
          </cell>
          <cell r="M15">
            <v>3</v>
          </cell>
          <cell r="O15">
            <v>0.45</v>
          </cell>
          <cell r="P15">
            <v>0.47</v>
          </cell>
          <cell r="Q15">
            <v>0.08</v>
          </cell>
          <cell r="S15">
            <v>0</v>
          </cell>
          <cell r="T15">
            <v>1</v>
          </cell>
          <cell r="V15">
            <v>0</v>
          </cell>
          <cell r="W15">
            <v>1</v>
          </cell>
          <cell r="Y15">
            <v>0</v>
          </cell>
          <cell r="Z15">
            <v>0</v>
          </cell>
          <cell r="AB15">
            <v>0.19</v>
          </cell>
          <cell r="AC15" t="str">
            <v>Bosch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4.4999999999999998E-2</v>
          </cell>
        </row>
        <row r="16">
          <cell r="G16">
            <v>14385768.432203392</v>
          </cell>
          <cell r="H16">
            <v>0.21</v>
          </cell>
          <cell r="J16">
            <v>2331</v>
          </cell>
          <cell r="M16">
            <v>3</v>
          </cell>
          <cell r="O16">
            <v>0.73205491205491202</v>
          </cell>
          <cell r="P16">
            <v>0.10725010725010725</v>
          </cell>
          <cell r="Q16">
            <v>0.16069498069498075</v>
          </cell>
          <cell r="S16">
            <v>0.10381810381810382</v>
          </cell>
          <cell r="T16">
            <v>0.89618189618189614</v>
          </cell>
          <cell r="V16">
            <v>2.145002145002145E-2</v>
          </cell>
          <cell r="W16">
            <v>0.97854997854997861</v>
          </cell>
          <cell r="Y16">
            <v>0.58730158730158732</v>
          </cell>
          <cell r="Z16">
            <v>0.41269841269841268</v>
          </cell>
          <cell r="AB16">
            <v>0.41576710103987391</v>
          </cell>
          <cell r="AC16" t="str">
            <v>GREENWORKS</v>
          </cell>
          <cell r="AD16">
            <v>0.13238719463608301</v>
          </cell>
          <cell r="AE16" t="str">
            <v>BOSCH</v>
          </cell>
          <cell r="AF16">
            <v>0.12689138528460042</v>
          </cell>
          <cell r="AG16" t="str">
            <v>Stihl</v>
          </cell>
          <cell r="AH16">
            <v>2.9755307693085976E-2</v>
          </cell>
          <cell r="AI16" t="str">
            <v>RYOBI</v>
          </cell>
          <cell r="AJ16">
            <v>2.2525793389821299E-2</v>
          </cell>
          <cell r="AK16" t="str">
            <v>B&amp;D</v>
          </cell>
          <cell r="AL16">
            <v>8.6619906118256873E-2</v>
          </cell>
        </row>
        <row r="17">
          <cell r="G17">
            <v>33149298.305084746</v>
          </cell>
          <cell r="H17">
            <v>0.28000000000000003</v>
          </cell>
          <cell r="J17">
            <v>6239</v>
          </cell>
          <cell r="M17">
            <v>2</v>
          </cell>
          <cell r="O17">
            <v>0.55850861652439998</v>
          </cell>
          <cell r="P17">
            <v>0.31889193106780478</v>
          </cell>
          <cell r="Q17">
            <v>0.12259945240779517</v>
          </cell>
          <cell r="S17">
            <v>6.9254308262200026E-2</v>
          </cell>
          <cell r="T17">
            <v>0.93074569173779997</v>
          </cell>
          <cell r="V17">
            <v>1.6105653084232566E-2</v>
          </cell>
          <cell r="W17">
            <v>0.98389434691576738</v>
          </cell>
          <cell r="Y17">
            <v>0.72024480592688034</v>
          </cell>
          <cell r="Z17">
            <v>0.27975519407311966</v>
          </cell>
          <cell r="AB17">
            <v>0.29940813226815755</v>
          </cell>
          <cell r="AC17" t="str">
            <v>BOSCH</v>
          </cell>
          <cell r="AD17">
            <v>0.29289369113112601</v>
          </cell>
          <cell r="AE17" t="str">
            <v>GREENWORKS</v>
          </cell>
          <cell r="AF17">
            <v>0.13899251184395039</v>
          </cell>
          <cell r="AG17" t="str">
            <v>Stihl</v>
          </cell>
          <cell r="AH17">
            <v>3.1853001873496205E-2</v>
          </cell>
          <cell r="AI17" t="str">
            <v>RYOBI</v>
          </cell>
          <cell r="AJ17">
            <v>3.3316143512202578E-2</v>
          </cell>
          <cell r="AK17" t="str">
            <v>Al-ko</v>
          </cell>
          <cell r="AL17">
            <v>7.3515660847227049E-2</v>
          </cell>
        </row>
        <row r="18">
          <cell r="G18">
            <v>66706372.881355941</v>
          </cell>
          <cell r="H18">
            <v>0.31</v>
          </cell>
          <cell r="J18">
            <v>4408</v>
          </cell>
          <cell r="M18">
            <v>3</v>
          </cell>
          <cell r="O18">
            <v>0.61537205081669688</v>
          </cell>
          <cell r="P18">
            <v>0.24954627949183303</v>
          </cell>
          <cell r="Q18">
            <v>0.13508166969147006</v>
          </cell>
          <cell r="S18">
            <v>0</v>
          </cell>
          <cell r="T18">
            <v>1</v>
          </cell>
          <cell r="V18">
            <v>2.2686025408348458E-2</v>
          </cell>
          <cell r="W18">
            <v>0.97731397459165159</v>
          </cell>
          <cell r="Y18">
            <v>3.5843920145190562E-2</v>
          </cell>
          <cell r="Z18">
            <v>0.96415607985480944</v>
          </cell>
          <cell r="AB18">
            <v>0.52429049037573217</v>
          </cell>
          <cell r="AC18" t="str">
            <v>GREENWORKS</v>
          </cell>
          <cell r="AD18">
            <v>0.31880673104188451</v>
          </cell>
          <cell r="AE18" t="str">
            <v>BOSCH</v>
          </cell>
          <cell r="AF18">
            <v>6.7930134492778363E-2</v>
          </cell>
          <cell r="AG18" t="str">
            <v>Viking</v>
          </cell>
          <cell r="AH18">
            <v>4.1563063118000565E-2</v>
          </cell>
          <cell r="AI18" t="str">
            <v>RYOBI</v>
          </cell>
          <cell r="AJ18">
            <v>1.0061803868001328E-2</v>
          </cell>
          <cell r="AK18" t="str">
            <v>Al-ko</v>
          </cell>
          <cell r="AL18">
            <v>1.1946756355350363E-2</v>
          </cell>
        </row>
        <row r="19">
          <cell r="G19">
            <v>48381742.73858922</v>
          </cell>
          <cell r="H19">
            <v>7.9230345298890725E-2</v>
          </cell>
          <cell r="J19">
            <v>23754.000000000004</v>
          </cell>
          <cell r="M19">
            <v>2</v>
          </cell>
          <cell r="O19">
            <v>0.45</v>
          </cell>
          <cell r="P19">
            <v>0.47</v>
          </cell>
          <cell r="Q19">
            <v>0.08</v>
          </cell>
          <cell r="S19">
            <v>0</v>
          </cell>
          <cell r="T19">
            <v>1</v>
          </cell>
          <cell r="V19">
            <v>0</v>
          </cell>
          <cell r="W19">
            <v>1</v>
          </cell>
          <cell r="Y19">
            <v>0</v>
          </cell>
          <cell r="Z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</row>
        <row r="20">
          <cell r="G20">
            <v>332724592.14678109</v>
          </cell>
          <cell r="H20">
            <v>0.04</v>
          </cell>
          <cell r="J20">
            <v>215143</v>
          </cell>
          <cell r="M20">
            <v>0</v>
          </cell>
          <cell r="O20">
            <v>0.56902571777840782</v>
          </cell>
          <cell r="P20">
            <v>0.30606619783120992</v>
          </cell>
          <cell r="Q20">
            <v>0.12490808439038224</v>
          </cell>
          <cell r="S20">
            <v>0</v>
          </cell>
          <cell r="T20">
            <v>1</v>
          </cell>
          <cell r="V20">
            <v>2.3240356414105965E-2</v>
          </cell>
          <cell r="W20">
            <v>0.97675964358589407</v>
          </cell>
          <cell r="Y20">
            <v>0</v>
          </cell>
          <cell r="Z20">
            <v>0</v>
          </cell>
          <cell r="AB20">
            <v>0.19253937417857461</v>
          </cell>
          <cell r="AC20" t="str">
            <v>BOSCH</v>
          </cell>
          <cell r="AD20">
            <v>9.2337208894791203E-2</v>
          </cell>
          <cell r="AE20" t="str">
            <v>MAKITA</v>
          </cell>
          <cell r="AF20">
            <v>4.094105990102994E-2</v>
          </cell>
          <cell r="AG20" t="str">
            <v>Al-ko</v>
          </cell>
          <cell r="AH20">
            <v>3.8117530623986887E-2</v>
          </cell>
          <cell r="AI20" t="str">
            <v>Stihl</v>
          </cell>
          <cell r="AJ20">
            <v>2.6324909916457993E-2</v>
          </cell>
          <cell r="AK20" t="str">
            <v>GREENWORKS</v>
          </cell>
          <cell r="AL20">
            <v>0.59755298263356971</v>
          </cell>
        </row>
        <row r="21">
          <cell r="G21">
            <v>32489582.949082259</v>
          </cell>
          <cell r="H21">
            <v>5.9517121731213596E-2</v>
          </cell>
          <cell r="J21">
            <v>16995</v>
          </cell>
          <cell r="M21">
            <v>3</v>
          </cell>
          <cell r="O21">
            <v>0.45</v>
          </cell>
          <cell r="P21">
            <v>0.47</v>
          </cell>
          <cell r="Q21">
            <v>0.08</v>
          </cell>
          <cell r="S21">
            <v>0</v>
          </cell>
          <cell r="T21">
            <v>1</v>
          </cell>
          <cell r="V21">
            <v>0</v>
          </cell>
          <cell r="W21">
            <v>1</v>
          </cell>
          <cell r="Y21">
            <v>0</v>
          </cell>
          <cell r="Z21">
            <v>0</v>
          </cell>
          <cell r="AB21">
            <v>0.52</v>
          </cell>
          <cell r="AC21" t="str">
            <v>Bosch</v>
          </cell>
          <cell r="AD21">
            <v>4.2000000000000003E-2</v>
          </cell>
          <cell r="AE21" t="str">
            <v>Stihl</v>
          </cell>
          <cell r="AF21">
            <v>3.7999999999999999E-2</v>
          </cell>
          <cell r="AG21" t="str">
            <v>Ikra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0.02</v>
          </cell>
        </row>
        <row r="22">
          <cell r="G22">
            <v>907746985.27226973</v>
          </cell>
          <cell r="H22">
            <v>5.3638034869112339E-2</v>
          </cell>
          <cell r="J22">
            <v>637500</v>
          </cell>
          <cell r="M22">
            <v>3</v>
          </cell>
          <cell r="O22">
            <v>0.45</v>
          </cell>
          <cell r="P22">
            <v>0.47</v>
          </cell>
          <cell r="Q22">
            <v>0.08</v>
          </cell>
          <cell r="S22">
            <v>0</v>
          </cell>
          <cell r="T22">
            <v>1</v>
          </cell>
          <cell r="V22">
            <v>0</v>
          </cell>
          <cell r="W22">
            <v>1</v>
          </cell>
          <cell r="Y22">
            <v>0</v>
          </cell>
          <cell r="Z22">
            <v>0</v>
          </cell>
          <cell r="AB22">
            <v>0.115</v>
          </cell>
          <cell r="AC22" t="str">
            <v>Bosch</v>
          </cell>
          <cell r="AD22">
            <v>5.1999999999999998E-2</v>
          </cell>
          <cell r="AE22" t="str">
            <v>Lesnik</v>
          </cell>
          <cell r="AF22">
            <v>3.7999999999999999E-2</v>
          </cell>
          <cell r="AG22" t="str">
            <v>ALKO</v>
          </cell>
          <cell r="AH22">
            <v>3.5999999999999997E-2</v>
          </cell>
          <cell r="AI22" t="str">
            <v>Kalibr</v>
          </cell>
          <cell r="AJ22">
            <v>0</v>
          </cell>
          <cell r="AK22">
            <v>0</v>
          </cell>
          <cell r="AL22">
            <v>0.15</v>
          </cell>
        </row>
        <row r="23">
          <cell r="G23">
            <v>773190727.9409883</v>
          </cell>
          <cell r="H23">
            <v>5.5618571473524892E-2</v>
          </cell>
          <cell r="J23">
            <v>247249.99999999997</v>
          </cell>
          <cell r="M23">
            <v>3</v>
          </cell>
          <cell r="O23">
            <v>0.45</v>
          </cell>
          <cell r="P23">
            <v>0.47</v>
          </cell>
          <cell r="Q23">
            <v>0.08</v>
          </cell>
          <cell r="S23">
            <v>0</v>
          </cell>
          <cell r="T23">
            <v>1</v>
          </cell>
          <cell r="V23">
            <v>0</v>
          </cell>
          <cell r="W23">
            <v>1</v>
          </cell>
          <cell r="Y23">
            <v>0</v>
          </cell>
          <cell r="Z23">
            <v>0</v>
          </cell>
          <cell r="AB23">
            <v>0.17</v>
          </cell>
          <cell r="AC23" t="str">
            <v>Bosch</v>
          </cell>
          <cell r="AD23">
            <v>0.09</v>
          </cell>
          <cell r="AE23" t="str">
            <v>ALKO</v>
          </cell>
          <cell r="AF23">
            <v>0.04</v>
          </cell>
          <cell r="AG23" t="str">
            <v>MTD</v>
          </cell>
          <cell r="AH23">
            <v>0.03</v>
          </cell>
          <cell r="AI23" t="str">
            <v>Patriotgarden</v>
          </cell>
          <cell r="AJ23">
            <v>0</v>
          </cell>
          <cell r="AK23">
            <v>0</v>
          </cell>
          <cell r="AL23">
            <v>4.4999999999999998E-2</v>
          </cell>
        </row>
        <row r="24">
          <cell r="G24">
            <v>18103000</v>
          </cell>
          <cell r="H24">
            <v>0.30414912172206976</v>
          </cell>
          <cell r="J24">
            <v>304</v>
          </cell>
          <cell r="M24">
            <v>3</v>
          </cell>
          <cell r="O24">
            <v>0.86</v>
          </cell>
          <cell r="P24">
            <v>0.05</v>
          </cell>
          <cell r="Q24">
            <v>0.09</v>
          </cell>
          <cell r="S24">
            <v>0.05</v>
          </cell>
          <cell r="T24">
            <v>0.95</v>
          </cell>
          <cell r="V24">
            <v>0</v>
          </cell>
          <cell r="W24">
            <v>1</v>
          </cell>
          <cell r="Y24">
            <v>0</v>
          </cell>
          <cell r="Z24">
            <v>0</v>
          </cell>
          <cell r="AB24">
            <v>0.2</v>
          </cell>
          <cell r="AC24" t="str">
            <v>Robomow</v>
          </cell>
          <cell r="AD24">
            <v>0.15</v>
          </cell>
          <cell r="AE24" t="str">
            <v>Bosch</v>
          </cell>
          <cell r="AF24">
            <v>0.15</v>
          </cell>
          <cell r="AG24" t="str">
            <v>Viking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0.11</v>
          </cell>
        </row>
        <row r="25">
          <cell r="G25">
            <v>85619605</v>
          </cell>
          <cell r="H25">
            <v>5.0000000000000044E-2</v>
          </cell>
          <cell r="J25">
            <v>241</v>
          </cell>
          <cell r="M25">
            <v>0</v>
          </cell>
          <cell r="O25">
            <v>0.9</v>
          </cell>
          <cell r="P25">
            <v>0</v>
          </cell>
          <cell r="Q25">
            <v>9.9999999999999978E-2</v>
          </cell>
          <cell r="S25">
            <v>5.3941908713692949E-2</v>
          </cell>
          <cell r="T25">
            <v>0.94605809128630702</v>
          </cell>
          <cell r="V25">
            <v>0.33195020746887965</v>
          </cell>
          <cell r="W25">
            <v>0.66804979253112029</v>
          </cell>
          <cell r="Y25">
            <v>0</v>
          </cell>
          <cell r="Z25">
            <v>0</v>
          </cell>
          <cell r="AB25">
            <v>0.12471646760497591</v>
          </cell>
          <cell r="AC25" t="str">
            <v>MAX HOLDER</v>
          </cell>
          <cell r="AD25">
            <v>9.6506488983062549E-2</v>
          </cell>
          <cell r="AE25" t="str">
            <v>TORO</v>
          </cell>
          <cell r="AF25">
            <v>4.349997877238513E-2</v>
          </cell>
          <cell r="AG25" t="str">
            <v xml:space="preserve">STIGA </v>
          </cell>
          <cell r="AH25">
            <v>2.2755618801714086E-2</v>
          </cell>
          <cell r="AI25" t="str">
            <v>SHIBAURA</v>
          </cell>
          <cell r="AJ25">
            <v>0</v>
          </cell>
          <cell r="AK25">
            <v>0</v>
          </cell>
          <cell r="AL25">
            <v>0.12253360458269669</v>
          </cell>
        </row>
        <row r="26">
          <cell r="G26">
            <v>750322899.38419986</v>
          </cell>
          <cell r="H26">
            <v>7.0000000000000007E-2</v>
          </cell>
          <cell r="J26">
            <v>27493</v>
          </cell>
          <cell r="M26">
            <v>0</v>
          </cell>
          <cell r="O26">
            <v>0.59119048485068926</v>
          </cell>
          <cell r="P26">
            <v>0.26101189393663843</v>
          </cell>
          <cell r="Q26">
            <v>0.14779762121267231</v>
          </cell>
          <cell r="S26">
            <v>3.6372894918706579E-2</v>
          </cell>
          <cell r="T26">
            <v>0.96362710508129346</v>
          </cell>
          <cell r="V26">
            <v>0.43647473902447897</v>
          </cell>
          <cell r="W26">
            <v>0.56352526097552103</v>
          </cell>
          <cell r="Y26">
            <v>0</v>
          </cell>
          <cell r="Z26">
            <v>0</v>
          </cell>
          <cell r="AB26">
            <v>0.10152813950170125</v>
          </cell>
          <cell r="AC26" t="str">
            <v>HONDA</v>
          </cell>
          <cell r="AD26">
            <v>8.6850627980943437E-2</v>
          </cell>
          <cell r="AE26" t="str">
            <v>MTD</v>
          </cell>
          <cell r="AF26">
            <v>9.6439892823993109E-3</v>
          </cell>
          <cell r="AG26" t="str">
            <v>Al-ko</v>
          </cell>
          <cell r="AH26">
            <v>6.1818931606736393E-3</v>
          </cell>
          <cell r="AI26" t="str">
            <v>B&amp;S</v>
          </cell>
          <cell r="AJ26">
            <v>0</v>
          </cell>
          <cell r="AK26">
            <v>0</v>
          </cell>
          <cell r="AL26">
            <v>0.49551624810398154</v>
          </cell>
        </row>
        <row r="27">
          <cell r="G27">
            <v>4211071872.8813562</v>
          </cell>
          <cell r="H27">
            <v>2.0000000000000018E-2</v>
          </cell>
          <cell r="J27">
            <v>248876</v>
          </cell>
          <cell r="M27">
            <v>0</v>
          </cell>
          <cell r="O27">
            <v>0.72031340908725627</v>
          </cell>
          <cell r="P27">
            <v>0.17205355277326861</v>
          </cell>
          <cell r="Q27">
            <v>0.10763303813947507</v>
          </cell>
          <cell r="S27">
            <v>0</v>
          </cell>
          <cell r="T27">
            <v>1</v>
          </cell>
          <cell r="V27">
            <v>0.10045163053086678</v>
          </cell>
          <cell r="W27">
            <v>0.89954836946913319</v>
          </cell>
          <cell r="Y27">
            <v>0</v>
          </cell>
          <cell r="Z27">
            <v>0</v>
          </cell>
          <cell r="AB27">
            <v>2.7376559815890184E-2</v>
          </cell>
          <cell r="AC27" t="str">
            <v>WEIMA</v>
          </cell>
          <cell r="AD27">
            <v>1.2820132647857333E-2</v>
          </cell>
          <cell r="AE27" t="str">
            <v>Pubert</v>
          </cell>
          <cell r="AF27">
            <v>1.1458911722264296E-2</v>
          </cell>
          <cell r="AG27" t="str">
            <v>Texas</v>
          </cell>
          <cell r="AH27">
            <v>9.4887271152335802E-3</v>
          </cell>
          <cell r="AI27" t="str">
            <v>Viking</v>
          </cell>
          <cell r="AJ27">
            <v>2.5856837234529851E-3</v>
          </cell>
          <cell r="AK27" t="str">
            <v>Al-ko</v>
          </cell>
          <cell r="AL27">
            <v>0.92190493441104959</v>
          </cell>
        </row>
        <row r="28">
          <cell r="G28">
            <v>207060898</v>
          </cell>
          <cell r="H28">
            <v>0.08</v>
          </cell>
          <cell r="J28">
            <v>1328</v>
          </cell>
          <cell r="M28">
            <v>0</v>
          </cell>
          <cell r="O28">
            <v>0.73057228915662653</v>
          </cell>
          <cell r="P28">
            <v>0.18825301204819278</v>
          </cell>
          <cell r="Q28">
            <v>8.1174698795180689E-2</v>
          </cell>
          <cell r="S28">
            <v>0</v>
          </cell>
          <cell r="T28">
            <v>1</v>
          </cell>
          <cell r="V28">
            <v>0.22590361445783133</v>
          </cell>
          <cell r="W28">
            <v>0.77409638554216864</v>
          </cell>
          <cell r="Y28">
            <v>0</v>
          </cell>
          <cell r="Z28">
            <v>0</v>
          </cell>
          <cell r="AB28">
            <v>0.26260290342216136</v>
          </cell>
          <cell r="AC28" t="str">
            <v>Viking</v>
          </cell>
          <cell r="AD28">
            <v>7.0577123851057022E-2</v>
          </cell>
          <cell r="AE28" t="str">
            <v>Makita</v>
          </cell>
          <cell r="AF28">
            <v>4.0501498121719583E-2</v>
          </cell>
          <cell r="AG28" t="str">
            <v xml:space="preserve">STIGA </v>
          </cell>
          <cell r="AH28">
            <v>1.4672466344383654E-2</v>
          </cell>
          <cell r="AI28" t="str">
            <v>HONDA</v>
          </cell>
          <cell r="AJ28">
            <v>9.2488387505344303E-3</v>
          </cell>
          <cell r="AK28" t="str">
            <v>OLEO-MAC</v>
          </cell>
          <cell r="AL28">
            <v>9.0043958039912608E-2</v>
          </cell>
        </row>
        <row r="29">
          <cell r="G29">
            <v>1810991897</v>
          </cell>
          <cell r="H29">
            <v>0.06</v>
          </cell>
          <cell r="J29">
            <v>98259</v>
          </cell>
          <cell r="M29">
            <v>0</v>
          </cell>
          <cell r="O29">
            <v>0.56685290914827147</v>
          </cell>
          <cell r="P29">
            <v>0.29143386356466072</v>
          </cell>
          <cell r="Q29">
            <v>0.14171322728706784</v>
          </cell>
          <cell r="S29">
            <v>3.0531554361432539E-2</v>
          </cell>
          <cell r="T29">
            <v>0.96946844563856749</v>
          </cell>
          <cell r="V29">
            <v>0.30531554361432539</v>
          </cell>
          <cell r="W29">
            <v>0.69468445638567455</v>
          </cell>
          <cell r="Y29">
            <v>0</v>
          </cell>
          <cell r="Z29">
            <v>0</v>
          </cell>
          <cell r="AB29">
            <v>0.15911790079091667</v>
          </cell>
          <cell r="AC29" t="str">
            <v>Al-ko</v>
          </cell>
          <cell r="AD29">
            <v>0.11208161026907124</v>
          </cell>
          <cell r="AE29" t="str">
            <v>Viking</v>
          </cell>
          <cell r="AF29">
            <v>7.9060391290088697E-2</v>
          </cell>
          <cell r="AG29" t="str">
            <v>MAKITA</v>
          </cell>
          <cell r="AH29">
            <v>5.3400861793033189E-2</v>
          </cell>
          <cell r="AI29" t="str">
            <v>MTD</v>
          </cell>
          <cell r="AJ29">
            <v>2.2839051940827099E-2</v>
          </cell>
          <cell r="AK29" t="str">
            <v>Oleo-Mac</v>
          </cell>
          <cell r="AL29">
            <v>0.42495782142860683</v>
          </cell>
        </row>
        <row r="30">
          <cell r="G30">
            <v>0</v>
          </cell>
          <cell r="H30">
            <v>0</v>
          </cell>
          <cell r="J30">
            <v>0</v>
          </cell>
          <cell r="M30">
            <v>0</v>
          </cell>
          <cell r="O30">
            <v>0</v>
          </cell>
          <cell r="P30">
            <v>0</v>
          </cell>
          <cell r="Q30">
            <v>0</v>
          </cell>
          <cell r="S30">
            <v>0</v>
          </cell>
          <cell r="T30">
            <v>0</v>
          </cell>
          <cell r="V30">
            <v>0</v>
          </cell>
          <cell r="W30">
            <v>0</v>
          </cell>
          <cell r="Y30">
            <v>0</v>
          </cell>
          <cell r="Z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</row>
        <row r="31">
          <cell r="G31">
            <v>2079988643.0213325</v>
          </cell>
          <cell r="H31">
            <v>0.16702272103013516</v>
          </cell>
          <cell r="J31">
            <v>0</v>
          </cell>
          <cell r="M31">
            <v>3</v>
          </cell>
          <cell r="O31">
            <v>0.8</v>
          </cell>
          <cell r="P31">
            <v>0.2</v>
          </cell>
          <cell r="Q31">
            <v>0</v>
          </cell>
          <cell r="S31">
            <v>0.3</v>
          </cell>
          <cell r="T31">
            <v>0.7</v>
          </cell>
          <cell r="V31">
            <v>0.3</v>
          </cell>
          <cell r="W31">
            <v>0.7</v>
          </cell>
          <cell r="Y31">
            <v>0</v>
          </cell>
          <cell r="Z31">
            <v>0</v>
          </cell>
          <cell r="AB31">
            <v>0.6</v>
          </cell>
          <cell r="AC31" t="str">
            <v>Hunter</v>
          </cell>
          <cell r="AD31">
            <v>0.2</v>
          </cell>
          <cell r="AE31" t="str">
            <v>Rainbird</v>
          </cell>
          <cell r="AF31">
            <v>5.1999999999999998E-2</v>
          </cell>
          <cell r="AG31" t="str">
            <v>Irritec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</row>
        <row r="32">
          <cell r="G32">
            <v>2169316898.7236538</v>
          </cell>
          <cell r="H32">
            <v>7.5277014305421996E-2</v>
          </cell>
          <cell r="J32">
            <v>0</v>
          </cell>
          <cell r="M32">
            <v>3</v>
          </cell>
          <cell r="O32">
            <v>0.4</v>
          </cell>
          <cell r="P32">
            <v>0.52</v>
          </cell>
          <cell r="Q32">
            <v>0.08</v>
          </cell>
          <cell r="S32">
            <v>0</v>
          </cell>
          <cell r="T32">
            <v>1</v>
          </cell>
          <cell r="V32">
            <v>0</v>
          </cell>
          <cell r="W32">
            <v>1</v>
          </cell>
          <cell r="Y32">
            <v>0</v>
          </cell>
          <cell r="Z32">
            <v>0</v>
          </cell>
          <cell r="AB32">
            <v>0.09</v>
          </cell>
          <cell r="AC32" t="str">
            <v>Hozelock</v>
          </cell>
          <cell r="AD32">
            <v>8.5000000000000006E-2</v>
          </cell>
          <cell r="AE32" t="str">
            <v>Fitt</v>
          </cell>
          <cell r="AF32">
            <v>0.02</v>
          </cell>
          <cell r="AG32" t="str">
            <v>Karcher</v>
          </cell>
          <cell r="AH32">
            <v>1.4999999999999999E-2</v>
          </cell>
          <cell r="AI32" t="str">
            <v>Rehau</v>
          </cell>
          <cell r="AJ32">
            <v>1.2E-2</v>
          </cell>
          <cell r="AK32" t="str">
            <v>Claber</v>
          </cell>
          <cell r="AL32">
            <v>0.55000000000000004</v>
          </cell>
        </row>
        <row r="33">
          <cell r="G33">
            <v>5595075503.7594833</v>
          </cell>
          <cell r="H33">
            <v>6.7296444973697467E-2</v>
          </cell>
          <cell r="J33">
            <v>1914064.48</v>
          </cell>
          <cell r="M33">
            <v>3</v>
          </cell>
          <cell r="O33">
            <v>0.4</v>
          </cell>
          <cell r="P33">
            <v>0.52</v>
          </cell>
          <cell r="Q33">
            <v>0.08</v>
          </cell>
          <cell r="S33">
            <v>0.3</v>
          </cell>
          <cell r="T33">
            <v>0.7</v>
          </cell>
          <cell r="V33">
            <v>0.3</v>
          </cell>
          <cell r="W33">
            <v>0.7</v>
          </cell>
          <cell r="Y33">
            <v>0</v>
          </cell>
          <cell r="Z33">
            <v>0</v>
          </cell>
          <cell r="AB33">
            <v>0.16</v>
          </cell>
          <cell r="AC33" t="str">
            <v>Grundfos</v>
          </cell>
          <cell r="AD33">
            <v>6.3E-2</v>
          </cell>
          <cell r="AE33" t="str">
            <v>Belamos</v>
          </cell>
          <cell r="AF33">
            <v>3.5000000000000003E-2</v>
          </cell>
          <cell r="AG33" t="str">
            <v>Speroni/Marina</v>
          </cell>
          <cell r="AH33">
            <v>2.3E-2</v>
          </cell>
          <cell r="AI33" t="str">
            <v>ALKO</v>
          </cell>
          <cell r="AJ33">
            <v>0.01</v>
          </cell>
          <cell r="AK33" t="str">
            <v>Karcher</v>
          </cell>
          <cell r="AL33">
            <v>0.153</v>
          </cell>
        </row>
        <row r="34">
          <cell r="G34">
            <v>902728031.69546962</v>
          </cell>
          <cell r="H34">
            <v>4.768139267851379E-2</v>
          </cell>
          <cell r="J34">
            <v>0</v>
          </cell>
          <cell r="M34">
            <v>2</v>
          </cell>
          <cell r="O34">
            <v>0.52</v>
          </cell>
          <cell r="P34">
            <v>0.4</v>
          </cell>
          <cell r="Q34">
            <v>0.08</v>
          </cell>
          <cell r="S34">
            <v>0</v>
          </cell>
          <cell r="T34">
            <v>1</v>
          </cell>
          <cell r="V34">
            <v>0</v>
          </cell>
          <cell r="W34">
            <v>1</v>
          </cell>
          <cell r="Y34">
            <v>0</v>
          </cell>
          <cell r="Z34">
            <v>0</v>
          </cell>
          <cell r="AB34">
            <v>0.02</v>
          </cell>
          <cell r="AC34" t="str">
            <v>Hozelock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0.45</v>
          </cell>
        </row>
        <row r="35">
          <cell r="G35">
            <v>1626720457.176419</v>
          </cell>
          <cell r="H35">
            <v>4.5715747696476905E-2</v>
          </cell>
          <cell r="J35">
            <v>2160100.8593999995</v>
          </cell>
          <cell r="M35">
            <v>2</v>
          </cell>
          <cell r="O35">
            <v>0.5</v>
          </cell>
          <cell r="P35">
            <v>0.42</v>
          </cell>
          <cell r="Q35">
            <v>0.08</v>
          </cell>
          <cell r="S35">
            <v>0</v>
          </cell>
          <cell r="T35">
            <v>1</v>
          </cell>
          <cell r="V35">
            <v>0</v>
          </cell>
          <cell r="W35">
            <v>1</v>
          </cell>
          <cell r="Y35">
            <v>0</v>
          </cell>
          <cell r="Z35">
            <v>0</v>
          </cell>
          <cell r="AB35">
            <v>0.09</v>
          </cell>
          <cell r="AC35" t="str">
            <v>Fiskars</v>
          </cell>
          <cell r="AD35">
            <v>0.06</v>
          </cell>
          <cell r="AE35" t="str">
            <v>Instrum-Agro</v>
          </cell>
          <cell r="AF35">
            <v>0.05</v>
          </cell>
          <cell r="AG35" t="str">
            <v>Centroinstrument</v>
          </cell>
          <cell r="AH35">
            <v>0.02</v>
          </cell>
          <cell r="AI35" t="str">
            <v>Wolf-Garten</v>
          </cell>
          <cell r="AJ35">
            <v>0</v>
          </cell>
          <cell r="AK35">
            <v>0</v>
          </cell>
          <cell r="AL35">
            <v>0.22</v>
          </cell>
        </row>
        <row r="36">
          <cell r="G36">
            <v>2113760355.2365065</v>
          </cell>
          <cell r="H36">
            <v>3.9803893401205492E-2</v>
          </cell>
          <cell r="J36">
            <v>8292482.5367999999</v>
          </cell>
          <cell r="M36">
            <v>2</v>
          </cell>
          <cell r="O36">
            <v>0.55000000000000004</v>
          </cell>
          <cell r="P36">
            <v>0.37</v>
          </cell>
          <cell r="Q36">
            <v>0.08</v>
          </cell>
          <cell r="S36">
            <v>0</v>
          </cell>
          <cell r="T36">
            <v>1</v>
          </cell>
          <cell r="V36">
            <v>0</v>
          </cell>
          <cell r="W36">
            <v>1</v>
          </cell>
          <cell r="Y36">
            <v>0</v>
          </cell>
          <cell r="Z36">
            <v>0</v>
          </cell>
          <cell r="AB36">
            <v>0.25</v>
          </cell>
          <cell r="AC36" t="str">
            <v>Fiskars</v>
          </cell>
          <cell r="AD36">
            <v>6.2E-2</v>
          </cell>
          <cell r="AE36" t="str">
            <v>Instrum-Agro</v>
          </cell>
          <cell r="AF36">
            <v>3.5000000000000003E-2</v>
          </cell>
          <cell r="AG36" t="str">
            <v>Centroinstrument</v>
          </cell>
          <cell r="AH36">
            <v>0.03</v>
          </cell>
          <cell r="AI36" t="str">
            <v>Wolf-Garten</v>
          </cell>
          <cell r="AJ36">
            <v>2.1999999999999999E-2</v>
          </cell>
          <cell r="AK36" t="str">
            <v>Bellota</v>
          </cell>
          <cell r="AL36">
            <v>0.06</v>
          </cell>
        </row>
        <row r="37">
          <cell r="G37">
            <v>18111952</v>
          </cell>
          <cell r="H37">
            <v>4.0000000000000036E-2</v>
          </cell>
          <cell r="J37">
            <v>5972</v>
          </cell>
          <cell r="M37">
            <v>0</v>
          </cell>
          <cell r="O37">
            <v>0.45889149363697251</v>
          </cell>
          <cell r="P37">
            <v>0.49012056262558606</v>
          </cell>
          <cell r="Q37">
            <v>5.0987943737441394E-2</v>
          </cell>
          <cell r="S37">
            <v>0</v>
          </cell>
          <cell r="T37">
            <v>1</v>
          </cell>
          <cell r="V37">
            <v>0</v>
          </cell>
          <cell r="W37">
            <v>1</v>
          </cell>
          <cell r="Y37">
            <v>0</v>
          </cell>
          <cell r="Z37">
            <v>0</v>
          </cell>
          <cell r="AB37">
            <v>0.24463343763278525</v>
          </cell>
          <cell r="AC37" t="str">
            <v>BOSCH</v>
          </cell>
          <cell r="AD37">
            <v>0.1765744468992998</v>
          </cell>
          <cell r="AE37" t="str">
            <v>Al-ko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0.2133720607294749</v>
          </cell>
        </row>
        <row r="38">
          <cell r="G38">
            <v>2311406367.0369329</v>
          </cell>
          <cell r="H38">
            <v>7.598883368675291E-2</v>
          </cell>
          <cell r="J38">
            <v>0</v>
          </cell>
          <cell r="M38">
            <v>2</v>
          </cell>
          <cell r="O38">
            <v>0.87</v>
          </cell>
          <cell r="P38">
            <v>0.06</v>
          </cell>
          <cell r="Q38">
            <v>7.0000000000000007E-2</v>
          </cell>
          <cell r="S38">
            <v>0.5</v>
          </cell>
          <cell r="T38">
            <v>0.5</v>
          </cell>
          <cell r="V38">
            <v>0.65</v>
          </cell>
          <cell r="W38">
            <v>0.35</v>
          </cell>
          <cell r="Y38">
            <v>0</v>
          </cell>
          <cell r="Z38">
            <v>0</v>
          </cell>
          <cell r="AB38">
            <v>0.35</v>
          </cell>
          <cell r="AC38" t="str">
            <v>Stihl</v>
          </cell>
          <cell r="AD38">
            <v>0.32</v>
          </cell>
          <cell r="AE38" t="str">
            <v>Oregon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0.12</v>
          </cell>
        </row>
        <row r="39">
          <cell r="G39">
            <v>0</v>
          </cell>
          <cell r="H39">
            <v>0</v>
          </cell>
          <cell r="J39">
            <v>0</v>
          </cell>
          <cell r="M39">
            <v>0</v>
          </cell>
          <cell r="O39">
            <v>0</v>
          </cell>
          <cell r="P39">
            <v>0</v>
          </cell>
          <cell r="Q39">
            <v>0</v>
          </cell>
          <cell r="S39">
            <v>0</v>
          </cell>
          <cell r="T39">
            <v>0</v>
          </cell>
          <cell r="V39">
            <v>0</v>
          </cell>
          <cell r="W39">
            <v>0</v>
          </cell>
          <cell r="Y39">
            <v>0</v>
          </cell>
          <cell r="Z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</row>
        <row r="40">
          <cell r="G40">
            <v>128826855.78534031</v>
          </cell>
          <cell r="H40">
            <v>6.5988728804769137E-2</v>
          </cell>
          <cell r="J40">
            <v>0</v>
          </cell>
          <cell r="M40">
            <v>2</v>
          </cell>
          <cell r="O40">
            <v>0.84</v>
          </cell>
          <cell r="P40">
            <v>0.12</v>
          </cell>
          <cell r="Q40">
            <v>0.04</v>
          </cell>
          <cell r="S40">
            <v>0.7</v>
          </cell>
          <cell r="T40">
            <v>0.3</v>
          </cell>
          <cell r="V40">
            <v>0.7</v>
          </cell>
          <cell r="W40">
            <v>0.3</v>
          </cell>
          <cell r="Y40">
            <v>0</v>
          </cell>
          <cell r="Z40">
            <v>0</v>
          </cell>
          <cell r="AB40">
            <v>0.26</v>
          </cell>
          <cell r="AC40" t="str">
            <v>Stihl</v>
          </cell>
          <cell r="AD40">
            <v>0.15</v>
          </cell>
          <cell r="AE40" t="str">
            <v>Oregon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0.05</v>
          </cell>
        </row>
        <row r="41">
          <cell r="G41">
            <v>0</v>
          </cell>
          <cell r="H41">
            <v>0</v>
          </cell>
          <cell r="J41">
            <v>0</v>
          </cell>
          <cell r="M41">
            <v>0</v>
          </cell>
          <cell r="O41">
            <v>0</v>
          </cell>
          <cell r="P41">
            <v>0</v>
          </cell>
          <cell r="Q41">
            <v>0</v>
          </cell>
          <cell r="S41">
            <v>0</v>
          </cell>
          <cell r="T41">
            <v>0</v>
          </cell>
          <cell r="V41">
            <v>0</v>
          </cell>
          <cell r="W41">
            <v>0</v>
          </cell>
          <cell r="Y41">
            <v>0</v>
          </cell>
          <cell r="Z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</row>
        <row r="42">
          <cell r="G42">
            <v>863938353.12190545</v>
          </cell>
          <cell r="H42">
            <v>0.11389913962241316</v>
          </cell>
          <cell r="J42">
            <v>0</v>
          </cell>
          <cell r="M42">
            <v>3</v>
          </cell>
          <cell r="O42">
            <v>0.77</v>
          </cell>
          <cell r="P42">
            <v>0.15</v>
          </cell>
          <cell r="Q42">
            <v>0.08</v>
          </cell>
          <cell r="S42">
            <v>0.15</v>
          </cell>
          <cell r="T42">
            <v>0.85</v>
          </cell>
          <cell r="V42">
            <v>0.2</v>
          </cell>
          <cell r="W42">
            <v>0.8</v>
          </cell>
          <cell r="Y42">
            <v>0</v>
          </cell>
          <cell r="Z42">
            <v>0</v>
          </cell>
          <cell r="AB42">
            <v>0.24</v>
          </cell>
          <cell r="AC42" t="str">
            <v>Stihl</v>
          </cell>
          <cell r="AD42">
            <v>0.15</v>
          </cell>
          <cell r="AE42" t="str">
            <v>Oregon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0.14000000000000001</v>
          </cell>
        </row>
        <row r="43">
          <cell r="G43">
            <v>1166549394.5001435</v>
          </cell>
          <cell r="H43">
            <v>7.9979999999999996E-2</v>
          </cell>
          <cell r="J43">
            <v>0</v>
          </cell>
          <cell r="M43">
            <v>2</v>
          </cell>
          <cell r="O43">
            <v>0.81</v>
          </cell>
          <cell r="P43">
            <v>0.1</v>
          </cell>
          <cell r="Q43">
            <v>0.09</v>
          </cell>
          <cell r="S43">
            <v>0.2</v>
          </cell>
          <cell r="T43">
            <v>0.8</v>
          </cell>
          <cell r="V43">
            <v>0.2</v>
          </cell>
          <cell r="W43">
            <v>0.8</v>
          </cell>
          <cell r="Y43">
            <v>0</v>
          </cell>
          <cell r="Z43">
            <v>0</v>
          </cell>
          <cell r="AB43">
            <v>0.28000000000000003</v>
          </cell>
          <cell r="AC43" t="str">
            <v>Stihl</v>
          </cell>
          <cell r="AD43">
            <v>7.0000000000000007E-2</v>
          </cell>
          <cell r="AE43" t="str">
            <v>Oregon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0.02</v>
          </cell>
        </row>
        <row r="44">
          <cell r="G44">
            <v>55046046.164236873</v>
          </cell>
          <cell r="H44">
            <v>8.1940075592403003E-2</v>
          </cell>
          <cell r="J44">
            <v>0</v>
          </cell>
          <cell r="M44">
            <v>2</v>
          </cell>
          <cell r="O44">
            <v>0.78</v>
          </cell>
          <cell r="P44">
            <v>0.14000000000000001</v>
          </cell>
          <cell r="Q44">
            <v>0.08</v>
          </cell>
          <cell r="S44">
            <v>0.6</v>
          </cell>
          <cell r="T44">
            <v>0.4</v>
          </cell>
          <cell r="V44">
            <v>0.7</v>
          </cell>
          <cell r="W44">
            <v>0.3</v>
          </cell>
          <cell r="Y44">
            <v>0</v>
          </cell>
          <cell r="Z44">
            <v>0</v>
          </cell>
          <cell r="AB44">
            <v>0.28000000000000003</v>
          </cell>
          <cell r="AC44" t="str">
            <v>Stihl</v>
          </cell>
          <cell r="AD44">
            <v>0.14000000000000001</v>
          </cell>
          <cell r="AE44" t="str">
            <v>Oregon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0.05</v>
          </cell>
        </row>
        <row r="45">
          <cell r="G45">
            <v>81895551.259652317</v>
          </cell>
          <cell r="H45">
            <v>7.3895370252892834E-2</v>
          </cell>
          <cell r="J45">
            <v>0</v>
          </cell>
          <cell r="M45">
            <v>3</v>
          </cell>
          <cell r="O45">
            <v>0.86</v>
          </cell>
          <cell r="P45">
            <v>0.09</v>
          </cell>
          <cell r="Q45">
            <v>0.05</v>
          </cell>
          <cell r="S45">
            <v>0.08</v>
          </cell>
          <cell r="T45">
            <v>0.92</v>
          </cell>
          <cell r="V45">
            <v>0.08</v>
          </cell>
          <cell r="W45">
            <v>0.92</v>
          </cell>
          <cell r="Y45">
            <v>0</v>
          </cell>
          <cell r="Z45">
            <v>0</v>
          </cell>
          <cell r="AB45">
            <v>0.16</v>
          </cell>
          <cell r="AC45" t="str">
            <v>Viking</v>
          </cell>
          <cell r="AD45">
            <v>0.15</v>
          </cell>
          <cell r="AE45" t="str">
            <v>ALKO</v>
          </cell>
          <cell r="AF45">
            <v>0.05</v>
          </cell>
          <cell r="AG45" t="str">
            <v>Makita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0.05</v>
          </cell>
        </row>
        <row r="46">
          <cell r="G46">
            <v>0</v>
          </cell>
          <cell r="H46">
            <v>0</v>
          </cell>
          <cell r="J46">
            <v>0</v>
          </cell>
          <cell r="M46">
            <v>0</v>
          </cell>
          <cell r="O46">
            <v>0</v>
          </cell>
          <cell r="P46">
            <v>0</v>
          </cell>
          <cell r="Q46">
            <v>0</v>
          </cell>
          <cell r="S46">
            <v>0</v>
          </cell>
          <cell r="T46">
            <v>0</v>
          </cell>
          <cell r="V46">
            <v>0</v>
          </cell>
          <cell r="W46">
            <v>0</v>
          </cell>
          <cell r="Y46">
            <v>0</v>
          </cell>
          <cell r="Z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</row>
        <row r="47">
          <cell r="G47">
            <v>0</v>
          </cell>
          <cell r="H47">
            <v>0</v>
          </cell>
          <cell r="J47">
            <v>0</v>
          </cell>
          <cell r="M47">
            <v>0</v>
          </cell>
          <cell r="O47">
            <v>0</v>
          </cell>
          <cell r="P47">
            <v>0</v>
          </cell>
          <cell r="Q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Y47">
            <v>0</v>
          </cell>
          <cell r="Z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</row>
      </sheetData>
      <sheetData sheetId="4">
        <row r="1">
          <cell r="B1" t="str">
            <v>HUSQVARNA GROUP PERSPECTIVE</v>
          </cell>
          <cell r="F1">
            <v>0</v>
          </cell>
          <cell r="G1">
            <v>0</v>
          </cell>
          <cell r="K1">
            <v>0</v>
          </cell>
          <cell r="M1">
            <v>0</v>
          </cell>
          <cell r="N1">
            <v>0</v>
          </cell>
          <cell r="O1">
            <v>0</v>
          </cell>
          <cell r="P1">
            <v>0</v>
          </cell>
          <cell r="X1">
            <v>0</v>
          </cell>
          <cell r="AH1">
            <v>0</v>
          </cell>
          <cell r="AJ1">
            <v>0</v>
          </cell>
        </row>
        <row r="2">
          <cell r="B2">
            <v>0</v>
          </cell>
          <cell r="F2">
            <v>0</v>
          </cell>
          <cell r="G2">
            <v>0</v>
          </cell>
          <cell r="K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X2">
            <v>0</v>
          </cell>
          <cell r="AH2">
            <v>0</v>
          </cell>
          <cell r="AJ2">
            <v>0</v>
          </cell>
        </row>
        <row r="3">
          <cell r="B3">
            <v>0</v>
          </cell>
          <cell r="F3">
            <v>0</v>
          </cell>
          <cell r="G3">
            <v>0</v>
          </cell>
          <cell r="K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X3">
            <v>0</v>
          </cell>
          <cell r="AH3">
            <v>0</v>
          </cell>
          <cell r="AJ3">
            <v>0</v>
          </cell>
        </row>
        <row r="4">
          <cell r="B4">
            <v>0</v>
          </cell>
          <cell r="F4">
            <v>0</v>
          </cell>
          <cell r="G4">
            <v>0</v>
          </cell>
          <cell r="K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X4">
            <v>0</v>
          </cell>
          <cell r="AH4">
            <v>0</v>
          </cell>
          <cell r="AJ4">
            <v>0</v>
          </cell>
        </row>
        <row r="5">
          <cell r="B5">
            <v>0</v>
          </cell>
          <cell r="F5">
            <v>0</v>
          </cell>
          <cell r="G5">
            <v>0</v>
          </cell>
          <cell r="K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X5">
            <v>0</v>
          </cell>
          <cell r="AH5">
            <v>0</v>
          </cell>
          <cell r="AJ5">
            <v>0</v>
          </cell>
        </row>
        <row r="6">
          <cell r="B6">
            <v>0</v>
          </cell>
          <cell r="F6">
            <v>0</v>
          </cell>
          <cell r="G6">
            <v>0</v>
          </cell>
          <cell r="K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X6">
            <v>0</v>
          </cell>
          <cell r="AH6">
            <v>0</v>
          </cell>
          <cell r="AJ6">
            <v>0</v>
          </cell>
        </row>
        <row r="7">
          <cell r="B7">
            <v>0</v>
          </cell>
          <cell r="F7">
            <v>0</v>
          </cell>
          <cell r="G7">
            <v>0</v>
          </cell>
          <cell r="K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X7">
            <v>0</v>
          </cell>
          <cell r="AH7">
            <v>0</v>
          </cell>
          <cell r="AJ7">
            <v>0</v>
          </cell>
        </row>
        <row r="8">
          <cell r="B8">
            <v>0</v>
          </cell>
          <cell r="F8">
            <v>0</v>
          </cell>
          <cell r="G8">
            <v>0</v>
          </cell>
          <cell r="K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X8">
            <v>0</v>
          </cell>
          <cell r="AH8">
            <v>0</v>
          </cell>
          <cell r="AJ8">
            <v>0</v>
          </cell>
        </row>
        <row r="9">
          <cell r="B9" t="str">
            <v>Year</v>
          </cell>
          <cell r="F9">
            <v>0</v>
          </cell>
          <cell r="G9">
            <v>0</v>
          </cell>
          <cell r="K9">
            <v>0</v>
          </cell>
          <cell r="M9" t="str">
            <v>Divisions, Group and Market Value (Manufacturer value, not retail) (input in local currency as in column L)</v>
          </cell>
          <cell r="N9">
            <v>0</v>
          </cell>
          <cell r="O9">
            <v>0</v>
          </cell>
          <cell r="P9">
            <v>0</v>
          </cell>
          <cell r="X9">
            <v>0</v>
          </cell>
          <cell r="AH9">
            <v>0</v>
          </cell>
          <cell r="AJ9">
            <v>0</v>
          </cell>
        </row>
        <row r="10">
          <cell r="B10" t="str">
            <v>Year</v>
          </cell>
          <cell r="F10" t="str">
            <v>Super Category</v>
          </cell>
          <cell r="G10" t="str">
            <v>Sub-category 3</v>
          </cell>
          <cell r="K10" t="str">
            <v>Country/sub-region GDW</v>
          </cell>
          <cell r="M10" t="str">
            <v>Husqvarna net sales</v>
          </cell>
          <cell r="N10" t="str">
            <v>Gardena net sales</v>
          </cell>
          <cell r="O10" t="str">
            <v>Consumer Brands net sales</v>
          </cell>
          <cell r="P10" t="str">
            <v>Group net sales Local currency</v>
          </cell>
          <cell r="X10" t="str">
            <v>Market value in local currency (from column O)</v>
          </cell>
          <cell r="AH10" t="str">
            <v>Group volume #</v>
          </cell>
          <cell r="AJ10" t="str">
            <v>Market volume #</v>
          </cell>
        </row>
        <row r="11">
          <cell r="B11">
            <v>2016</v>
          </cell>
          <cell r="F11" t="str">
            <v>Petrol HH</v>
          </cell>
          <cell r="G11" t="str">
            <v>All chainsaws petrol (pro, prosumer, consumer, tree-care)</v>
          </cell>
          <cell r="K11" t="str">
            <v>Russian Federation</v>
          </cell>
          <cell r="M11">
            <v>747355828.11559999</v>
          </cell>
          <cell r="N11">
            <v>0</v>
          </cell>
          <cell r="O11">
            <v>134865191.49930009</v>
          </cell>
          <cell r="P11">
            <v>882221019.61490011</v>
          </cell>
          <cell r="X11">
            <v>5194913773.7288141</v>
          </cell>
          <cell r="AH11">
            <v>80310</v>
          </cell>
          <cell r="AJ11">
            <v>793079</v>
          </cell>
        </row>
        <row r="12">
          <cell r="B12">
            <v>2016</v>
          </cell>
          <cell r="F12" t="str">
            <v>Petrol HH</v>
          </cell>
          <cell r="G12" t="str">
            <v>All trimmers petrol (trimmer, brushcutter, edger/stick edger, multi-tool)</v>
          </cell>
          <cell r="K12" t="str">
            <v>Russian Federation</v>
          </cell>
          <cell r="M12">
            <v>569249739.30992019</v>
          </cell>
          <cell r="N12">
            <v>0</v>
          </cell>
          <cell r="O12">
            <v>19714998.867010005</v>
          </cell>
          <cell r="P12">
            <v>588964738.17693019</v>
          </cell>
          <cell r="X12">
            <v>5136424515.8898306</v>
          </cell>
          <cell r="AH12">
            <v>48457</v>
          </cell>
          <cell r="AJ12">
            <v>1012513</v>
          </cell>
        </row>
        <row r="13">
          <cell r="B13">
            <v>2016</v>
          </cell>
          <cell r="F13" t="str">
            <v>Petrol HH</v>
          </cell>
          <cell r="G13" t="str">
            <v>All blowers petrol (back pack, handheld)</v>
          </cell>
          <cell r="K13" t="str">
            <v>Russian Federation</v>
          </cell>
          <cell r="M13">
            <v>66408630.68878001</v>
          </cell>
          <cell r="N13">
            <v>0</v>
          </cell>
          <cell r="O13">
            <v>1647417.5719000003</v>
          </cell>
          <cell r="P13">
            <v>68056048.260680005</v>
          </cell>
          <cell r="X13">
            <v>261738006.35593224</v>
          </cell>
          <cell r="AH13">
            <v>3413</v>
          </cell>
          <cell r="AJ13">
            <v>20424</v>
          </cell>
        </row>
        <row r="14">
          <cell r="B14">
            <v>2016</v>
          </cell>
          <cell r="F14" t="str">
            <v>Petrol HH</v>
          </cell>
          <cell r="G14" t="str">
            <v>All hedge trimmers petrol (hedge trimmer, pole hedge trimmer)</v>
          </cell>
          <cell r="K14" t="str">
            <v>Russian Federation</v>
          </cell>
          <cell r="M14">
            <v>10560824.892890001</v>
          </cell>
          <cell r="N14">
            <v>0</v>
          </cell>
          <cell r="O14">
            <v>0</v>
          </cell>
          <cell r="P14">
            <v>10560824.892890001</v>
          </cell>
          <cell r="X14">
            <v>28398483.05084746</v>
          </cell>
          <cell r="AH14">
            <v>661</v>
          </cell>
          <cell r="AJ14">
            <v>2573</v>
          </cell>
        </row>
        <row r="15">
          <cell r="B15">
            <v>2016</v>
          </cell>
          <cell r="F15" t="str">
            <v>Corded</v>
          </cell>
          <cell r="G15" t="str">
            <v>Corded chainsaw</v>
          </cell>
          <cell r="K15" t="str">
            <v>Russian Federation</v>
          </cell>
          <cell r="M15">
            <v>85279.178459999996</v>
          </cell>
          <cell r="N15">
            <v>80262.268009999985</v>
          </cell>
          <cell r="O15">
            <v>3889351.1488199984</v>
          </cell>
          <cell r="P15">
            <v>4054892.5952899982</v>
          </cell>
          <cell r="X15">
            <v>332724592.14678109</v>
          </cell>
          <cell r="AH15">
            <v>758</v>
          </cell>
          <cell r="AJ15">
            <v>215143</v>
          </cell>
        </row>
        <row r="16">
          <cell r="B16">
            <v>2016</v>
          </cell>
          <cell r="F16" t="str">
            <v>Battery</v>
          </cell>
          <cell r="G16" t="str">
            <v>Battery chainsaw</v>
          </cell>
          <cell r="K16" t="str">
            <v>Russian Federation</v>
          </cell>
          <cell r="M16">
            <v>1230528.6481099997</v>
          </cell>
          <cell r="N16">
            <v>569603.94053999998</v>
          </cell>
          <cell r="O16">
            <v>0</v>
          </cell>
          <cell r="P16">
            <v>1800132.5886499998</v>
          </cell>
          <cell r="X16">
            <v>29190667.372881349</v>
          </cell>
          <cell r="AH16">
            <v>123</v>
          </cell>
          <cell r="AJ16">
            <v>3264</v>
          </cell>
        </row>
        <row r="17">
          <cell r="B17">
            <v>2016</v>
          </cell>
          <cell r="F17" t="str">
            <v>Corded</v>
          </cell>
          <cell r="G17" t="str">
            <v>Corded trimmer</v>
          </cell>
          <cell r="K17" t="str">
            <v>Russian Federation</v>
          </cell>
          <cell r="M17">
            <v>0</v>
          </cell>
          <cell r="N17">
            <v>21858269.512680005</v>
          </cell>
          <cell r="O17">
            <v>0</v>
          </cell>
          <cell r="P17">
            <v>21858269.512680005</v>
          </cell>
          <cell r="X17">
            <v>907746985.27226973</v>
          </cell>
          <cell r="AH17">
            <v>10833</v>
          </cell>
          <cell r="AJ17">
            <v>637500</v>
          </cell>
        </row>
        <row r="18">
          <cell r="B18">
            <v>2016</v>
          </cell>
          <cell r="F18" t="str">
            <v>Battery</v>
          </cell>
          <cell r="G18" t="str">
            <v>Battery trimmer</v>
          </cell>
          <cell r="K18" t="str">
            <v>Russian Federation</v>
          </cell>
          <cell r="M18">
            <v>1700188.7786400006</v>
          </cell>
          <cell r="N18">
            <v>2609911.4464499997</v>
          </cell>
          <cell r="O18">
            <v>0</v>
          </cell>
          <cell r="P18">
            <v>4310100.2250900008</v>
          </cell>
          <cell r="X18">
            <v>33149298.305084746</v>
          </cell>
          <cell r="AH18">
            <v>556</v>
          </cell>
          <cell r="AJ18">
            <v>6239</v>
          </cell>
        </row>
        <row r="19">
          <cell r="B19">
            <v>2016</v>
          </cell>
          <cell r="F19" t="str">
            <v>Corded</v>
          </cell>
          <cell r="G19" t="str">
            <v>Corded blower</v>
          </cell>
          <cell r="K19" t="str">
            <v>Russian Federation</v>
          </cell>
          <cell r="M19">
            <v>0</v>
          </cell>
          <cell r="N19">
            <v>0</v>
          </cell>
          <cell r="O19">
            <v>590974.47270999989</v>
          </cell>
          <cell r="P19">
            <v>590974.47270999989</v>
          </cell>
          <cell r="X19">
            <v>48381742.73858922</v>
          </cell>
          <cell r="AH19">
            <v>104</v>
          </cell>
          <cell r="AJ19">
            <v>23754.000000000004</v>
          </cell>
        </row>
        <row r="20">
          <cell r="B20">
            <v>2016</v>
          </cell>
          <cell r="F20" t="str">
            <v>Battery</v>
          </cell>
          <cell r="G20" t="str">
            <v>Battery blower</v>
          </cell>
          <cell r="K20" t="str">
            <v>Russian Federation</v>
          </cell>
          <cell r="M20">
            <v>695377.39930000005</v>
          </cell>
          <cell r="N20">
            <v>324538.31082800002</v>
          </cell>
          <cell r="O20">
            <v>0</v>
          </cell>
          <cell r="P20">
            <v>1019915.710128</v>
          </cell>
          <cell r="X20">
            <v>14513243.008474579</v>
          </cell>
          <cell r="AH20">
            <v>3004</v>
          </cell>
          <cell r="AJ20">
            <v>3117</v>
          </cell>
        </row>
        <row r="21">
          <cell r="B21">
            <v>2016</v>
          </cell>
          <cell r="F21" t="str">
            <v>Corded</v>
          </cell>
          <cell r="G21" t="str">
            <v>Corded hedge trimmer</v>
          </cell>
          <cell r="K21" t="str">
            <v>Russian Federation</v>
          </cell>
          <cell r="M21">
            <v>0</v>
          </cell>
          <cell r="N21">
            <v>4570856.001360002</v>
          </cell>
          <cell r="O21">
            <v>0</v>
          </cell>
          <cell r="P21">
            <v>4570856.001360002</v>
          </cell>
          <cell r="X21">
            <v>32489582.949082259</v>
          </cell>
          <cell r="AH21">
            <v>1099</v>
          </cell>
          <cell r="AJ21">
            <v>16995</v>
          </cell>
        </row>
        <row r="22">
          <cell r="B22">
            <v>2016</v>
          </cell>
          <cell r="F22" t="str">
            <v>Battery</v>
          </cell>
          <cell r="G22" t="str">
            <v>Battery hedge trimmer</v>
          </cell>
          <cell r="K22" t="str">
            <v>Russian Federation</v>
          </cell>
          <cell r="M22">
            <v>815028.61646999978</v>
          </cell>
          <cell r="N22">
            <v>1861491.2436799994</v>
          </cell>
          <cell r="O22">
            <v>0</v>
          </cell>
          <cell r="P22">
            <v>2676519.8601499991</v>
          </cell>
          <cell r="X22">
            <v>14385768.432203392</v>
          </cell>
          <cell r="AH22">
            <v>402</v>
          </cell>
          <cell r="AJ22">
            <v>2331</v>
          </cell>
        </row>
        <row r="23">
          <cell r="B23">
            <v>2016</v>
          </cell>
          <cell r="F23" t="str">
            <v>Corded</v>
          </cell>
          <cell r="G23" t="str">
            <v>Corded walk behind lawn mower</v>
          </cell>
          <cell r="K23" t="str">
            <v>Russian Federation</v>
          </cell>
          <cell r="M23">
            <v>0</v>
          </cell>
          <cell r="N23">
            <v>111869898.37012002</v>
          </cell>
          <cell r="O23">
            <v>39920.868170000002</v>
          </cell>
          <cell r="P23">
            <v>111909819.23829001</v>
          </cell>
          <cell r="X23">
            <v>773190727.9409883</v>
          </cell>
          <cell r="AH23">
            <v>17008</v>
          </cell>
          <cell r="AJ23">
            <v>247249.99999999997</v>
          </cell>
        </row>
        <row r="24">
          <cell r="B24">
            <v>2016</v>
          </cell>
          <cell r="F24" t="str">
            <v>Battery</v>
          </cell>
          <cell r="G24" t="str">
            <v>Battery walk behind lawn mower</v>
          </cell>
          <cell r="K24" t="str">
            <v>Russian Federation</v>
          </cell>
          <cell r="M24">
            <v>1694409.9616000003</v>
          </cell>
          <cell r="N24">
            <v>0</v>
          </cell>
          <cell r="O24">
            <v>0</v>
          </cell>
          <cell r="P24">
            <v>1694409.9616000003</v>
          </cell>
          <cell r="X24">
            <v>66706372.881355941</v>
          </cell>
          <cell r="AH24">
            <v>75</v>
          </cell>
          <cell r="AJ24">
            <v>4408</v>
          </cell>
        </row>
        <row r="25">
          <cell r="B25">
            <v>2016</v>
          </cell>
          <cell r="F25" t="str">
            <v>Robotics</v>
          </cell>
          <cell r="G25" t="str">
            <v>Robotic lawn mower</v>
          </cell>
          <cell r="K25" t="str">
            <v>Russian Federation</v>
          </cell>
          <cell r="M25">
            <v>4707193.7154400013</v>
          </cell>
          <cell r="N25">
            <v>1020642.84202</v>
          </cell>
          <cell r="O25">
            <v>0</v>
          </cell>
          <cell r="P25">
            <v>5727836.5574600017</v>
          </cell>
          <cell r="X25">
            <v>18103000</v>
          </cell>
          <cell r="AH25">
            <v>87</v>
          </cell>
          <cell r="AJ25">
            <v>304</v>
          </cell>
        </row>
        <row r="26">
          <cell r="B26">
            <v>2016</v>
          </cell>
          <cell r="F26" t="str">
            <v>Wheeled</v>
          </cell>
          <cell r="G26" t="str">
            <v>Walk behind lawn mower petrol</v>
          </cell>
          <cell r="K26" t="str">
            <v>Russian Federation</v>
          </cell>
          <cell r="M26">
            <v>191088547.78496</v>
          </cell>
          <cell r="N26">
            <v>0</v>
          </cell>
          <cell r="O26">
            <v>77920467.041060001</v>
          </cell>
          <cell r="P26">
            <v>269009014.82602</v>
          </cell>
          <cell r="X26">
            <v>1810991897</v>
          </cell>
          <cell r="AH26">
            <v>11185</v>
          </cell>
          <cell r="AJ26">
            <v>98259</v>
          </cell>
        </row>
        <row r="27">
          <cell r="B27">
            <v>2016</v>
          </cell>
          <cell r="F27" t="str">
            <v>Wheeled</v>
          </cell>
          <cell r="G27" t="str">
            <v>Tractor</v>
          </cell>
          <cell r="K27" t="str">
            <v>Russian Federation</v>
          </cell>
          <cell r="M27">
            <v>61141206.235019997</v>
          </cell>
          <cell r="N27">
            <v>0</v>
          </cell>
          <cell r="O27">
            <v>44947109.825189993</v>
          </cell>
          <cell r="P27">
            <v>106088316.06020999</v>
          </cell>
          <cell r="X27">
            <v>207060898</v>
          </cell>
          <cell r="AH27">
            <v>783</v>
          </cell>
          <cell r="AJ27">
            <v>1328</v>
          </cell>
        </row>
        <row r="28">
          <cell r="B28">
            <v>2016</v>
          </cell>
          <cell r="F28" t="str">
            <v>Wheeled</v>
          </cell>
          <cell r="G28" t="str">
            <v>Rider/front mower</v>
          </cell>
          <cell r="K28" t="str">
            <v>Russian Federation</v>
          </cell>
          <cell r="M28">
            <v>49062991.028449997</v>
          </cell>
          <cell r="N28">
            <v>0</v>
          </cell>
          <cell r="O28">
            <v>1451534.8946200002</v>
          </cell>
          <cell r="P28">
            <v>50514525.923069999</v>
          </cell>
          <cell r="X28">
            <v>85619605</v>
          </cell>
          <cell r="AH28">
            <v>209</v>
          </cell>
          <cell r="AJ28">
            <v>241</v>
          </cell>
        </row>
        <row r="29">
          <cell r="B29">
            <v>2016</v>
          </cell>
          <cell r="F29" t="str">
            <v>Wheeled</v>
          </cell>
          <cell r="G29" t="str">
            <v>Zero turn mower</v>
          </cell>
          <cell r="K29" t="str">
            <v>Russian Federation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X29">
            <v>0</v>
          </cell>
          <cell r="AH29">
            <v>0</v>
          </cell>
          <cell r="AJ29">
            <v>0</v>
          </cell>
        </row>
        <row r="30">
          <cell r="B30">
            <v>2016</v>
          </cell>
          <cell r="F30" t="str">
            <v>Wheeled</v>
          </cell>
          <cell r="G30" t="str">
            <v>Snow thrower</v>
          </cell>
          <cell r="K30" t="str">
            <v>Russian Federation</v>
          </cell>
          <cell r="M30">
            <v>218814895.87190992</v>
          </cell>
          <cell r="N30">
            <v>0</v>
          </cell>
          <cell r="O30">
            <v>6491390.5429300014</v>
          </cell>
          <cell r="P30">
            <v>225306286.41483992</v>
          </cell>
          <cell r="X30">
            <v>750322899.38419986</v>
          </cell>
          <cell r="AH30">
            <v>2957</v>
          </cell>
          <cell r="AJ30">
            <v>27493</v>
          </cell>
        </row>
        <row r="31">
          <cell r="B31">
            <v>2016</v>
          </cell>
          <cell r="F31" t="str">
            <v>Wheeled</v>
          </cell>
          <cell r="G31" t="str">
            <v>Tiller</v>
          </cell>
          <cell r="K31" t="str">
            <v>Russian Federation</v>
          </cell>
          <cell r="M31">
            <v>60119299.343140014</v>
          </cell>
          <cell r="N31">
            <v>0</v>
          </cell>
          <cell r="O31">
            <v>372961.0405</v>
          </cell>
          <cell r="P31">
            <v>60492260.383640014</v>
          </cell>
          <cell r="X31">
            <v>4211071872.8813562</v>
          </cell>
          <cell r="AH31">
            <v>2180</v>
          </cell>
          <cell r="AJ31">
            <v>248876</v>
          </cell>
        </row>
        <row r="32">
          <cell r="B32">
            <v>2016</v>
          </cell>
          <cell r="F32" t="str">
            <v>Watering</v>
          </cell>
          <cell r="G32" t="str">
            <v>Mobile watering</v>
          </cell>
          <cell r="K32" t="str">
            <v>Russian Federation</v>
          </cell>
          <cell r="M32">
            <v>0</v>
          </cell>
          <cell r="N32">
            <v>379370092.96467006</v>
          </cell>
          <cell r="O32">
            <v>0</v>
          </cell>
          <cell r="P32">
            <v>379370092.96467006</v>
          </cell>
          <cell r="X32">
            <v>2169316898.7236538</v>
          </cell>
          <cell r="AH32">
            <v>750351</v>
          </cell>
          <cell r="AJ32">
            <v>0</v>
          </cell>
        </row>
        <row r="33">
          <cell r="B33">
            <v>2016</v>
          </cell>
          <cell r="F33" t="str">
            <v>Watering</v>
          </cell>
          <cell r="G33" t="str">
            <v>Irrigation systems</v>
          </cell>
          <cell r="K33" t="str">
            <v>Russian Federation</v>
          </cell>
          <cell r="M33">
            <v>0</v>
          </cell>
          <cell r="N33">
            <v>90632490.891430005</v>
          </cell>
          <cell r="O33">
            <v>0</v>
          </cell>
          <cell r="P33">
            <v>90632490.891430005</v>
          </cell>
          <cell r="X33">
            <v>2079988643.0213325</v>
          </cell>
          <cell r="AH33">
            <v>97878</v>
          </cell>
          <cell r="AJ33">
            <v>0</v>
          </cell>
        </row>
        <row r="34">
          <cell r="B34">
            <v>2016</v>
          </cell>
          <cell r="F34" t="str">
            <v>Watering</v>
          </cell>
          <cell r="G34" t="str">
            <v>Pumps</v>
          </cell>
          <cell r="K34" t="str">
            <v>Russian Federation</v>
          </cell>
          <cell r="M34">
            <v>0</v>
          </cell>
          <cell r="N34">
            <v>119577962.25861999</v>
          </cell>
          <cell r="O34">
            <v>0</v>
          </cell>
          <cell r="P34">
            <v>119577962.25861999</v>
          </cell>
          <cell r="X34">
            <v>5595075503.7594833</v>
          </cell>
          <cell r="AH34">
            <v>41202</v>
          </cell>
          <cell r="AJ34">
            <v>1914064.48</v>
          </cell>
        </row>
        <row r="35">
          <cell r="B35">
            <v>2016</v>
          </cell>
          <cell r="F35" t="str">
            <v>Hand tools</v>
          </cell>
          <cell r="G35" t="str">
            <v>Garden tools</v>
          </cell>
          <cell r="K35" t="str">
            <v>Russian Federation</v>
          </cell>
          <cell r="M35">
            <v>0</v>
          </cell>
          <cell r="N35">
            <v>51725705.202550001</v>
          </cell>
          <cell r="O35">
            <v>0</v>
          </cell>
          <cell r="P35">
            <v>51725705.202550001</v>
          </cell>
          <cell r="X35">
            <v>1626720457.176419</v>
          </cell>
          <cell r="AH35">
            <v>68173</v>
          </cell>
          <cell r="AJ35">
            <v>2160100.8593999995</v>
          </cell>
        </row>
        <row r="36">
          <cell r="B36">
            <v>2016</v>
          </cell>
          <cell r="F36" t="str">
            <v>Hand tools</v>
          </cell>
          <cell r="G36" t="str">
            <v>Mechanical cutting</v>
          </cell>
          <cell r="K36" t="str">
            <v>Russian Federation</v>
          </cell>
          <cell r="M36">
            <v>0</v>
          </cell>
          <cell r="N36">
            <v>77829090.804519996</v>
          </cell>
          <cell r="O36">
            <v>0</v>
          </cell>
          <cell r="P36">
            <v>77829090.804519996</v>
          </cell>
          <cell r="X36">
            <v>2113760355.2365065</v>
          </cell>
          <cell r="AH36">
            <v>69465</v>
          </cell>
          <cell r="AJ36">
            <v>8292482.5367999999</v>
          </cell>
        </row>
        <row r="37">
          <cell r="B37">
            <v>2016</v>
          </cell>
          <cell r="F37" t="str">
            <v>Hand tools</v>
          </cell>
          <cell r="G37" t="str">
            <v>Push lawn mower</v>
          </cell>
          <cell r="K37" t="str">
            <v>Russian Federation</v>
          </cell>
          <cell r="M37">
            <v>3335957.5457199989</v>
          </cell>
          <cell r="N37">
            <v>3282512.9455399998</v>
          </cell>
          <cell r="O37">
            <v>0</v>
          </cell>
          <cell r="P37">
            <v>6618470.4912599986</v>
          </cell>
          <cell r="X37">
            <v>18111952</v>
          </cell>
          <cell r="AH37">
            <v>1204</v>
          </cell>
          <cell r="AJ37">
            <v>5972</v>
          </cell>
        </row>
        <row r="38">
          <cell r="B38">
            <v>2016</v>
          </cell>
          <cell r="F38" t="str">
            <v>Hand tools</v>
          </cell>
          <cell r="G38" t="str">
            <v>Garden accessories</v>
          </cell>
          <cell r="K38" t="str">
            <v>Russian Federation</v>
          </cell>
          <cell r="M38">
            <v>0</v>
          </cell>
          <cell r="N38">
            <v>49380940.498470023</v>
          </cell>
          <cell r="O38">
            <v>0</v>
          </cell>
          <cell r="P38">
            <v>49380940.498470023</v>
          </cell>
          <cell r="X38">
            <v>902728031.69546962</v>
          </cell>
          <cell r="AH38">
            <v>55869</v>
          </cell>
          <cell r="AJ38">
            <v>0</v>
          </cell>
        </row>
        <row r="39">
          <cell r="B39">
            <v>2016</v>
          </cell>
          <cell r="F39" t="str">
            <v>Parts and accessories</v>
          </cell>
          <cell r="G39" t="str">
            <v>Forest tools</v>
          </cell>
          <cell r="K39" t="str">
            <v>Russian Federation</v>
          </cell>
          <cell r="M39">
            <v>48748495.385689989</v>
          </cell>
          <cell r="N39">
            <v>0</v>
          </cell>
          <cell r="O39">
            <v>2200627.23881</v>
          </cell>
          <cell r="P39">
            <v>50949122.624499992</v>
          </cell>
          <cell r="X39">
            <v>128826855.78534031</v>
          </cell>
          <cell r="AH39">
            <v>0</v>
          </cell>
          <cell r="AJ39">
            <v>0</v>
          </cell>
        </row>
        <row r="40">
          <cell r="B40">
            <v>2016</v>
          </cell>
          <cell r="F40" t="str">
            <v>Parts and accessories</v>
          </cell>
          <cell r="G40" t="str">
            <v>LME</v>
          </cell>
          <cell r="K40" t="str">
            <v>Russian Federation</v>
          </cell>
          <cell r="M40">
            <v>136877477.00124002</v>
          </cell>
          <cell r="N40">
            <v>1110.7086899999999</v>
          </cell>
          <cell r="O40">
            <v>12787598.611789992</v>
          </cell>
          <cell r="P40">
            <v>149666186.32172</v>
          </cell>
          <cell r="X40">
            <v>863938353.12190545</v>
          </cell>
          <cell r="AH40">
            <v>1</v>
          </cell>
          <cell r="AJ40">
            <v>0</v>
          </cell>
        </row>
        <row r="41">
          <cell r="B41">
            <v>2016</v>
          </cell>
          <cell r="F41" t="str">
            <v>Parts and accessories</v>
          </cell>
          <cell r="G41" t="str">
            <v>Lubricants</v>
          </cell>
          <cell r="K41" t="str">
            <v>Russian Federation</v>
          </cell>
          <cell r="M41">
            <v>175952242.22626004</v>
          </cell>
          <cell r="N41">
            <v>0</v>
          </cell>
          <cell r="O41">
            <v>11607032.956399998</v>
          </cell>
          <cell r="P41">
            <v>187559275.18266004</v>
          </cell>
          <cell r="X41">
            <v>1166549394.5001435</v>
          </cell>
          <cell r="AH41">
            <v>0</v>
          </cell>
          <cell r="AJ41">
            <v>0</v>
          </cell>
        </row>
        <row r="42">
          <cell r="B42">
            <v>2016</v>
          </cell>
          <cell r="F42" t="str">
            <v>Parts and accessories</v>
          </cell>
          <cell r="G42" t="str">
            <v>Personal protection equipment</v>
          </cell>
          <cell r="K42" t="str">
            <v>Russian Federation</v>
          </cell>
          <cell r="M42">
            <v>19086016.285689998</v>
          </cell>
          <cell r="N42">
            <v>0</v>
          </cell>
          <cell r="O42">
            <v>1217421.1702800002</v>
          </cell>
          <cell r="P42">
            <v>20303437.455969997</v>
          </cell>
          <cell r="X42">
            <v>55046046.164236873</v>
          </cell>
          <cell r="AH42">
            <v>0</v>
          </cell>
          <cell r="AJ42">
            <v>0</v>
          </cell>
        </row>
        <row r="43">
          <cell r="B43">
            <v>2016</v>
          </cell>
          <cell r="F43" t="str">
            <v>Parts and accessories</v>
          </cell>
          <cell r="G43" t="str">
            <v>Ride-on/Lawnmowers</v>
          </cell>
          <cell r="K43" t="str">
            <v>Russian Federation</v>
          </cell>
          <cell r="M43">
            <v>38711156.248670004</v>
          </cell>
          <cell r="N43">
            <v>2477.2591400000001</v>
          </cell>
          <cell r="O43">
            <v>384841.05983999989</v>
          </cell>
          <cell r="P43">
            <v>39098474.567650005</v>
          </cell>
          <cell r="X43">
            <v>81895551.259652317</v>
          </cell>
          <cell r="AH43">
            <v>222</v>
          </cell>
          <cell r="AJ43">
            <v>0</v>
          </cell>
        </row>
        <row r="44">
          <cell r="B44">
            <v>2016</v>
          </cell>
          <cell r="F44" t="str">
            <v>Parts and accessories</v>
          </cell>
          <cell r="G44" t="str">
            <v>Chains &amp; bars</v>
          </cell>
          <cell r="K44" t="str">
            <v>Russian Federation</v>
          </cell>
          <cell r="M44">
            <v>185387596.47244999</v>
          </cell>
          <cell r="N44">
            <v>0</v>
          </cell>
          <cell r="O44">
            <v>5255649.7461699983</v>
          </cell>
          <cell r="P44">
            <v>190643246.21861997</v>
          </cell>
          <cell r="X44">
            <v>2311406367.0369329</v>
          </cell>
          <cell r="AH44">
            <v>0</v>
          </cell>
          <cell r="AJ44">
            <v>0</v>
          </cell>
        </row>
        <row r="45">
          <cell r="B45">
            <v>2016</v>
          </cell>
          <cell r="F45" t="str">
            <v>Parts and accessories</v>
          </cell>
          <cell r="G45" t="str">
            <v>HH Spare parts</v>
          </cell>
          <cell r="K45" t="str">
            <v>Russian Federation</v>
          </cell>
          <cell r="M45">
            <v>287475590.11600989</v>
          </cell>
          <cell r="N45">
            <v>31348.080880000009</v>
          </cell>
          <cell r="O45">
            <v>15918742.21359</v>
          </cell>
          <cell r="P45">
            <v>303425680.4104799</v>
          </cell>
          <cell r="X45">
            <v>0</v>
          </cell>
          <cell r="AH45">
            <v>0</v>
          </cell>
          <cell r="AJ45">
            <v>0</v>
          </cell>
        </row>
        <row r="46">
          <cell r="B46">
            <v>2016</v>
          </cell>
          <cell r="F46" t="str">
            <v>Parts and accessories</v>
          </cell>
          <cell r="G46" t="str">
            <v>E Spare parts</v>
          </cell>
          <cell r="K46" t="str">
            <v>Russian Federation</v>
          </cell>
          <cell r="M46">
            <v>2165805.2409999995</v>
          </cell>
          <cell r="N46">
            <v>13382455.539080001</v>
          </cell>
          <cell r="O46">
            <v>2009039.2209699997</v>
          </cell>
          <cell r="P46">
            <v>17557300.001050003</v>
          </cell>
          <cell r="X46">
            <v>0</v>
          </cell>
          <cell r="AH46">
            <v>11126</v>
          </cell>
          <cell r="AJ46">
            <v>0</v>
          </cell>
        </row>
        <row r="47">
          <cell r="B47">
            <v>2016</v>
          </cell>
          <cell r="F47" t="str">
            <v>Parts and accessories</v>
          </cell>
          <cell r="G47" t="str">
            <v>W Spare parts</v>
          </cell>
          <cell r="K47" t="str">
            <v>Russian Federation</v>
          </cell>
          <cell r="M47">
            <v>36653129.128279999</v>
          </cell>
          <cell r="N47">
            <v>136545.42520999996</v>
          </cell>
          <cell r="O47">
            <v>16501748.867759999</v>
          </cell>
          <cell r="P47">
            <v>53291423.421250001</v>
          </cell>
          <cell r="X47">
            <v>0</v>
          </cell>
          <cell r="AH47">
            <v>0</v>
          </cell>
          <cell r="AJ47">
            <v>0</v>
          </cell>
        </row>
        <row r="48">
          <cell r="B48">
            <v>2016</v>
          </cell>
          <cell r="F48" t="str">
            <v>Parts and accessories</v>
          </cell>
          <cell r="G48" t="str">
            <v>WA Spare parts</v>
          </cell>
          <cell r="K48" t="str">
            <v>Russian Federation</v>
          </cell>
          <cell r="M48">
            <v>0</v>
          </cell>
          <cell r="N48">
            <v>1766037.8989300001</v>
          </cell>
          <cell r="O48">
            <v>0</v>
          </cell>
          <cell r="P48">
            <v>1766037.8989300001</v>
          </cell>
          <cell r="X48">
            <v>0</v>
          </cell>
          <cell r="AH48">
            <v>0</v>
          </cell>
          <cell r="AJ48">
            <v>0</v>
          </cell>
        </row>
        <row r="49">
          <cell r="B49">
            <v>2016</v>
          </cell>
          <cell r="F49" t="str">
            <v>Battery</v>
          </cell>
          <cell r="G49" t="str">
            <v>Battery grass &amp; shrub shears</v>
          </cell>
          <cell r="K49" t="str">
            <v>Russian Federation</v>
          </cell>
          <cell r="M49">
            <v>0</v>
          </cell>
          <cell r="N49">
            <v>40985252.736090004</v>
          </cell>
          <cell r="O49">
            <v>0</v>
          </cell>
          <cell r="P49">
            <v>40985252.736090004</v>
          </cell>
          <cell r="X49">
            <v>98670000</v>
          </cell>
          <cell r="AH49">
            <v>9295</v>
          </cell>
          <cell r="AJ49">
            <v>35643</v>
          </cell>
        </row>
        <row r="50">
          <cell r="B50">
            <v>2015</v>
          </cell>
          <cell r="F50" t="str">
            <v>Petrol HH</v>
          </cell>
          <cell r="G50" t="str">
            <v>All chainsaws petrol (pro, prosumer, consumer, tree-care)</v>
          </cell>
          <cell r="K50" t="str">
            <v>Russian Federation</v>
          </cell>
          <cell r="M50">
            <v>625833224.9187001</v>
          </cell>
          <cell r="N50">
            <v>0</v>
          </cell>
          <cell r="O50">
            <v>211754258.86843997</v>
          </cell>
          <cell r="P50">
            <v>837587483.78714013</v>
          </cell>
          <cell r="X50">
            <v>5360428156.3752756</v>
          </cell>
          <cell r="AH50">
            <v>95667</v>
          </cell>
          <cell r="AJ50">
            <v>869980</v>
          </cell>
        </row>
        <row r="51">
          <cell r="B51">
            <v>2015</v>
          </cell>
          <cell r="F51" t="str">
            <v>Petrol HH</v>
          </cell>
          <cell r="G51" t="str">
            <v>All hedge trimmers petrol (hedge trimmer, pole hedge trimmer)</v>
          </cell>
          <cell r="K51" t="str">
            <v>Russian Federation</v>
          </cell>
          <cell r="M51">
            <v>7276823.8227000013</v>
          </cell>
          <cell r="N51">
            <v>0</v>
          </cell>
          <cell r="O51">
            <v>0</v>
          </cell>
          <cell r="P51">
            <v>7276823.8227000013</v>
          </cell>
          <cell r="X51">
            <v>25403027.542372882</v>
          </cell>
          <cell r="AH51">
            <v>561</v>
          </cell>
          <cell r="AJ51">
            <v>3030</v>
          </cell>
        </row>
        <row r="52">
          <cell r="B52">
            <v>2015</v>
          </cell>
          <cell r="F52" t="str">
            <v>Petrol HH</v>
          </cell>
          <cell r="G52" t="str">
            <v>All trimmers petrol (trimmer, brushcutter, edger/stick edger, multi-tool)</v>
          </cell>
          <cell r="K52" t="str">
            <v>Russian Federation</v>
          </cell>
          <cell r="M52">
            <v>477885910.99380004</v>
          </cell>
          <cell r="N52">
            <v>0</v>
          </cell>
          <cell r="O52">
            <v>16741881.271599995</v>
          </cell>
          <cell r="P52">
            <v>494627792.26540005</v>
          </cell>
          <cell r="X52">
            <v>5589385676.3044205</v>
          </cell>
          <cell r="AH52">
            <v>50245</v>
          </cell>
          <cell r="AJ52">
            <v>938321.17647058843</v>
          </cell>
        </row>
        <row r="53">
          <cell r="B53">
            <v>2015</v>
          </cell>
          <cell r="F53" t="str">
            <v>Battery</v>
          </cell>
          <cell r="G53" t="str">
            <v>Battery chainsaw</v>
          </cell>
          <cell r="K53" t="str">
            <v>Russian Federation</v>
          </cell>
          <cell r="M53">
            <v>493099.08169999998</v>
          </cell>
          <cell r="N53">
            <v>118191.33989999999</v>
          </cell>
          <cell r="O53">
            <v>0</v>
          </cell>
          <cell r="P53">
            <v>611290.4216</v>
          </cell>
          <cell r="X53">
            <v>19644102</v>
          </cell>
          <cell r="AH53">
            <v>31</v>
          </cell>
          <cell r="AJ53">
            <v>1486</v>
          </cell>
        </row>
        <row r="54">
          <cell r="B54">
            <v>2015</v>
          </cell>
          <cell r="F54" t="str">
            <v>Battery</v>
          </cell>
          <cell r="G54" t="str">
            <v>Battery grass &amp; shrub shears</v>
          </cell>
          <cell r="K54" t="str">
            <v>Russian Federation</v>
          </cell>
          <cell r="M54">
            <v>0</v>
          </cell>
          <cell r="N54">
            <v>36986355.076069996</v>
          </cell>
          <cell r="O54">
            <v>0</v>
          </cell>
          <cell r="P54">
            <v>36986355.076069996</v>
          </cell>
          <cell r="X54">
            <v>72000000</v>
          </cell>
          <cell r="AH54">
            <v>8781</v>
          </cell>
          <cell r="AJ54">
            <v>18000</v>
          </cell>
        </row>
        <row r="55">
          <cell r="B55">
            <v>2015</v>
          </cell>
          <cell r="F55" t="str">
            <v>Battery</v>
          </cell>
          <cell r="G55" t="str">
            <v>Battery hedge trimmer</v>
          </cell>
          <cell r="K55" t="str">
            <v>Russian Federation</v>
          </cell>
          <cell r="M55">
            <v>88683.789499999999</v>
          </cell>
          <cell r="N55">
            <v>770830.50930000027</v>
          </cell>
          <cell r="O55">
            <v>0</v>
          </cell>
          <cell r="P55">
            <v>859514.29880000022</v>
          </cell>
          <cell r="X55">
            <v>6816811</v>
          </cell>
          <cell r="AH55">
            <v>148</v>
          </cell>
          <cell r="AJ55">
            <v>2586</v>
          </cell>
        </row>
        <row r="56">
          <cell r="B56">
            <v>2015</v>
          </cell>
          <cell r="F56" t="str">
            <v>Battery</v>
          </cell>
          <cell r="G56" t="str">
            <v>Battery trimmer</v>
          </cell>
          <cell r="K56" t="str">
            <v>Russian Federation</v>
          </cell>
          <cell r="M56">
            <v>780572.28679999989</v>
          </cell>
          <cell r="N56">
            <v>1776081.8504999999</v>
          </cell>
          <cell r="O56">
            <v>0</v>
          </cell>
          <cell r="P56">
            <v>2556654.1372999996</v>
          </cell>
          <cell r="X56">
            <v>31382441</v>
          </cell>
          <cell r="AH56">
            <v>378</v>
          </cell>
          <cell r="AJ56">
            <v>5935</v>
          </cell>
        </row>
        <row r="57">
          <cell r="B57">
            <v>2015</v>
          </cell>
          <cell r="F57" t="str">
            <v>Battery</v>
          </cell>
          <cell r="G57" t="str">
            <v>Battery walk behind lawn mower</v>
          </cell>
          <cell r="K57" t="str">
            <v>Russian Federation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X57">
            <v>68122754</v>
          </cell>
          <cell r="AH57">
            <v>0</v>
          </cell>
          <cell r="AJ57">
            <v>6871</v>
          </cell>
        </row>
        <row r="58">
          <cell r="B58">
            <v>2015</v>
          </cell>
          <cell r="F58" t="str">
            <v>Parts and accessories</v>
          </cell>
          <cell r="G58" t="str">
            <v>Chains &amp; bars</v>
          </cell>
          <cell r="K58" t="str">
            <v>Russian Federation</v>
          </cell>
          <cell r="M58">
            <v>173907078.74560016</v>
          </cell>
          <cell r="N58">
            <v>0</v>
          </cell>
          <cell r="O58">
            <v>9518571.9092999995</v>
          </cell>
          <cell r="P58">
            <v>183425650.65490016</v>
          </cell>
          <cell r="X58">
            <v>2101278515.4881208</v>
          </cell>
          <cell r="AH58">
            <v>0</v>
          </cell>
          <cell r="AJ58">
            <v>0</v>
          </cell>
        </row>
        <row r="59">
          <cell r="B59">
            <v>2015</v>
          </cell>
          <cell r="F59" t="str">
            <v>Petrol HH</v>
          </cell>
          <cell r="G59" t="str">
            <v>All blowers petrol (back pack, handheld)</v>
          </cell>
          <cell r="K59" t="str">
            <v>Russian Federation</v>
          </cell>
          <cell r="M59">
            <v>43622213.586099997</v>
          </cell>
          <cell r="N59">
            <v>0</v>
          </cell>
          <cell r="O59">
            <v>3312397.4417999997</v>
          </cell>
          <cell r="P59">
            <v>46934611.027899995</v>
          </cell>
          <cell r="X59">
            <v>168341525.42372882</v>
          </cell>
          <cell r="AH59">
            <v>2860</v>
          </cell>
          <cell r="AJ59">
            <v>13100</v>
          </cell>
        </row>
        <row r="60">
          <cell r="B60">
            <v>2015</v>
          </cell>
          <cell r="F60" t="str">
            <v>Battery</v>
          </cell>
          <cell r="G60" t="str">
            <v>Battery blower</v>
          </cell>
          <cell r="K60" t="str">
            <v>Russian Federation</v>
          </cell>
          <cell r="M60">
            <v>0</v>
          </cell>
          <cell r="N60">
            <v>0</v>
          </cell>
          <cell r="O60">
            <v>376648.09100000001</v>
          </cell>
          <cell r="P60">
            <v>376648.09100000001</v>
          </cell>
          <cell r="X60">
            <v>5639301</v>
          </cell>
          <cell r="AH60">
            <v>55</v>
          </cell>
          <cell r="AJ60">
            <v>1138</v>
          </cell>
        </row>
        <row r="61">
          <cell r="B61">
            <v>2015</v>
          </cell>
          <cell r="F61" t="str">
            <v>Corded</v>
          </cell>
          <cell r="G61" t="str">
            <v>Corded blower</v>
          </cell>
          <cell r="K61" t="str">
            <v>Russian Federation</v>
          </cell>
          <cell r="M61">
            <v>0</v>
          </cell>
          <cell r="N61">
            <v>12246874.078800004</v>
          </cell>
          <cell r="O61">
            <v>0</v>
          </cell>
          <cell r="P61">
            <v>12246874.078800004</v>
          </cell>
          <cell r="X61">
            <v>31712250.750991851</v>
          </cell>
          <cell r="AH61">
            <v>2645</v>
          </cell>
          <cell r="AJ61">
            <v>9533</v>
          </cell>
        </row>
        <row r="62">
          <cell r="B62">
            <v>2015</v>
          </cell>
          <cell r="F62" t="str">
            <v>Corded</v>
          </cell>
          <cell r="G62" t="str">
            <v>Corded chainsaw</v>
          </cell>
          <cell r="K62" t="str">
            <v>Russian Federation</v>
          </cell>
          <cell r="M62">
            <v>1188436.2069999999</v>
          </cell>
          <cell r="N62">
            <v>299574.07469999994</v>
          </cell>
          <cell r="O62">
            <v>4788221.1522000004</v>
          </cell>
          <cell r="P62">
            <v>6276231.4339000005</v>
          </cell>
          <cell r="X62">
            <v>607314103.98937738</v>
          </cell>
          <cell r="AH62">
            <v>1381</v>
          </cell>
          <cell r="AJ62">
            <v>218567</v>
          </cell>
        </row>
        <row r="63">
          <cell r="B63">
            <v>2015</v>
          </cell>
          <cell r="F63" t="str">
            <v>Corded</v>
          </cell>
          <cell r="G63" t="str">
            <v>Corded hedge trimmer</v>
          </cell>
          <cell r="K63" t="str">
            <v>Russian Federation</v>
          </cell>
          <cell r="M63">
            <v>0</v>
          </cell>
          <cell r="N63">
            <v>1998354.4984000006</v>
          </cell>
          <cell r="O63">
            <v>3005.42</v>
          </cell>
          <cell r="P63">
            <v>2001359.9184000005</v>
          </cell>
          <cell r="X63">
            <v>33544250.084449757</v>
          </cell>
          <cell r="AH63">
            <v>571</v>
          </cell>
          <cell r="AJ63">
            <v>12309</v>
          </cell>
        </row>
        <row r="64">
          <cell r="B64">
            <v>2015</v>
          </cell>
          <cell r="F64" t="str">
            <v>Corded</v>
          </cell>
          <cell r="G64" t="str">
            <v>Corded trimmer</v>
          </cell>
          <cell r="K64" t="str">
            <v>Russian Federation</v>
          </cell>
          <cell r="M64">
            <v>0</v>
          </cell>
          <cell r="N64">
            <v>9396925.9538199976</v>
          </cell>
          <cell r="O64">
            <v>59723.240000000005</v>
          </cell>
          <cell r="P64">
            <v>9456649.1938199978</v>
          </cell>
          <cell r="X64">
            <v>609041152.9089154</v>
          </cell>
          <cell r="AH64">
            <v>5661</v>
          </cell>
          <cell r="AJ64">
            <v>469309</v>
          </cell>
        </row>
        <row r="65">
          <cell r="B65">
            <v>2015</v>
          </cell>
          <cell r="F65" t="str">
            <v>Corded</v>
          </cell>
          <cell r="G65" t="str">
            <v>Corded walk behind lawn mower</v>
          </cell>
          <cell r="K65" t="str">
            <v>Russian Federation</v>
          </cell>
          <cell r="M65">
            <v>0</v>
          </cell>
          <cell r="N65">
            <v>85502267.806869999</v>
          </cell>
          <cell r="O65">
            <v>2061292.4572000001</v>
          </cell>
          <cell r="P65">
            <v>87563560.264070004</v>
          </cell>
          <cell r="X65">
            <v>783406026.131639</v>
          </cell>
          <cell r="AH65">
            <v>15101</v>
          </cell>
          <cell r="AJ65">
            <v>201173</v>
          </cell>
        </row>
        <row r="66">
          <cell r="B66">
            <v>2015</v>
          </cell>
          <cell r="F66" t="str">
            <v>Parts and accessories</v>
          </cell>
          <cell r="G66" t="str">
            <v>E Spare parts</v>
          </cell>
          <cell r="K66" t="str">
            <v>Russian Federation</v>
          </cell>
          <cell r="M66">
            <v>2054559.3806999996</v>
          </cell>
          <cell r="N66">
            <v>8456496.1400800012</v>
          </cell>
          <cell r="O66">
            <v>1501713.1265000002</v>
          </cell>
          <cell r="P66">
            <v>12012768.64728</v>
          </cell>
          <cell r="X66">
            <v>245700000</v>
          </cell>
          <cell r="AH66">
            <v>6425</v>
          </cell>
          <cell r="AJ66">
            <v>0</v>
          </cell>
        </row>
        <row r="67">
          <cell r="B67">
            <v>2015</v>
          </cell>
          <cell r="F67" t="str">
            <v>Parts and accessories</v>
          </cell>
          <cell r="G67" t="str">
            <v>Forest tools</v>
          </cell>
          <cell r="K67" t="str">
            <v>Russian Federation</v>
          </cell>
          <cell r="M67">
            <v>41011153.127200022</v>
          </cell>
          <cell r="N67">
            <v>0</v>
          </cell>
          <cell r="O67">
            <v>5030894.7163800001</v>
          </cell>
          <cell r="P67">
            <v>46042047.843580022</v>
          </cell>
          <cell r="X67">
            <v>112023352.85681766</v>
          </cell>
          <cell r="AH67">
            <v>0</v>
          </cell>
          <cell r="AJ67">
            <v>0</v>
          </cell>
        </row>
        <row r="68">
          <cell r="B68">
            <v>2015</v>
          </cell>
          <cell r="F68" t="str">
            <v>Hand tools</v>
          </cell>
          <cell r="G68" t="str">
            <v>Garden accessories</v>
          </cell>
          <cell r="K68" t="str">
            <v>Russian Federation</v>
          </cell>
          <cell r="M68">
            <v>0</v>
          </cell>
          <cell r="N68">
            <v>44491369.249699995</v>
          </cell>
          <cell r="O68">
            <v>0</v>
          </cell>
          <cell r="P68">
            <v>44491369.249699995</v>
          </cell>
          <cell r="X68">
            <v>696549407</v>
          </cell>
          <cell r="AH68">
            <v>63824</v>
          </cell>
          <cell r="AJ68">
            <v>670000.00017037895</v>
          </cell>
        </row>
        <row r="69">
          <cell r="B69">
            <v>2015</v>
          </cell>
          <cell r="F69" t="str">
            <v>Hand tools</v>
          </cell>
          <cell r="G69" t="str">
            <v>Garden tools</v>
          </cell>
          <cell r="K69" t="str">
            <v>Russian Federation</v>
          </cell>
          <cell r="M69">
            <v>0</v>
          </cell>
          <cell r="N69">
            <v>44306383.444829993</v>
          </cell>
          <cell r="O69">
            <v>0</v>
          </cell>
          <cell r="P69">
            <v>44306383.444829993</v>
          </cell>
          <cell r="X69">
            <v>1316868941.5237677</v>
          </cell>
          <cell r="AH69">
            <v>66969</v>
          </cell>
          <cell r="AJ69">
            <v>0</v>
          </cell>
        </row>
        <row r="70">
          <cell r="B70">
            <v>2015</v>
          </cell>
          <cell r="F70" t="str">
            <v>Parts and accessories</v>
          </cell>
          <cell r="G70" t="str">
            <v>HH Spare parts</v>
          </cell>
          <cell r="K70" t="str">
            <v>Russian Federation</v>
          </cell>
          <cell r="M70">
            <v>249785595.73460004</v>
          </cell>
          <cell r="N70">
            <v>8658.3562000000002</v>
          </cell>
          <cell r="O70">
            <v>20665418.627390001</v>
          </cell>
          <cell r="P70">
            <v>270459672.71819007</v>
          </cell>
          <cell r="X70">
            <v>2089100905</v>
          </cell>
          <cell r="AH70">
            <v>0</v>
          </cell>
          <cell r="AJ70">
            <v>0</v>
          </cell>
        </row>
        <row r="71">
          <cell r="B71">
            <v>2015</v>
          </cell>
          <cell r="F71" t="str">
            <v>Watering</v>
          </cell>
          <cell r="G71" t="str">
            <v>Irrigation systems</v>
          </cell>
          <cell r="K71" t="str">
            <v>Russian Federation</v>
          </cell>
          <cell r="M71">
            <v>0</v>
          </cell>
          <cell r="N71">
            <v>87939457.051760033</v>
          </cell>
          <cell r="O71">
            <v>0</v>
          </cell>
          <cell r="P71">
            <v>87939457.051760033</v>
          </cell>
          <cell r="X71">
            <v>1908246461.4874609</v>
          </cell>
          <cell r="AH71">
            <v>109246</v>
          </cell>
          <cell r="AJ71">
            <v>0</v>
          </cell>
        </row>
        <row r="72">
          <cell r="B72">
            <v>2015</v>
          </cell>
          <cell r="F72" t="str">
            <v>Parts and accessories</v>
          </cell>
          <cell r="G72" t="str">
            <v>LME</v>
          </cell>
          <cell r="K72" t="str">
            <v>Russian Federation</v>
          </cell>
          <cell r="M72">
            <v>121646277.63940004</v>
          </cell>
          <cell r="N72">
            <v>2283.06</v>
          </cell>
          <cell r="O72">
            <v>15181307.575259993</v>
          </cell>
          <cell r="P72">
            <v>136829868.27466002</v>
          </cell>
          <cell r="X72">
            <v>772847406.38836432</v>
          </cell>
          <cell r="AH72">
            <v>10</v>
          </cell>
          <cell r="AJ72">
            <v>0</v>
          </cell>
        </row>
        <row r="73">
          <cell r="B73">
            <v>2015</v>
          </cell>
          <cell r="F73" t="str">
            <v>Parts and accessories</v>
          </cell>
          <cell r="G73" t="str">
            <v>Lubricants</v>
          </cell>
          <cell r="K73" t="str">
            <v>Russian Federation</v>
          </cell>
          <cell r="M73">
            <v>137011157.75659993</v>
          </cell>
          <cell r="N73">
            <v>0</v>
          </cell>
          <cell r="O73">
            <v>16168675.881420003</v>
          </cell>
          <cell r="P73">
            <v>153179833.63801995</v>
          </cell>
          <cell r="X73">
            <v>1050945400.4505796</v>
          </cell>
          <cell r="AH73">
            <v>0</v>
          </cell>
          <cell r="AJ73">
            <v>0</v>
          </cell>
        </row>
        <row r="74">
          <cell r="B74">
            <v>2015</v>
          </cell>
          <cell r="F74" t="str">
            <v>Hand tools</v>
          </cell>
          <cell r="G74" t="str">
            <v>Mechanical cutting</v>
          </cell>
          <cell r="K74" t="str">
            <v>Russian Federation</v>
          </cell>
          <cell r="M74">
            <v>0</v>
          </cell>
          <cell r="N74">
            <v>58114294.545349993</v>
          </cell>
          <cell r="O74">
            <v>0</v>
          </cell>
          <cell r="P74">
            <v>58114294.545349993</v>
          </cell>
          <cell r="X74">
            <v>1554235555.3209605</v>
          </cell>
          <cell r="AH74">
            <v>55736</v>
          </cell>
          <cell r="AJ74">
            <v>3315702.5180180492</v>
          </cell>
        </row>
        <row r="75">
          <cell r="B75">
            <v>2015</v>
          </cell>
          <cell r="F75" t="str">
            <v>Watering</v>
          </cell>
          <cell r="G75" t="str">
            <v>Mobile watering</v>
          </cell>
          <cell r="K75" t="str">
            <v>Russian Federation</v>
          </cell>
          <cell r="M75">
            <v>0</v>
          </cell>
          <cell r="N75">
            <v>364659060.25677001</v>
          </cell>
          <cell r="O75">
            <v>0</v>
          </cell>
          <cell r="P75">
            <v>364659060.25677001</v>
          </cell>
          <cell r="X75">
            <v>2126781273.2584841</v>
          </cell>
          <cell r="AH75">
            <v>754337</v>
          </cell>
          <cell r="AJ75">
            <v>0</v>
          </cell>
        </row>
        <row r="76">
          <cell r="B76">
            <v>2015</v>
          </cell>
          <cell r="F76" t="str">
            <v>Parts and accessories</v>
          </cell>
          <cell r="G76" t="str">
            <v>Personal protection equipment</v>
          </cell>
          <cell r="K76" t="str">
            <v>Russian Federation</v>
          </cell>
          <cell r="M76">
            <v>11628109.628000002</v>
          </cell>
          <cell r="N76">
            <v>0</v>
          </cell>
          <cell r="O76">
            <v>1687130.5780599997</v>
          </cell>
          <cell r="P76">
            <v>13315240.206060002</v>
          </cell>
          <cell r="X76">
            <v>55046046.164236873</v>
          </cell>
          <cell r="AH76">
            <v>0</v>
          </cell>
          <cell r="AJ76">
            <v>0</v>
          </cell>
        </row>
        <row r="77">
          <cell r="B77">
            <v>2015</v>
          </cell>
          <cell r="F77" t="str">
            <v>Watering</v>
          </cell>
          <cell r="G77" t="str">
            <v>Pumps</v>
          </cell>
          <cell r="K77" t="str">
            <v>Russian Federation</v>
          </cell>
          <cell r="M77">
            <v>0</v>
          </cell>
          <cell r="N77">
            <v>98735348.600079998</v>
          </cell>
          <cell r="O77">
            <v>0</v>
          </cell>
          <cell r="P77">
            <v>98735348.600079998</v>
          </cell>
          <cell r="X77">
            <v>4865283046.7473774</v>
          </cell>
          <cell r="AH77">
            <v>39874</v>
          </cell>
          <cell r="AJ77">
            <v>2004256</v>
          </cell>
        </row>
        <row r="78">
          <cell r="B78">
            <v>2015</v>
          </cell>
          <cell r="F78" t="str">
            <v>Hand tools</v>
          </cell>
          <cell r="G78" t="str">
            <v>Push lawn mower</v>
          </cell>
          <cell r="K78" t="str">
            <v>Russian Federation</v>
          </cell>
          <cell r="M78">
            <v>2709385.9286000021</v>
          </cell>
          <cell r="N78">
            <v>1697395.0735000009</v>
          </cell>
          <cell r="O78">
            <v>0</v>
          </cell>
          <cell r="P78">
            <v>4406781.002100003</v>
          </cell>
          <cell r="X78">
            <v>0</v>
          </cell>
          <cell r="AH78">
            <v>815</v>
          </cell>
          <cell r="AJ78">
            <v>0</v>
          </cell>
        </row>
        <row r="79">
          <cell r="B79">
            <v>2015</v>
          </cell>
          <cell r="F79" t="str">
            <v>Parts and accessories</v>
          </cell>
          <cell r="G79" t="str">
            <v>Ride-on/Lawnmowers</v>
          </cell>
          <cell r="K79" t="str">
            <v>Russian Federation</v>
          </cell>
          <cell r="M79">
            <v>9357856.4959999975</v>
          </cell>
          <cell r="N79">
            <v>14128.2605</v>
          </cell>
          <cell r="O79">
            <v>400184.61553999985</v>
          </cell>
          <cell r="P79">
            <v>9772169.372039998</v>
          </cell>
          <cell r="X79">
            <v>73121027.910403848</v>
          </cell>
          <cell r="AH79">
            <v>77</v>
          </cell>
          <cell r="AJ79">
            <v>0</v>
          </cell>
        </row>
        <row r="80">
          <cell r="B80">
            <v>2015</v>
          </cell>
          <cell r="F80" t="str">
            <v>Wheeled</v>
          </cell>
          <cell r="G80" t="str">
            <v>Rider/front mower</v>
          </cell>
          <cell r="K80" t="str">
            <v>Russian Federation</v>
          </cell>
          <cell r="M80">
            <v>31288405.004099999</v>
          </cell>
          <cell r="N80">
            <v>0</v>
          </cell>
          <cell r="O80">
            <v>677724.75929999992</v>
          </cell>
          <cell r="P80">
            <v>31966129.7634</v>
          </cell>
          <cell r="X80">
            <v>58037288.135593228</v>
          </cell>
          <cell r="AH80">
            <v>150</v>
          </cell>
          <cell r="AJ80">
            <v>200</v>
          </cell>
        </row>
        <row r="81">
          <cell r="B81">
            <v>2015</v>
          </cell>
          <cell r="F81" t="str">
            <v>Robotics</v>
          </cell>
          <cell r="G81" t="str">
            <v>Robotic lawn mower</v>
          </cell>
          <cell r="K81" t="str">
            <v>Russian Federation</v>
          </cell>
          <cell r="M81">
            <v>2992058.7766</v>
          </cell>
          <cell r="N81">
            <v>0</v>
          </cell>
          <cell r="O81">
            <v>0</v>
          </cell>
          <cell r="P81">
            <v>2992058.7766</v>
          </cell>
          <cell r="X81">
            <v>9581101.6949152537</v>
          </cell>
          <cell r="AH81">
            <v>38</v>
          </cell>
          <cell r="AJ81">
            <v>153</v>
          </cell>
        </row>
        <row r="82">
          <cell r="B82">
            <v>2015</v>
          </cell>
          <cell r="F82" t="str">
            <v>Wheeled</v>
          </cell>
          <cell r="G82" t="str">
            <v>Snow thrower</v>
          </cell>
          <cell r="K82" t="str">
            <v>Russian Federation</v>
          </cell>
          <cell r="M82">
            <v>147259864.06099993</v>
          </cell>
          <cell r="N82">
            <v>0</v>
          </cell>
          <cell r="O82">
            <v>5468789.6881000018</v>
          </cell>
          <cell r="P82">
            <v>152728653.74909994</v>
          </cell>
          <cell r="X82">
            <v>1863996115.7394741</v>
          </cell>
          <cell r="AH82">
            <v>2401</v>
          </cell>
          <cell r="AJ82">
            <v>53683</v>
          </cell>
        </row>
        <row r="83">
          <cell r="B83">
            <v>2015</v>
          </cell>
          <cell r="F83" t="str">
            <v>Wheeled</v>
          </cell>
          <cell r="G83" t="str">
            <v>Tractor</v>
          </cell>
          <cell r="K83" t="str">
            <v>Russian Federation</v>
          </cell>
          <cell r="M83">
            <v>39787694.724499993</v>
          </cell>
          <cell r="N83">
            <v>0</v>
          </cell>
          <cell r="O83">
            <v>32282941.623499997</v>
          </cell>
          <cell r="P83">
            <v>72070636.34799999</v>
          </cell>
          <cell r="X83">
            <v>134751864.40677965</v>
          </cell>
          <cell r="AH83">
            <v>695</v>
          </cell>
          <cell r="AJ83">
            <v>1144</v>
          </cell>
        </row>
        <row r="84">
          <cell r="B84">
            <v>2015</v>
          </cell>
          <cell r="F84" t="str">
            <v>Parts and accessories</v>
          </cell>
          <cell r="G84" t="str">
            <v>W Spare parts</v>
          </cell>
          <cell r="K84" t="str">
            <v>Russian Federation</v>
          </cell>
          <cell r="M84">
            <v>30534460.414800011</v>
          </cell>
          <cell r="N84">
            <v>75712.854100000011</v>
          </cell>
          <cell r="O84">
            <v>10237054.1293</v>
          </cell>
          <cell r="P84">
            <v>40847227.398200013</v>
          </cell>
          <cell r="X84">
            <v>675950000</v>
          </cell>
          <cell r="AH84">
            <v>0</v>
          </cell>
          <cell r="AJ84">
            <v>0</v>
          </cell>
        </row>
        <row r="85">
          <cell r="B85">
            <v>2015</v>
          </cell>
          <cell r="F85" t="str">
            <v>Parts and accessories</v>
          </cell>
          <cell r="G85" t="str">
            <v>WA Spare parts</v>
          </cell>
          <cell r="K85" t="str">
            <v>Russian Federation</v>
          </cell>
          <cell r="M85">
            <v>0</v>
          </cell>
          <cell r="N85">
            <v>1355604.9328000001</v>
          </cell>
          <cell r="O85">
            <v>0</v>
          </cell>
          <cell r="P85">
            <v>1355604.9328000001</v>
          </cell>
          <cell r="X85">
            <v>48450000</v>
          </cell>
          <cell r="AH85">
            <v>0</v>
          </cell>
          <cell r="AJ85">
            <v>0</v>
          </cell>
        </row>
        <row r="86">
          <cell r="B86">
            <v>2015</v>
          </cell>
          <cell r="F86" t="str">
            <v>Wheeled</v>
          </cell>
          <cell r="G86" t="str">
            <v>Tiller</v>
          </cell>
          <cell r="K86" t="str">
            <v>Russian Federation</v>
          </cell>
          <cell r="M86">
            <v>52611105.333199985</v>
          </cell>
          <cell r="N86">
            <v>0</v>
          </cell>
          <cell r="O86">
            <v>1657803.8229000003</v>
          </cell>
          <cell r="P86">
            <v>54268909.156099983</v>
          </cell>
          <cell r="X86">
            <v>4645511873.4508181</v>
          </cell>
          <cell r="AH86">
            <v>2283</v>
          </cell>
          <cell r="AJ86">
            <v>260709</v>
          </cell>
        </row>
        <row r="87">
          <cell r="B87">
            <v>2015</v>
          </cell>
          <cell r="F87" t="str">
            <v>Wheeled</v>
          </cell>
          <cell r="G87" t="str">
            <v>Walk behind lawn mower petrol</v>
          </cell>
          <cell r="K87" t="str">
            <v>Russian Federation</v>
          </cell>
          <cell r="M87">
            <v>123303444.36660002</v>
          </cell>
          <cell r="N87">
            <v>20838.98</v>
          </cell>
          <cell r="O87">
            <v>68139605.558789983</v>
          </cell>
          <cell r="P87">
            <v>191463888.90539002</v>
          </cell>
          <cell r="X87">
            <v>819976334.81357288</v>
          </cell>
          <cell r="AH87">
            <v>10145</v>
          </cell>
          <cell r="AJ87">
            <v>61536</v>
          </cell>
        </row>
        <row r="88">
          <cell r="B88">
            <v>2015</v>
          </cell>
          <cell r="F88" t="str">
            <v>Wheeled</v>
          </cell>
          <cell r="G88" t="str">
            <v>Zero turn mower</v>
          </cell>
          <cell r="K88" t="str">
            <v>Russian Federation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X88">
            <v>0</v>
          </cell>
          <cell r="AH88">
            <v>0</v>
          </cell>
          <cell r="AJ88">
            <v>0</v>
          </cell>
        </row>
        <row r="89">
          <cell r="B89">
            <v>2014</v>
          </cell>
          <cell r="F89" t="str">
            <v>Petrol HH</v>
          </cell>
          <cell r="G89" t="str">
            <v>All blowers petrol (back pack, handheld)</v>
          </cell>
          <cell r="K89" t="str">
            <v>Russian Federation</v>
          </cell>
          <cell r="M89">
            <v>51713460.935000002</v>
          </cell>
          <cell r="N89" t="str">
            <v xml:space="preserve"> -      </v>
          </cell>
          <cell r="O89">
            <v>17892.942999999999</v>
          </cell>
          <cell r="P89">
            <v>51731353.878000006</v>
          </cell>
          <cell r="X89">
            <v>177239440.67796612</v>
          </cell>
          <cell r="AH89">
            <v>3937</v>
          </cell>
          <cell r="AJ89">
            <v>19000</v>
          </cell>
        </row>
        <row r="90">
          <cell r="B90">
            <v>2014</v>
          </cell>
          <cell r="F90" t="str">
            <v>Petrol HH</v>
          </cell>
          <cell r="G90" t="str">
            <v>All chainsaws petrol (pro, prosumer, consumer, tree-care)</v>
          </cell>
          <cell r="K90" t="str">
            <v>Russian Federation</v>
          </cell>
          <cell r="M90">
            <v>974476948.74600005</v>
          </cell>
          <cell r="N90" t="str">
            <v xml:space="preserve"> -      </v>
          </cell>
          <cell r="O90">
            <v>370524335.53500003</v>
          </cell>
          <cell r="P90">
            <v>1345001284.2810001</v>
          </cell>
          <cell r="X90">
            <v>7042076631.3559322</v>
          </cell>
          <cell r="AH90">
            <v>241772</v>
          </cell>
          <cell r="AJ90">
            <v>1438657</v>
          </cell>
        </row>
        <row r="91">
          <cell r="B91">
            <v>2014</v>
          </cell>
          <cell r="F91" t="str">
            <v>Petrol HH</v>
          </cell>
          <cell r="G91" t="str">
            <v>All hedge trimmers petrol (hedge trimmer, pole hedge trimmer)</v>
          </cell>
          <cell r="K91" t="str">
            <v>Russian Federation</v>
          </cell>
          <cell r="M91">
            <v>9731940.8430000003</v>
          </cell>
          <cell r="N91" t="str">
            <v xml:space="preserve"> -      </v>
          </cell>
          <cell r="O91" t="str">
            <v xml:space="preserve"> -      </v>
          </cell>
          <cell r="P91">
            <v>9731940.8430000003</v>
          </cell>
          <cell r="X91">
            <v>34951067.796610169</v>
          </cell>
          <cell r="AH91">
            <v>836</v>
          </cell>
          <cell r="AJ91">
            <v>5050</v>
          </cell>
        </row>
        <row r="92">
          <cell r="B92">
            <v>2014</v>
          </cell>
          <cell r="F92" t="str">
            <v>Petrol HH</v>
          </cell>
          <cell r="G92" t="str">
            <v>All trimmers petrol (trimmer, brushcutter, edger/stick edger, multi-tool)</v>
          </cell>
          <cell r="K92" t="str">
            <v>Russian Federation</v>
          </cell>
          <cell r="M92">
            <v>677990076.954</v>
          </cell>
          <cell r="N92" t="str">
            <v xml:space="preserve"> -      </v>
          </cell>
          <cell r="O92">
            <v>41324097.123999998</v>
          </cell>
          <cell r="P92">
            <v>719314174.07799995</v>
          </cell>
          <cell r="X92">
            <v>6985886182.5690451</v>
          </cell>
          <cell r="AH92">
            <v>105010</v>
          </cell>
          <cell r="AJ92">
            <v>1717385</v>
          </cell>
        </row>
        <row r="93">
          <cell r="B93">
            <v>2014</v>
          </cell>
          <cell r="F93" t="str">
            <v>Battery</v>
          </cell>
          <cell r="G93" t="str">
            <v>Battery blower</v>
          </cell>
          <cell r="K93" t="str">
            <v>Russian Federation</v>
          </cell>
          <cell r="M93" t="str">
            <v xml:space="preserve"> -      </v>
          </cell>
          <cell r="N93">
            <v>0</v>
          </cell>
          <cell r="O93">
            <v>815155.61499999999</v>
          </cell>
          <cell r="P93">
            <v>815155.61499999999</v>
          </cell>
          <cell r="X93">
            <v>4104342</v>
          </cell>
          <cell r="AH93">
            <v>42</v>
          </cell>
          <cell r="AJ93">
            <v>922</v>
          </cell>
        </row>
        <row r="94">
          <cell r="B94">
            <v>2014</v>
          </cell>
          <cell r="F94" t="str">
            <v>Battery</v>
          </cell>
          <cell r="G94" t="str">
            <v>Battery chainsaw</v>
          </cell>
          <cell r="K94" t="str">
            <v>Russian Federation</v>
          </cell>
          <cell r="M94">
            <v>754281.38100000005</v>
          </cell>
          <cell r="N94">
            <v>338097.29</v>
          </cell>
          <cell r="O94" t="str">
            <v xml:space="preserve"> -      </v>
          </cell>
          <cell r="P94">
            <v>1092378.6710000001</v>
          </cell>
          <cell r="X94">
            <v>40560413</v>
          </cell>
          <cell r="AH94">
            <v>85</v>
          </cell>
          <cell r="AJ94">
            <v>4117</v>
          </cell>
        </row>
        <row r="95">
          <cell r="B95">
            <v>2014</v>
          </cell>
          <cell r="F95" t="str">
            <v>Battery</v>
          </cell>
          <cell r="G95" t="str">
            <v>Battery grass &amp; shrub shears</v>
          </cell>
          <cell r="K95" t="str">
            <v>Russian Federation</v>
          </cell>
          <cell r="M95">
            <v>0</v>
          </cell>
          <cell r="N95">
            <v>41274475.282999985</v>
          </cell>
          <cell r="O95">
            <v>0</v>
          </cell>
          <cell r="P95">
            <v>41274475.282999985</v>
          </cell>
          <cell r="X95">
            <v>80141438</v>
          </cell>
          <cell r="AH95">
            <v>13925</v>
          </cell>
          <cell r="AJ95">
            <v>30001</v>
          </cell>
        </row>
        <row r="96">
          <cell r="B96">
            <v>2014</v>
          </cell>
          <cell r="F96" t="str">
            <v>Battery</v>
          </cell>
          <cell r="G96" t="str">
            <v>Battery hedge trimmer</v>
          </cell>
          <cell r="K96" t="str">
            <v>Russian Federation</v>
          </cell>
          <cell r="M96" t="str">
            <v xml:space="preserve"> -      </v>
          </cell>
          <cell r="N96">
            <v>774126.48499999999</v>
          </cell>
          <cell r="O96" t="str">
            <v xml:space="preserve"> -      </v>
          </cell>
          <cell r="P96">
            <v>774126.48499999999</v>
          </cell>
          <cell r="X96">
            <v>7354954</v>
          </cell>
          <cell r="AH96">
            <v>210</v>
          </cell>
          <cell r="AJ96">
            <v>3435</v>
          </cell>
        </row>
        <row r="97">
          <cell r="B97">
            <v>2014</v>
          </cell>
          <cell r="F97" t="str">
            <v>Battery</v>
          </cell>
          <cell r="G97" t="str">
            <v>Battery trimmer</v>
          </cell>
          <cell r="K97" t="str">
            <v>Russian Federation</v>
          </cell>
          <cell r="M97">
            <v>979986.64599999995</v>
          </cell>
          <cell r="N97">
            <v>2093320.949</v>
          </cell>
          <cell r="O97" t="str">
            <v xml:space="preserve"> -      </v>
          </cell>
          <cell r="P97">
            <v>3073307.5949999997</v>
          </cell>
          <cell r="X97">
            <v>71830233</v>
          </cell>
          <cell r="AH97">
            <v>624</v>
          </cell>
          <cell r="AJ97">
            <v>16145</v>
          </cell>
        </row>
        <row r="98">
          <cell r="B98">
            <v>2014</v>
          </cell>
          <cell r="F98" t="str">
            <v>Battery</v>
          </cell>
          <cell r="G98" t="str">
            <v>Battery walk behind lawn mower</v>
          </cell>
          <cell r="K98" t="str">
            <v>Russian Federation</v>
          </cell>
          <cell r="M98" t="str">
            <v xml:space="preserve"> -      </v>
          </cell>
          <cell r="N98" t="str">
            <v xml:space="preserve"> -      </v>
          </cell>
          <cell r="O98" t="str">
            <v xml:space="preserve"> -      </v>
          </cell>
          <cell r="P98">
            <v>0</v>
          </cell>
          <cell r="X98">
            <v>120042992</v>
          </cell>
          <cell r="AH98">
            <v>0</v>
          </cell>
          <cell r="AJ98">
            <v>12107</v>
          </cell>
        </row>
        <row r="99">
          <cell r="B99">
            <v>2014</v>
          </cell>
          <cell r="F99" t="str">
            <v>Parts and accessories</v>
          </cell>
          <cell r="G99" t="str">
            <v>Chains &amp; bars</v>
          </cell>
          <cell r="K99" t="str">
            <v>Russian Federation</v>
          </cell>
          <cell r="M99">
            <v>227547945</v>
          </cell>
          <cell r="N99" t="str">
            <v xml:space="preserve"> -      </v>
          </cell>
          <cell r="O99">
            <v>17273885</v>
          </cell>
          <cell r="P99">
            <v>244821830</v>
          </cell>
          <cell r="X99">
            <v>2816830652.5423732</v>
          </cell>
          <cell r="AH99">
            <v>0</v>
          </cell>
          <cell r="AJ99">
            <v>0</v>
          </cell>
        </row>
        <row r="100">
          <cell r="B100">
            <v>2014</v>
          </cell>
          <cell r="F100" t="str">
            <v>Corded</v>
          </cell>
          <cell r="G100" t="str">
            <v>Corded blower</v>
          </cell>
          <cell r="K100" t="str">
            <v>Russian Federation</v>
          </cell>
          <cell r="M100" t="str">
            <v xml:space="preserve"> -      </v>
          </cell>
          <cell r="N100">
            <v>8137440.9069999997</v>
          </cell>
          <cell r="O100">
            <v>0</v>
          </cell>
          <cell r="P100">
            <v>8137440.9069999997</v>
          </cell>
          <cell r="X100">
            <v>29614299.152542375</v>
          </cell>
          <cell r="AH100">
            <v>2780</v>
          </cell>
          <cell r="AJ100">
            <v>12278</v>
          </cell>
        </row>
        <row r="101">
          <cell r="B101">
            <v>2014</v>
          </cell>
          <cell r="F101" t="str">
            <v>Corded</v>
          </cell>
          <cell r="G101" t="str">
            <v>Corded chainsaw</v>
          </cell>
          <cell r="K101" t="str">
            <v>Russian Federation</v>
          </cell>
          <cell r="M101">
            <v>3221497.523</v>
          </cell>
          <cell r="N101">
            <v>1478997.7709999999</v>
          </cell>
          <cell r="O101">
            <v>591075.27899999998</v>
          </cell>
          <cell r="P101">
            <v>5291570.5729999999</v>
          </cell>
          <cell r="X101">
            <v>806892527.50075245</v>
          </cell>
          <cell r="AH101">
            <v>940</v>
          </cell>
          <cell r="AJ101">
            <v>360000</v>
          </cell>
        </row>
        <row r="102">
          <cell r="B102">
            <v>2014</v>
          </cell>
          <cell r="F102" t="str">
            <v>Corded</v>
          </cell>
          <cell r="G102" t="str">
            <v>Corded hedge trimmer</v>
          </cell>
          <cell r="K102" t="str">
            <v>Russian Federation</v>
          </cell>
          <cell r="M102" t="str">
            <v xml:space="preserve"> -      </v>
          </cell>
          <cell r="N102">
            <v>2359177.4759999998</v>
          </cell>
          <cell r="O102" t="str">
            <v xml:space="preserve"> -      </v>
          </cell>
          <cell r="P102">
            <v>2359177.4759999998</v>
          </cell>
          <cell r="X102">
            <v>39337500</v>
          </cell>
          <cell r="AH102">
            <v>935</v>
          </cell>
          <cell r="AJ102">
            <v>14601</v>
          </cell>
        </row>
        <row r="103">
          <cell r="B103">
            <v>2014</v>
          </cell>
          <cell r="F103" t="str">
            <v>Corded</v>
          </cell>
          <cell r="G103" t="str">
            <v>Corded trimmer</v>
          </cell>
          <cell r="K103" t="str">
            <v>Russian Federation</v>
          </cell>
          <cell r="M103" t="str">
            <v xml:space="preserve"> -      </v>
          </cell>
          <cell r="N103">
            <v>17059695.004999999</v>
          </cell>
          <cell r="O103">
            <v>873.73</v>
          </cell>
          <cell r="P103">
            <v>17060568.734999999</v>
          </cell>
          <cell r="X103">
            <v>968372343.30508494</v>
          </cell>
          <cell r="AH103">
            <v>9375</v>
          </cell>
          <cell r="AJ103">
            <v>676572</v>
          </cell>
        </row>
        <row r="104">
          <cell r="B104">
            <v>2014</v>
          </cell>
          <cell r="F104" t="str">
            <v>Corded</v>
          </cell>
          <cell r="G104" t="str">
            <v>Corded walk behind lawn mower</v>
          </cell>
          <cell r="K104" t="str">
            <v>Russian Federation</v>
          </cell>
          <cell r="M104" t="str">
            <v xml:space="preserve"> -      </v>
          </cell>
          <cell r="N104">
            <v>87887162.378999993</v>
          </cell>
          <cell r="O104">
            <v>1130720.851</v>
          </cell>
          <cell r="P104">
            <v>89017883.229999989</v>
          </cell>
          <cell r="X104">
            <v>789307106.5796051</v>
          </cell>
          <cell r="AH104">
            <v>20919</v>
          </cell>
          <cell r="AJ104">
            <v>234670</v>
          </cell>
        </row>
        <row r="105">
          <cell r="B105">
            <v>2014</v>
          </cell>
          <cell r="F105" t="str">
            <v>Parts and accessories</v>
          </cell>
          <cell r="G105" t="str">
            <v>E Spare parts</v>
          </cell>
          <cell r="K105" t="str">
            <v>Russian Federation</v>
          </cell>
          <cell r="M105">
            <v>1820811.0341999992</v>
          </cell>
          <cell r="N105">
            <v>7082724.6265600007</v>
          </cell>
          <cell r="O105">
            <v>918141.97700000007</v>
          </cell>
          <cell r="P105">
            <v>9821677.6377600003</v>
          </cell>
          <cell r="X105">
            <v>163800000</v>
          </cell>
          <cell r="AH105">
            <v>343</v>
          </cell>
          <cell r="AJ105">
            <v>0</v>
          </cell>
        </row>
        <row r="106">
          <cell r="B106">
            <v>2014</v>
          </cell>
          <cell r="F106" t="str">
            <v>Parts and accessories</v>
          </cell>
          <cell r="G106" t="str">
            <v>Forest tools</v>
          </cell>
          <cell r="K106" t="str">
            <v>Russian Federation</v>
          </cell>
          <cell r="M106">
            <v>46308789</v>
          </cell>
          <cell r="N106" t="str">
            <v xml:space="preserve"> -      </v>
          </cell>
          <cell r="O106">
            <v>7666464</v>
          </cell>
          <cell r="P106">
            <v>53975253</v>
          </cell>
          <cell r="X106">
            <v>160033361.22402525</v>
          </cell>
          <cell r="AH106">
            <v>0</v>
          </cell>
          <cell r="AJ106">
            <v>0</v>
          </cell>
        </row>
        <row r="107">
          <cell r="B107">
            <v>2014</v>
          </cell>
          <cell r="F107" t="str">
            <v>Hand tools</v>
          </cell>
          <cell r="G107" t="str">
            <v>Garden accessories</v>
          </cell>
          <cell r="K107" t="str">
            <v>Russian Federation</v>
          </cell>
          <cell r="M107" t="str">
            <v xml:space="preserve"> -      </v>
          </cell>
          <cell r="N107">
            <v>63083361.821999997</v>
          </cell>
          <cell r="O107" t="str">
            <v xml:space="preserve"> -      </v>
          </cell>
          <cell r="P107">
            <v>63083361.821999997</v>
          </cell>
          <cell r="X107">
            <v>819469890.79109442</v>
          </cell>
          <cell r="AH107">
            <v>127787</v>
          </cell>
          <cell r="AJ107">
            <v>0</v>
          </cell>
        </row>
        <row r="108">
          <cell r="B108">
            <v>2014</v>
          </cell>
          <cell r="F108" t="str">
            <v>Hand tools</v>
          </cell>
          <cell r="G108" t="str">
            <v>Garden tools</v>
          </cell>
          <cell r="K108" t="str">
            <v>Russian Federation</v>
          </cell>
          <cell r="M108" t="str">
            <v xml:space="preserve"> -      </v>
          </cell>
          <cell r="N108">
            <v>52463139.714000002</v>
          </cell>
          <cell r="O108" t="str">
            <v xml:space="preserve"> -      </v>
          </cell>
          <cell r="P108">
            <v>52463139.714000002</v>
          </cell>
          <cell r="X108">
            <v>1549257578.2632561</v>
          </cell>
          <cell r="AH108">
            <v>110417</v>
          </cell>
          <cell r="AJ108">
            <v>0</v>
          </cell>
        </row>
        <row r="109">
          <cell r="B109">
            <v>2014</v>
          </cell>
          <cell r="F109" t="str">
            <v>Parts and accessories</v>
          </cell>
          <cell r="G109" t="str">
            <v>HH Spare parts</v>
          </cell>
          <cell r="K109" t="str">
            <v>Russian Federation</v>
          </cell>
          <cell r="M109">
            <v>210726477</v>
          </cell>
          <cell r="N109">
            <v>488.98</v>
          </cell>
          <cell r="O109">
            <v>17313421</v>
          </cell>
          <cell r="P109">
            <v>228040386.97999999</v>
          </cell>
          <cell r="X109">
            <v>1392733936.6560299</v>
          </cell>
          <cell r="AH109">
            <v>0</v>
          </cell>
          <cell r="AJ109">
            <v>0</v>
          </cell>
        </row>
        <row r="110">
          <cell r="B110">
            <v>2014</v>
          </cell>
          <cell r="F110" t="str">
            <v>Watering</v>
          </cell>
          <cell r="G110" t="str">
            <v>Irrigation systems</v>
          </cell>
          <cell r="K110" t="str">
            <v>Russian Federation</v>
          </cell>
          <cell r="M110" t="str">
            <v xml:space="preserve"> -      </v>
          </cell>
          <cell r="N110">
            <v>87176900.062000006</v>
          </cell>
          <cell r="O110" t="str">
            <v xml:space="preserve"> -      </v>
          </cell>
          <cell r="P110">
            <v>87176900.062000006</v>
          </cell>
          <cell r="X110">
            <v>1817377582.3690102</v>
          </cell>
          <cell r="AH110">
            <v>158394</v>
          </cell>
          <cell r="AJ110">
            <v>0</v>
          </cell>
        </row>
        <row r="111">
          <cell r="B111">
            <v>2014</v>
          </cell>
          <cell r="F111" t="str">
            <v>Parts and accessories</v>
          </cell>
          <cell r="G111" t="str">
            <v>LME</v>
          </cell>
          <cell r="K111" t="str">
            <v>Russian Federation</v>
          </cell>
          <cell r="M111">
            <v>119240281.186</v>
          </cell>
          <cell r="N111" t="str">
            <v xml:space="preserve"> -      </v>
          </cell>
          <cell r="O111">
            <v>16501668.547</v>
          </cell>
          <cell r="P111">
            <v>135741949.73300001</v>
          </cell>
          <cell r="X111">
            <v>750337287.75569344</v>
          </cell>
          <cell r="AH111">
            <v>0</v>
          </cell>
          <cell r="AJ111">
            <v>0</v>
          </cell>
        </row>
        <row r="112">
          <cell r="B112">
            <v>2014</v>
          </cell>
          <cell r="F112" t="str">
            <v>Parts and accessories</v>
          </cell>
          <cell r="G112" t="str">
            <v>Lubricants</v>
          </cell>
          <cell r="K112" t="str">
            <v>Russian Federation</v>
          </cell>
          <cell r="M112">
            <v>180135761.87099999</v>
          </cell>
          <cell r="N112" t="str">
            <v xml:space="preserve"> -      </v>
          </cell>
          <cell r="O112">
            <v>17491793.27</v>
          </cell>
          <cell r="P112">
            <v>197627555.141</v>
          </cell>
          <cell r="X112">
            <v>1167717111.6117551</v>
          </cell>
          <cell r="AH112">
            <v>0</v>
          </cell>
          <cell r="AJ112">
            <v>0</v>
          </cell>
        </row>
        <row r="113">
          <cell r="B113">
            <v>2014</v>
          </cell>
          <cell r="F113" t="str">
            <v>Hand tools</v>
          </cell>
          <cell r="G113" t="str">
            <v>Mechanical cutting</v>
          </cell>
          <cell r="K113" t="str">
            <v>Russian Federation</v>
          </cell>
          <cell r="M113" t="str">
            <v xml:space="preserve"> -      </v>
          </cell>
          <cell r="N113">
            <v>77932373.568000004</v>
          </cell>
          <cell r="O113" t="str">
            <v xml:space="preserve"> -      </v>
          </cell>
          <cell r="P113">
            <v>77932373.568000004</v>
          </cell>
          <cell r="X113">
            <v>2072314073.7612808</v>
          </cell>
          <cell r="AH113">
            <v>101710</v>
          </cell>
          <cell r="AJ113">
            <v>0</v>
          </cell>
        </row>
        <row r="114">
          <cell r="B114">
            <v>2014</v>
          </cell>
          <cell r="F114" t="str">
            <v>Watering</v>
          </cell>
          <cell r="G114" t="str">
            <v>Mobile watering</v>
          </cell>
          <cell r="K114" t="str">
            <v>Russian Federation</v>
          </cell>
          <cell r="M114" t="str">
            <v xml:space="preserve"> -      </v>
          </cell>
          <cell r="N114">
            <v>417502897.71100003</v>
          </cell>
          <cell r="O114" t="str">
            <v xml:space="preserve"> -      </v>
          </cell>
          <cell r="P114">
            <v>417502897.71100003</v>
          </cell>
          <cell r="X114">
            <v>2238717129.7457728</v>
          </cell>
          <cell r="AH114">
            <v>1024751</v>
          </cell>
          <cell r="AJ114">
            <v>0</v>
          </cell>
        </row>
        <row r="115">
          <cell r="B115">
            <v>2014</v>
          </cell>
          <cell r="F115" t="str">
            <v>Parts and accessories</v>
          </cell>
          <cell r="G115" t="str">
            <v>Personal protection equipment</v>
          </cell>
          <cell r="K115" t="str">
            <v>Russian Federation</v>
          </cell>
          <cell r="M115">
            <v>17942425.77</v>
          </cell>
          <cell r="N115">
            <v>63557.807000000001</v>
          </cell>
          <cell r="O115">
            <v>1805492.5</v>
          </cell>
          <cell r="P115">
            <v>19811476.077</v>
          </cell>
          <cell r="X115">
            <v>73394728.218982503</v>
          </cell>
          <cell r="AH115">
            <v>0</v>
          </cell>
          <cell r="AJ115">
            <v>0</v>
          </cell>
        </row>
        <row r="116">
          <cell r="B116">
            <v>2014</v>
          </cell>
          <cell r="F116" t="str">
            <v>Watering</v>
          </cell>
          <cell r="G116" t="str">
            <v>Pumps</v>
          </cell>
          <cell r="K116" t="str">
            <v>Russian Federation</v>
          </cell>
          <cell r="M116" t="str">
            <v xml:space="preserve"> -      </v>
          </cell>
          <cell r="N116">
            <v>126605963.19</v>
          </cell>
          <cell r="O116" t="str">
            <v xml:space="preserve"> -      </v>
          </cell>
          <cell r="P116">
            <v>126605963.19</v>
          </cell>
          <cell r="X116">
            <v>5723862407.9380913</v>
          </cell>
          <cell r="AH116">
            <v>87305</v>
          </cell>
          <cell r="AJ116">
            <v>2505320</v>
          </cell>
        </row>
        <row r="117">
          <cell r="B117">
            <v>2014</v>
          </cell>
          <cell r="F117" t="str">
            <v>Hand tools</v>
          </cell>
          <cell r="G117" t="str">
            <v>Push lawn mower</v>
          </cell>
          <cell r="K117" t="str">
            <v>Russian Federation</v>
          </cell>
          <cell r="M117">
            <v>4206494.8459999999</v>
          </cell>
          <cell r="N117">
            <v>2550185.9070000001</v>
          </cell>
          <cell r="O117" t="str">
            <v xml:space="preserve"> -      </v>
          </cell>
          <cell r="P117">
            <v>6756680.7530000005</v>
          </cell>
          <cell r="X117">
            <v>0</v>
          </cell>
          <cell r="AH117">
            <v>1955</v>
          </cell>
          <cell r="AJ117">
            <v>0</v>
          </cell>
        </row>
        <row r="118">
          <cell r="B118">
            <v>2014</v>
          </cell>
          <cell r="F118" t="str">
            <v>Parts and accessories</v>
          </cell>
          <cell r="G118" t="str">
            <v>Ride-on/Lawnmowers</v>
          </cell>
          <cell r="K118" t="str">
            <v>Russian Federation</v>
          </cell>
          <cell r="M118">
            <v>11402213</v>
          </cell>
          <cell r="N118">
            <v>6070</v>
          </cell>
          <cell r="O118">
            <v>1167854</v>
          </cell>
          <cell r="P118">
            <v>12576137</v>
          </cell>
          <cell r="X118">
            <v>97494703.880538464</v>
          </cell>
          <cell r="AH118">
            <v>0</v>
          </cell>
          <cell r="AJ118">
            <v>0</v>
          </cell>
        </row>
        <row r="119">
          <cell r="B119">
            <v>2014</v>
          </cell>
          <cell r="F119" t="str">
            <v>Wheeled</v>
          </cell>
          <cell r="G119" t="str">
            <v>Rider/front mower</v>
          </cell>
          <cell r="K119" t="str">
            <v>Russian Federation</v>
          </cell>
          <cell r="M119">
            <v>51925756.604000002</v>
          </cell>
          <cell r="N119" t="str">
            <v xml:space="preserve"> -      </v>
          </cell>
          <cell r="O119">
            <v>2166157.6940000001</v>
          </cell>
          <cell r="P119">
            <v>54091914.298</v>
          </cell>
          <cell r="X119">
            <v>94542864.406779662</v>
          </cell>
          <cell r="AH119">
            <v>376</v>
          </cell>
          <cell r="AJ119">
            <v>420</v>
          </cell>
        </row>
        <row r="120">
          <cell r="B120">
            <v>2014</v>
          </cell>
          <cell r="F120" t="str">
            <v>Robotics</v>
          </cell>
          <cell r="G120" t="str">
            <v>Robotic lawn mower</v>
          </cell>
          <cell r="K120" t="str">
            <v>Russian Federation</v>
          </cell>
          <cell r="M120">
            <v>4546425.6239999998</v>
          </cell>
          <cell r="N120" t="str">
            <v xml:space="preserve"> -      </v>
          </cell>
          <cell r="O120" t="str">
            <v xml:space="preserve"> -      </v>
          </cell>
          <cell r="P120">
            <v>4546425.6239999998</v>
          </cell>
          <cell r="X120">
            <v>83543131.355932206</v>
          </cell>
          <cell r="AH120">
            <v>102</v>
          </cell>
          <cell r="AJ120">
            <v>1808</v>
          </cell>
        </row>
        <row r="121">
          <cell r="B121">
            <v>2014</v>
          </cell>
          <cell r="F121" t="str">
            <v>Wheeled</v>
          </cell>
          <cell r="G121" t="str">
            <v>Snow thrower</v>
          </cell>
          <cell r="K121" t="str">
            <v>Russian Federation</v>
          </cell>
          <cell r="M121">
            <v>212444929.15000001</v>
          </cell>
          <cell r="N121" t="str">
            <v xml:space="preserve"> -      </v>
          </cell>
          <cell r="O121">
            <v>20060846.068</v>
          </cell>
          <cell r="P121">
            <v>232505775.21799999</v>
          </cell>
          <cell r="X121">
            <v>3121979230.5084748</v>
          </cell>
          <cell r="AH121">
            <v>4691</v>
          </cell>
          <cell r="AJ121">
            <v>128370</v>
          </cell>
        </row>
        <row r="122">
          <cell r="B122">
            <v>2014</v>
          </cell>
          <cell r="F122" t="str">
            <v>Wheeled</v>
          </cell>
          <cell r="G122" t="str">
            <v>Tiller</v>
          </cell>
          <cell r="K122" t="str">
            <v>Russian Federation</v>
          </cell>
          <cell r="M122">
            <v>99125090.868000001</v>
          </cell>
          <cell r="N122">
            <v>45674.353000000003</v>
          </cell>
          <cell r="O122">
            <v>12954883.457</v>
          </cell>
          <cell r="P122">
            <v>112125648.678</v>
          </cell>
          <cell r="X122">
            <v>6699165084.7457638</v>
          </cell>
          <cell r="AH122">
            <v>5876</v>
          </cell>
          <cell r="AJ122">
            <v>406495</v>
          </cell>
        </row>
        <row r="123">
          <cell r="B123">
            <v>2014</v>
          </cell>
          <cell r="F123" t="str">
            <v>Wheeled</v>
          </cell>
          <cell r="G123" t="str">
            <v>Tractor</v>
          </cell>
          <cell r="K123" t="str">
            <v>Russian Federation</v>
          </cell>
          <cell r="M123">
            <v>63641900.869000003</v>
          </cell>
          <cell r="N123" t="str">
            <v xml:space="preserve"> -      </v>
          </cell>
          <cell r="O123">
            <v>29816279.561999999</v>
          </cell>
          <cell r="P123">
            <v>93458180.430999994</v>
          </cell>
          <cell r="X123">
            <v>207753046.39830506</v>
          </cell>
          <cell r="AH123">
            <v>1189</v>
          </cell>
          <cell r="AJ123">
            <v>2288</v>
          </cell>
        </row>
        <row r="124">
          <cell r="B124">
            <v>2014</v>
          </cell>
          <cell r="F124" t="str">
            <v>Parts and accessories</v>
          </cell>
          <cell r="G124" t="str">
            <v>W Spare parts</v>
          </cell>
          <cell r="K124" t="str">
            <v>Russian Federation</v>
          </cell>
          <cell r="M124">
            <v>23463479.943</v>
          </cell>
          <cell r="N124">
            <v>64499.087</v>
          </cell>
          <cell r="O124">
            <v>6315830.5180000002</v>
          </cell>
          <cell r="P124">
            <v>29843809.548</v>
          </cell>
          <cell r="X124">
            <v>450630000</v>
          </cell>
          <cell r="AH124">
            <v>0</v>
          </cell>
          <cell r="AJ124">
            <v>0</v>
          </cell>
        </row>
        <row r="125">
          <cell r="B125">
            <v>2014</v>
          </cell>
          <cell r="F125" t="str">
            <v>Parts and accessories</v>
          </cell>
          <cell r="G125" t="str">
            <v>WA Spare parts</v>
          </cell>
          <cell r="K125" t="str">
            <v>Russian Federation</v>
          </cell>
          <cell r="M125" t="str">
            <v xml:space="preserve"> -      </v>
          </cell>
          <cell r="N125">
            <v>851386.75899999996</v>
          </cell>
          <cell r="O125" t="str">
            <v xml:space="preserve"> -      </v>
          </cell>
          <cell r="P125">
            <v>851386.75899999996</v>
          </cell>
          <cell r="X125">
            <v>32300000</v>
          </cell>
          <cell r="AH125">
            <v>0</v>
          </cell>
          <cell r="AJ125">
            <v>0</v>
          </cell>
        </row>
        <row r="126">
          <cell r="B126">
            <v>2014</v>
          </cell>
          <cell r="F126" t="str">
            <v>Wheeled</v>
          </cell>
          <cell r="G126" t="str">
            <v>Walk behind lawn mower petrol</v>
          </cell>
          <cell r="K126" t="str">
            <v>Russian Federation</v>
          </cell>
          <cell r="M126">
            <v>191933608.206</v>
          </cell>
          <cell r="N126">
            <v>1967781.189</v>
          </cell>
          <cell r="O126">
            <v>57898469.450000003</v>
          </cell>
          <cell r="P126">
            <v>251799858.84500003</v>
          </cell>
          <cell r="X126">
            <v>1163256272.5423729</v>
          </cell>
          <cell r="AH126">
            <v>17415</v>
          </cell>
          <cell r="AJ126">
            <v>105054</v>
          </cell>
        </row>
        <row r="127">
          <cell r="B127">
            <v>2014</v>
          </cell>
          <cell r="F127" t="str">
            <v>Wheeled</v>
          </cell>
          <cell r="G127" t="str">
            <v>Zero turn mower</v>
          </cell>
          <cell r="K127" t="str">
            <v>Russian Federation</v>
          </cell>
          <cell r="M127">
            <v>527777.98300000001</v>
          </cell>
          <cell r="N127" t="str">
            <v xml:space="preserve"> -      </v>
          </cell>
          <cell r="O127" t="str">
            <v xml:space="preserve"> -      </v>
          </cell>
          <cell r="P127">
            <v>527777.98300000001</v>
          </cell>
          <cell r="X127">
            <v>1268008.4745762714</v>
          </cell>
          <cell r="AH127">
            <v>4</v>
          </cell>
          <cell r="AJ127">
            <v>7</v>
          </cell>
        </row>
        <row r="128">
          <cell r="B128">
            <v>2013</v>
          </cell>
          <cell r="F128" t="str">
            <v>Petrol HH</v>
          </cell>
          <cell r="G128" t="str">
            <v>All blowers petrol (back pack, handheld)</v>
          </cell>
          <cell r="K128" t="str">
            <v>Russian Federation</v>
          </cell>
          <cell r="M128">
            <v>36077956.219999999</v>
          </cell>
          <cell r="N128">
            <v>0</v>
          </cell>
          <cell r="O128">
            <v>1372052.138</v>
          </cell>
          <cell r="P128">
            <v>37450008.357999995</v>
          </cell>
          <cell r="X128">
            <v>152143845.08990318</v>
          </cell>
          <cell r="AH128">
            <v>3259</v>
          </cell>
          <cell r="AJ128">
            <v>20000</v>
          </cell>
        </row>
        <row r="129">
          <cell r="B129">
            <v>2013</v>
          </cell>
          <cell r="F129" t="str">
            <v>Petrol HH</v>
          </cell>
          <cell r="G129" t="str">
            <v>All chainsaws petrol (pro, prosumer, consumer, tree-care)</v>
          </cell>
          <cell r="K129" t="str">
            <v>Russian Federation</v>
          </cell>
          <cell r="M129">
            <v>1110251911.5869999</v>
          </cell>
          <cell r="N129">
            <v>0</v>
          </cell>
          <cell r="O129">
            <v>396424638.884</v>
          </cell>
          <cell r="P129">
            <v>1506676550.471</v>
          </cell>
          <cell r="X129">
            <v>7390502535.730751</v>
          </cell>
          <cell r="AH129">
            <v>294005</v>
          </cell>
          <cell r="AJ129">
            <v>1720000</v>
          </cell>
        </row>
        <row r="130">
          <cell r="B130">
            <v>2013</v>
          </cell>
          <cell r="F130" t="str">
            <v>Petrol HH</v>
          </cell>
          <cell r="G130" t="str">
            <v>All hedge trimmers petrol (hedge trimmer, pole hedge trimmer)</v>
          </cell>
          <cell r="K130" t="str">
            <v>Russian Federation</v>
          </cell>
          <cell r="M130">
            <v>8204834.432</v>
          </cell>
          <cell r="N130">
            <v>0</v>
          </cell>
          <cell r="O130">
            <v>0</v>
          </cell>
          <cell r="P130">
            <v>8204834.432</v>
          </cell>
          <cell r="X130">
            <v>37845274.762645096</v>
          </cell>
          <cell r="AH130">
            <v>726</v>
          </cell>
          <cell r="AJ130">
            <v>4000</v>
          </cell>
        </row>
        <row r="131">
          <cell r="B131">
            <v>2013</v>
          </cell>
          <cell r="F131" t="str">
            <v>Petrol HH</v>
          </cell>
          <cell r="G131" t="str">
            <v>All trimmers petrol (trimmer, brushcutter, edger/stick edger, multi-tool)</v>
          </cell>
          <cell r="K131" t="str">
            <v>Russian Federation</v>
          </cell>
          <cell r="M131">
            <v>670195185.28400004</v>
          </cell>
          <cell r="N131">
            <v>0</v>
          </cell>
          <cell r="O131">
            <v>71078232.231999993</v>
          </cell>
          <cell r="P131">
            <v>741273417.51600003</v>
          </cell>
          <cell r="X131">
            <v>6454587367.4504375</v>
          </cell>
          <cell r="AH131">
            <v>119351</v>
          </cell>
          <cell r="AJ131">
            <v>1715000</v>
          </cell>
        </row>
        <row r="132">
          <cell r="B132">
            <v>2013</v>
          </cell>
          <cell r="F132" t="str">
            <v>Battery</v>
          </cell>
          <cell r="G132" t="str">
            <v>Battery blower</v>
          </cell>
          <cell r="K132" t="str">
            <v>Russian Federation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X132">
            <v>2602754</v>
          </cell>
          <cell r="AH132">
            <v>0</v>
          </cell>
          <cell r="AJ132">
            <v>910</v>
          </cell>
        </row>
        <row r="133">
          <cell r="B133">
            <v>2013</v>
          </cell>
          <cell r="F133" t="str">
            <v>Battery</v>
          </cell>
          <cell r="G133" t="str">
            <v>Battery chainsaw</v>
          </cell>
          <cell r="K133" t="str">
            <v>Russian Federation</v>
          </cell>
          <cell r="M133">
            <v>944301.02099999995</v>
          </cell>
          <cell r="N133">
            <v>496971.58899999998</v>
          </cell>
          <cell r="O133">
            <v>0</v>
          </cell>
          <cell r="P133">
            <v>1441272.6099999999</v>
          </cell>
          <cell r="X133">
            <v>31019047</v>
          </cell>
          <cell r="AH133">
            <v>136</v>
          </cell>
          <cell r="AJ133">
            <v>3149</v>
          </cell>
        </row>
        <row r="134">
          <cell r="B134">
            <v>2013</v>
          </cell>
          <cell r="F134" t="str">
            <v>Battery</v>
          </cell>
          <cell r="G134" t="str">
            <v>Battery grass &amp; shrub shears</v>
          </cell>
          <cell r="K134" t="str">
            <v>Russian Federation</v>
          </cell>
          <cell r="M134">
            <v>0</v>
          </cell>
          <cell r="N134">
            <v>37911159.366339967</v>
          </cell>
          <cell r="O134">
            <v>0</v>
          </cell>
          <cell r="P134">
            <v>37911159.366339967</v>
          </cell>
          <cell r="X134">
            <v>74205035</v>
          </cell>
          <cell r="AH134">
            <v>14677</v>
          </cell>
          <cell r="AJ134">
            <v>28303</v>
          </cell>
        </row>
        <row r="135">
          <cell r="B135">
            <v>2013</v>
          </cell>
          <cell r="F135" t="str">
            <v>Battery</v>
          </cell>
          <cell r="G135" t="str">
            <v>Battery hedge trimmer</v>
          </cell>
          <cell r="K135" t="str">
            <v>Russian Federation</v>
          </cell>
          <cell r="M135">
            <v>0</v>
          </cell>
          <cell r="N135">
            <v>445305.25799999997</v>
          </cell>
          <cell r="O135">
            <v>0</v>
          </cell>
          <cell r="P135">
            <v>445305.25799999997</v>
          </cell>
          <cell r="X135">
            <v>7081888</v>
          </cell>
          <cell r="AH135">
            <v>105</v>
          </cell>
          <cell r="AJ135">
            <v>3388</v>
          </cell>
        </row>
        <row r="136">
          <cell r="B136">
            <v>2013</v>
          </cell>
          <cell r="F136" t="str">
            <v>Battery</v>
          </cell>
          <cell r="G136" t="str">
            <v>Battery trimmer</v>
          </cell>
          <cell r="K136" t="str">
            <v>Russian Federation</v>
          </cell>
          <cell r="M136">
            <v>1029336.44</v>
          </cell>
          <cell r="N136">
            <v>1658281.2080000001</v>
          </cell>
          <cell r="O136">
            <v>0</v>
          </cell>
          <cell r="P136">
            <v>2687617.648</v>
          </cell>
          <cell r="X136">
            <v>50243485</v>
          </cell>
          <cell r="AH136">
            <v>590</v>
          </cell>
          <cell r="AJ136">
            <v>12162</v>
          </cell>
        </row>
        <row r="137">
          <cell r="B137">
            <v>2013</v>
          </cell>
          <cell r="F137" t="str">
            <v>Battery</v>
          </cell>
          <cell r="G137" t="str">
            <v>Battery walk behind lawn mower</v>
          </cell>
          <cell r="K137" t="str">
            <v>Russian Federation</v>
          </cell>
          <cell r="M137">
            <v>0</v>
          </cell>
          <cell r="N137">
            <v>1651615.287</v>
          </cell>
          <cell r="O137">
            <v>0</v>
          </cell>
          <cell r="P137">
            <v>1651615.287</v>
          </cell>
          <cell r="X137">
            <v>72584619</v>
          </cell>
          <cell r="AH137">
            <v>122</v>
          </cell>
          <cell r="AJ137">
            <v>6921</v>
          </cell>
        </row>
        <row r="138">
          <cell r="B138">
            <v>2013</v>
          </cell>
          <cell r="F138" t="str">
            <v>Parts and accessories</v>
          </cell>
          <cell r="G138" t="str">
            <v>Chains &amp; bars</v>
          </cell>
          <cell r="K138" t="str">
            <v>Russian Federation</v>
          </cell>
          <cell r="M138">
            <v>230403661.80700001</v>
          </cell>
          <cell r="N138" t="str">
            <v xml:space="preserve"> -      </v>
          </cell>
          <cell r="O138">
            <v>18054789.284000002</v>
          </cell>
          <cell r="P138">
            <v>248458451.09100002</v>
          </cell>
          <cell r="X138">
            <v>0</v>
          </cell>
          <cell r="AH138">
            <v>0</v>
          </cell>
          <cell r="AJ138">
            <v>0</v>
          </cell>
        </row>
        <row r="139">
          <cell r="B139">
            <v>2013</v>
          </cell>
          <cell r="F139" t="str">
            <v>Corded</v>
          </cell>
          <cell r="G139" t="str">
            <v>Corded blower</v>
          </cell>
          <cell r="K139" t="str">
            <v>Russian Federation</v>
          </cell>
          <cell r="M139">
            <v>0</v>
          </cell>
          <cell r="N139">
            <v>4534750.3550000004</v>
          </cell>
          <cell r="O139">
            <v>2242757.3339999998</v>
          </cell>
          <cell r="P139">
            <v>6777507.6890000002</v>
          </cell>
          <cell r="X139">
            <v>41493775.933609955</v>
          </cell>
          <cell r="AH139">
            <v>2462</v>
          </cell>
          <cell r="AJ139">
            <v>20000</v>
          </cell>
        </row>
        <row r="140">
          <cell r="B140">
            <v>2013</v>
          </cell>
          <cell r="F140" t="str">
            <v>Corded</v>
          </cell>
          <cell r="G140" t="str">
            <v>Corded chainsaw</v>
          </cell>
          <cell r="K140" t="str">
            <v>Russian Federation</v>
          </cell>
          <cell r="M140">
            <v>5187945.7570000002</v>
          </cell>
          <cell r="N140">
            <v>3112662.1510000001</v>
          </cell>
          <cell r="O140">
            <v>2163946.2030000002</v>
          </cell>
          <cell r="P140">
            <v>10464554.111</v>
          </cell>
          <cell r="X140">
            <v>700783771.32319033</v>
          </cell>
          <cell r="AH140">
            <v>2254</v>
          </cell>
          <cell r="AJ140">
            <v>320000</v>
          </cell>
        </row>
        <row r="141">
          <cell r="B141">
            <v>2013</v>
          </cell>
          <cell r="F141" t="str">
            <v>Corded</v>
          </cell>
          <cell r="G141" t="str">
            <v>Corded hedge trimmer</v>
          </cell>
          <cell r="K141" t="str">
            <v>Russian Federation</v>
          </cell>
          <cell r="M141">
            <v>0</v>
          </cell>
          <cell r="N141">
            <v>2137370.122</v>
          </cell>
          <cell r="O141">
            <v>0</v>
          </cell>
          <cell r="P141">
            <v>2137370.122</v>
          </cell>
          <cell r="X141">
            <v>31090509.999121781</v>
          </cell>
          <cell r="AH141">
            <v>865</v>
          </cell>
          <cell r="AJ141">
            <v>16500</v>
          </cell>
        </row>
        <row r="142">
          <cell r="B142">
            <v>2013</v>
          </cell>
          <cell r="F142" t="str">
            <v>Corded</v>
          </cell>
          <cell r="G142" t="str">
            <v>Corded trimmer</v>
          </cell>
          <cell r="K142" t="str">
            <v>Russian Federation</v>
          </cell>
          <cell r="M142">
            <v>0</v>
          </cell>
          <cell r="N142">
            <v>21527815.568999998</v>
          </cell>
          <cell r="O142">
            <v>371899.21500000003</v>
          </cell>
          <cell r="P142">
            <v>21899714.783999998</v>
          </cell>
          <cell r="X142">
            <v>864520938.35454261</v>
          </cell>
          <cell r="AH142">
            <v>15292</v>
          </cell>
          <cell r="AJ142">
            <v>625000</v>
          </cell>
        </row>
        <row r="143">
          <cell r="B143">
            <v>2013</v>
          </cell>
          <cell r="F143" t="str">
            <v>Corded</v>
          </cell>
          <cell r="G143" t="str">
            <v>Corded walk behind lawn mower</v>
          </cell>
          <cell r="K143" t="str">
            <v>Russian Federation</v>
          </cell>
          <cell r="M143">
            <v>0</v>
          </cell>
          <cell r="N143">
            <v>91083292.509000003</v>
          </cell>
          <cell r="O143">
            <v>3754186.503</v>
          </cell>
          <cell r="P143">
            <v>94837479.012000009</v>
          </cell>
          <cell r="X143">
            <v>672339763.4269464</v>
          </cell>
          <cell r="AH143">
            <v>24695</v>
          </cell>
          <cell r="AJ143">
            <v>215000</v>
          </cell>
        </row>
        <row r="144">
          <cell r="B144">
            <v>2013</v>
          </cell>
          <cell r="F144" t="str">
            <v>Parts and accessories</v>
          </cell>
          <cell r="G144" t="str">
            <v>E Spare parts</v>
          </cell>
          <cell r="K144" t="str">
            <v>Russian Federation</v>
          </cell>
          <cell r="M144">
            <v>2407221.4890000001</v>
          </cell>
          <cell r="N144">
            <v>3645660.898</v>
          </cell>
          <cell r="O144">
            <v>763053.02599999995</v>
          </cell>
          <cell r="P144">
            <v>6815935.4129999997</v>
          </cell>
          <cell r="X144">
            <v>0</v>
          </cell>
          <cell r="AH144">
            <v>466</v>
          </cell>
          <cell r="AJ144">
            <v>0</v>
          </cell>
        </row>
        <row r="145">
          <cell r="B145">
            <v>2013</v>
          </cell>
          <cell r="F145" t="str">
            <v>Parts and accessories</v>
          </cell>
          <cell r="G145" t="str">
            <v>Forest tools</v>
          </cell>
          <cell r="K145" t="str">
            <v>Russian Federation</v>
          </cell>
          <cell r="M145">
            <v>31987401.495999999</v>
          </cell>
          <cell r="N145" t="str">
            <v xml:space="preserve"> -      </v>
          </cell>
          <cell r="O145">
            <v>9745953.2109999992</v>
          </cell>
          <cell r="P145">
            <v>41733354.707000002</v>
          </cell>
          <cell r="X145">
            <v>0</v>
          </cell>
          <cell r="AH145">
            <v>0</v>
          </cell>
          <cell r="AJ145">
            <v>0</v>
          </cell>
        </row>
        <row r="146">
          <cell r="B146">
            <v>2013</v>
          </cell>
          <cell r="F146" t="str">
            <v>Hand tools</v>
          </cell>
          <cell r="G146" t="str">
            <v>Garden accessories</v>
          </cell>
          <cell r="K146" t="str">
            <v>Russian Federation</v>
          </cell>
          <cell r="M146">
            <v>0</v>
          </cell>
          <cell r="N146">
            <v>57419664.520000003</v>
          </cell>
          <cell r="O146">
            <v>0</v>
          </cell>
          <cell r="P146">
            <v>57419664.520000003</v>
          </cell>
          <cell r="X146">
            <v>712582513.73138654</v>
          </cell>
          <cell r="AH146">
            <v>127058</v>
          </cell>
          <cell r="AJ146">
            <v>0</v>
          </cell>
        </row>
        <row r="147">
          <cell r="B147">
            <v>2013</v>
          </cell>
          <cell r="F147" t="str">
            <v>Hand tools</v>
          </cell>
          <cell r="G147" t="str">
            <v>Garden tools</v>
          </cell>
          <cell r="K147" t="str">
            <v>Russian Federation</v>
          </cell>
          <cell r="M147">
            <v>0</v>
          </cell>
          <cell r="N147">
            <v>56414364.623999998</v>
          </cell>
          <cell r="O147">
            <v>0</v>
          </cell>
          <cell r="P147">
            <v>56414364.623999998</v>
          </cell>
          <cell r="X147">
            <v>1475483407.8697677</v>
          </cell>
          <cell r="AH147">
            <v>142084</v>
          </cell>
          <cell r="AJ147">
            <v>0</v>
          </cell>
        </row>
        <row r="148">
          <cell r="B148">
            <v>2013</v>
          </cell>
          <cell r="F148" t="str">
            <v>Parts and accessories</v>
          </cell>
          <cell r="G148" t="str">
            <v>HH Spare parts</v>
          </cell>
          <cell r="K148" t="str">
            <v>Russian Federation</v>
          </cell>
          <cell r="M148">
            <v>223871065.683</v>
          </cell>
          <cell r="N148" t="str">
            <v xml:space="preserve"> -      </v>
          </cell>
          <cell r="O148">
            <v>14945011.585999999</v>
          </cell>
          <cell r="P148">
            <v>238816077.26899999</v>
          </cell>
          <cell r="X148">
            <v>0</v>
          </cell>
          <cell r="AH148">
            <v>0</v>
          </cell>
          <cell r="AJ148">
            <v>0</v>
          </cell>
        </row>
        <row r="149">
          <cell r="B149">
            <v>2013</v>
          </cell>
          <cell r="F149" t="str">
            <v>Watering</v>
          </cell>
          <cell r="G149" t="str">
            <v>Irrigation systems</v>
          </cell>
          <cell r="K149" t="str">
            <v>Russian Federation</v>
          </cell>
          <cell r="M149">
            <v>0</v>
          </cell>
          <cell r="N149">
            <v>69802076.483999997</v>
          </cell>
          <cell r="O149">
            <v>0</v>
          </cell>
          <cell r="P149">
            <v>69802076.483999997</v>
          </cell>
          <cell r="X149">
            <v>1667318882.9073486</v>
          </cell>
          <cell r="AH149">
            <v>148834</v>
          </cell>
          <cell r="AJ149">
            <v>0</v>
          </cell>
        </row>
        <row r="150">
          <cell r="B150">
            <v>2013</v>
          </cell>
          <cell r="F150" t="str">
            <v>Parts and accessories</v>
          </cell>
          <cell r="G150" t="str">
            <v>LME</v>
          </cell>
          <cell r="K150" t="str">
            <v>Russian Federation</v>
          </cell>
          <cell r="M150">
            <v>100753448.906</v>
          </cell>
          <cell r="N150" t="str">
            <v xml:space="preserve"> -      </v>
          </cell>
          <cell r="O150">
            <v>17508285.046</v>
          </cell>
          <cell r="P150">
            <v>118261733.95200001</v>
          </cell>
          <cell r="X150">
            <v>0</v>
          </cell>
          <cell r="AH150">
            <v>0</v>
          </cell>
          <cell r="AJ150">
            <v>0</v>
          </cell>
        </row>
        <row r="151">
          <cell r="B151">
            <v>2013</v>
          </cell>
          <cell r="F151" t="str">
            <v>Parts and accessories</v>
          </cell>
          <cell r="G151" t="str">
            <v>Lubricants</v>
          </cell>
          <cell r="K151" t="str">
            <v>Russian Federation</v>
          </cell>
          <cell r="M151">
            <v>188988828.41600001</v>
          </cell>
          <cell r="N151" t="str">
            <v xml:space="preserve"> -      </v>
          </cell>
          <cell r="O151">
            <v>19107537.094999999</v>
          </cell>
          <cell r="P151">
            <v>208096365.51100001</v>
          </cell>
          <cell r="X151">
            <v>0</v>
          </cell>
          <cell r="AH151">
            <v>0</v>
          </cell>
          <cell r="AJ151">
            <v>0</v>
          </cell>
        </row>
        <row r="152">
          <cell r="B152">
            <v>2013</v>
          </cell>
          <cell r="F152" t="str">
            <v>Hand tools</v>
          </cell>
          <cell r="G152" t="str">
            <v>Mechanical cutting</v>
          </cell>
          <cell r="K152" t="str">
            <v>Russian Federation</v>
          </cell>
          <cell r="M152">
            <v>0</v>
          </cell>
          <cell r="N152">
            <v>69929602.453999996</v>
          </cell>
          <cell r="O152">
            <v>0</v>
          </cell>
          <cell r="P152">
            <v>69929602.453999996</v>
          </cell>
          <cell r="X152">
            <v>1992609686.3089237</v>
          </cell>
          <cell r="AH152">
            <v>104159</v>
          </cell>
          <cell r="AJ152">
            <v>0</v>
          </cell>
        </row>
        <row r="153">
          <cell r="B153">
            <v>2013</v>
          </cell>
          <cell r="F153" t="str">
            <v>Watering</v>
          </cell>
          <cell r="G153" t="str">
            <v>Mobile watering</v>
          </cell>
          <cell r="K153" t="str">
            <v>Russian Federation</v>
          </cell>
          <cell r="M153">
            <v>0</v>
          </cell>
          <cell r="N153">
            <v>333238714.90600002</v>
          </cell>
          <cell r="O153">
            <v>0</v>
          </cell>
          <cell r="P153">
            <v>333238714.90600002</v>
          </cell>
          <cell r="X153">
            <v>2072886231.2460859</v>
          </cell>
          <cell r="AH153">
            <v>909841</v>
          </cell>
          <cell r="AJ153">
            <v>0</v>
          </cell>
        </row>
        <row r="154">
          <cell r="B154">
            <v>2013</v>
          </cell>
          <cell r="F154" t="str">
            <v>Parts and accessories</v>
          </cell>
          <cell r="G154" t="str">
            <v>Personal protection equipment</v>
          </cell>
          <cell r="K154" t="str">
            <v>Russian Federation</v>
          </cell>
          <cell r="M154">
            <v>13052516.907</v>
          </cell>
          <cell r="N154">
            <v>53315.023999999998</v>
          </cell>
          <cell r="O154">
            <v>2063341.267</v>
          </cell>
          <cell r="P154">
            <v>15169173.197999999</v>
          </cell>
          <cell r="X154">
            <v>0</v>
          </cell>
          <cell r="AH154">
            <v>3</v>
          </cell>
          <cell r="AJ154">
            <v>0</v>
          </cell>
        </row>
        <row r="155">
          <cell r="B155">
            <v>2013</v>
          </cell>
          <cell r="F155" t="str">
            <v>Watering</v>
          </cell>
          <cell r="G155" t="str">
            <v>Pumps</v>
          </cell>
          <cell r="K155" t="str">
            <v>Russian Federation</v>
          </cell>
          <cell r="M155">
            <v>0</v>
          </cell>
          <cell r="N155">
            <v>118358691.28399999</v>
          </cell>
          <cell r="O155">
            <v>0</v>
          </cell>
          <cell r="P155">
            <v>118358691.28399999</v>
          </cell>
          <cell r="X155">
            <v>5376538049.9136686</v>
          </cell>
          <cell r="AH155">
            <v>142037</v>
          </cell>
          <cell r="AJ155">
            <v>0</v>
          </cell>
        </row>
        <row r="156">
          <cell r="B156">
            <v>2013</v>
          </cell>
          <cell r="F156" t="str">
            <v>Hand tools</v>
          </cell>
          <cell r="G156" t="str">
            <v>Push lawn mower</v>
          </cell>
          <cell r="K156" t="str">
            <v>Russian Federation</v>
          </cell>
          <cell r="M156">
            <v>3345269.4879999999</v>
          </cell>
          <cell r="N156">
            <v>2508517.7940000002</v>
          </cell>
          <cell r="O156">
            <v>0</v>
          </cell>
          <cell r="P156">
            <v>5853787.2819999997</v>
          </cell>
          <cell r="X156">
            <v>0</v>
          </cell>
          <cell r="AH156">
            <v>1849</v>
          </cell>
          <cell r="AJ156">
            <v>0</v>
          </cell>
        </row>
        <row r="157">
          <cell r="B157">
            <v>2013</v>
          </cell>
          <cell r="F157" t="str">
            <v>Parts and accessories</v>
          </cell>
          <cell r="G157" t="str">
            <v>Ride-on/Lawnmowers</v>
          </cell>
          <cell r="K157" t="str">
            <v>Russian Federation</v>
          </cell>
          <cell r="M157">
            <v>21979716.077</v>
          </cell>
          <cell r="N157">
            <v>605869.58400000003</v>
          </cell>
          <cell r="O157">
            <v>1321606.73</v>
          </cell>
          <cell r="P157">
            <v>23907192.390999999</v>
          </cell>
          <cell r="X157">
            <v>0</v>
          </cell>
          <cell r="AH157">
            <v>0</v>
          </cell>
          <cell r="AJ157">
            <v>0</v>
          </cell>
        </row>
        <row r="158">
          <cell r="B158">
            <v>2013</v>
          </cell>
          <cell r="F158" t="str">
            <v>Wheeled</v>
          </cell>
          <cell r="G158" t="str">
            <v>Rider/front mower</v>
          </cell>
          <cell r="K158" t="str">
            <v>Russian Federation</v>
          </cell>
          <cell r="M158">
            <v>42077566.597000003</v>
          </cell>
          <cell r="N158">
            <v>0</v>
          </cell>
          <cell r="O158">
            <v>1137821.2819999999</v>
          </cell>
          <cell r="P158">
            <v>43215387.879000001</v>
          </cell>
          <cell r="X158">
            <v>72047691.361814499</v>
          </cell>
          <cell r="AH158">
            <v>328</v>
          </cell>
          <cell r="AJ158">
            <v>490</v>
          </cell>
        </row>
        <row r="159">
          <cell r="B159">
            <v>2013</v>
          </cell>
          <cell r="F159" t="str">
            <v>Robotics</v>
          </cell>
          <cell r="G159" t="str">
            <v>Robotic lawn mower</v>
          </cell>
          <cell r="K159" t="str">
            <v>Russian Federation</v>
          </cell>
          <cell r="M159">
            <v>2230340.5699999998</v>
          </cell>
          <cell r="N159">
            <v>0</v>
          </cell>
          <cell r="O159">
            <v>0</v>
          </cell>
          <cell r="P159">
            <v>2230340.5699999998</v>
          </cell>
          <cell r="X159">
            <v>7243255.7464424158</v>
          </cell>
          <cell r="AH159">
            <v>44</v>
          </cell>
          <cell r="AJ159">
            <v>136</v>
          </cell>
        </row>
        <row r="160">
          <cell r="B160">
            <v>2013</v>
          </cell>
          <cell r="F160" t="str">
            <v>Wheeled</v>
          </cell>
          <cell r="G160" t="str">
            <v>Snow thrower</v>
          </cell>
          <cell r="K160" t="str">
            <v>Russian Federation</v>
          </cell>
          <cell r="M160">
            <v>423245146.65799999</v>
          </cell>
          <cell r="N160">
            <v>0</v>
          </cell>
          <cell r="O160">
            <v>49092359.770999998</v>
          </cell>
          <cell r="P160">
            <v>472337506.42900002</v>
          </cell>
          <cell r="X160">
            <v>3166194044.5797629</v>
          </cell>
          <cell r="AH160">
            <v>10572</v>
          </cell>
          <cell r="AJ160">
            <v>125000</v>
          </cell>
        </row>
        <row r="161">
          <cell r="B161">
            <v>2013</v>
          </cell>
          <cell r="F161" t="str">
            <v>Wheeled</v>
          </cell>
          <cell r="G161" t="str">
            <v>Tiller</v>
          </cell>
          <cell r="K161" t="str">
            <v>Russian Federation</v>
          </cell>
          <cell r="M161">
            <v>96152375.325000003</v>
          </cell>
          <cell r="N161">
            <v>6705828.8760000002</v>
          </cell>
          <cell r="O161">
            <v>11058689.448999999</v>
          </cell>
          <cell r="P161">
            <v>113916893.65000001</v>
          </cell>
          <cell r="X161">
            <v>5665745904.9112263</v>
          </cell>
          <cell r="AH161">
            <v>7066</v>
          </cell>
          <cell r="AJ161">
            <v>430000</v>
          </cell>
        </row>
        <row r="162">
          <cell r="B162">
            <v>2013</v>
          </cell>
          <cell r="F162" t="str">
            <v>Wheeled</v>
          </cell>
          <cell r="G162" t="str">
            <v>Tractor</v>
          </cell>
          <cell r="K162" t="str">
            <v>Russian Federation</v>
          </cell>
          <cell r="M162">
            <v>63810180.859999999</v>
          </cell>
          <cell r="N162">
            <v>0</v>
          </cell>
          <cell r="O162">
            <v>11460326.571</v>
          </cell>
          <cell r="P162">
            <v>75270507.430999994</v>
          </cell>
          <cell r="X162">
            <v>183168748.86462125</v>
          </cell>
          <cell r="AH162">
            <v>915</v>
          </cell>
          <cell r="AJ162">
            <v>2120</v>
          </cell>
        </row>
        <row r="163">
          <cell r="B163">
            <v>2013</v>
          </cell>
          <cell r="F163" t="str">
            <v>Parts and accessories</v>
          </cell>
          <cell r="G163" t="str">
            <v>W Spare parts</v>
          </cell>
          <cell r="K163" t="str">
            <v>Russian Federation</v>
          </cell>
          <cell r="M163">
            <v>29163150.693</v>
          </cell>
          <cell r="N163">
            <v>80435.78</v>
          </cell>
          <cell r="O163">
            <v>6192707.057</v>
          </cell>
          <cell r="P163">
            <v>35436293.530000001</v>
          </cell>
          <cell r="X163">
            <v>0</v>
          </cell>
          <cell r="AH163">
            <v>0</v>
          </cell>
          <cell r="AJ163">
            <v>0</v>
          </cell>
        </row>
        <row r="164">
          <cell r="B164">
            <v>2013</v>
          </cell>
          <cell r="F164" t="str">
            <v>Parts and accessories</v>
          </cell>
          <cell r="G164" t="str">
            <v>WA Spare parts</v>
          </cell>
          <cell r="K164" t="str">
            <v>Russian Federation</v>
          </cell>
          <cell r="M164" t="str">
            <v xml:space="preserve"> -      </v>
          </cell>
          <cell r="N164">
            <v>723168.60900000005</v>
          </cell>
          <cell r="O164" t="str">
            <v xml:space="preserve"> -      </v>
          </cell>
          <cell r="P164">
            <v>723168.60900000005</v>
          </cell>
          <cell r="X164">
            <v>0</v>
          </cell>
          <cell r="AH164">
            <v>0</v>
          </cell>
          <cell r="AJ164">
            <v>0</v>
          </cell>
        </row>
        <row r="165">
          <cell r="B165">
            <v>2013</v>
          </cell>
          <cell r="F165" t="str">
            <v>Wheeled</v>
          </cell>
          <cell r="G165" t="str">
            <v>Walk behind lawn mower petrol</v>
          </cell>
          <cell r="K165" t="str">
            <v>Russian Federation</v>
          </cell>
          <cell r="M165">
            <v>188142008.91800001</v>
          </cell>
          <cell r="N165">
            <v>8613956.2449999992</v>
          </cell>
          <cell r="O165">
            <v>45149991.502999999</v>
          </cell>
          <cell r="P165">
            <v>241905956.66600001</v>
          </cell>
          <cell r="X165">
            <v>922882438.23408282</v>
          </cell>
          <cell r="AH165">
            <v>19577</v>
          </cell>
          <cell r="AJ165">
            <v>91000</v>
          </cell>
        </row>
        <row r="166">
          <cell r="B166">
            <v>2013</v>
          </cell>
          <cell r="F166" t="str">
            <v>Wheeled</v>
          </cell>
          <cell r="G166" t="str">
            <v>Zero turn mower</v>
          </cell>
          <cell r="K166" t="str">
            <v>Russian Federation</v>
          </cell>
          <cell r="M166">
            <v>2765692.4389999998</v>
          </cell>
          <cell r="N166">
            <v>0</v>
          </cell>
          <cell r="O166">
            <v>0</v>
          </cell>
          <cell r="P166">
            <v>2765692.4389999998</v>
          </cell>
          <cell r="X166">
            <v>2383691.4921969757</v>
          </cell>
          <cell r="AH166">
            <v>14</v>
          </cell>
          <cell r="AJ166">
            <v>15</v>
          </cell>
        </row>
        <row r="167">
          <cell r="B167">
            <v>2012</v>
          </cell>
          <cell r="F167" t="str">
            <v>Petrol HH</v>
          </cell>
          <cell r="G167" t="str">
            <v>All blowers petrol (back pack, handheld)</v>
          </cell>
          <cell r="K167" t="str">
            <v>Russian Federation</v>
          </cell>
          <cell r="M167">
            <v>32846667.676051732</v>
          </cell>
          <cell r="N167">
            <v>0</v>
          </cell>
          <cell r="O167">
            <v>0</v>
          </cell>
          <cell r="P167">
            <v>32846667.676051732</v>
          </cell>
          <cell r="X167">
            <v>94819348.899732918</v>
          </cell>
          <cell r="AH167">
            <v>2838</v>
          </cell>
          <cell r="AJ167">
            <v>12352</v>
          </cell>
        </row>
        <row r="168">
          <cell r="B168">
            <v>2012</v>
          </cell>
          <cell r="F168" t="str">
            <v>Petrol HH</v>
          </cell>
          <cell r="G168" t="str">
            <v>All chainsaws petrol (pro, prosumer, consumer, tree-care)</v>
          </cell>
          <cell r="K168" t="str">
            <v>Russian Federation</v>
          </cell>
          <cell r="M168">
            <v>1552979278.6531496</v>
          </cell>
          <cell r="N168">
            <v>0</v>
          </cell>
          <cell r="O168">
            <v>0</v>
          </cell>
          <cell r="P168">
            <v>1552979278.6531496</v>
          </cell>
          <cell r="X168">
            <v>7073547078.3773527</v>
          </cell>
          <cell r="AH168">
            <v>297383</v>
          </cell>
          <cell r="AJ168">
            <v>1646344.9999999998</v>
          </cell>
        </row>
        <row r="169">
          <cell r="B169">
            <v>2012</v>
          </cell>
          <cell r="F169" t="str">
            <v>Petrol HH</v>
          </cell>
          <cell r="G169" t="str">
            <v>All hedge trimmers petrol (hedge trimmer, pole hedge trimmer)</v>
          </cell>
          <cell r="K169" t="str">
            <v>Russian Federation</v>
          </cell>
          <cell r="M169">
            <v>7512674.9300000034</v>
          </cell>
          <cell r="N169">
            <v>0</v>
          </cell>
          <cell r="O169">
            <v>0</v>
          </cell>
          <cell r="P169">
            <v>7512674.9300000034</v>
          </cell>
          <cell r="X169">
            <v>32632088.164090723</v>
          </cell>
          <cell r="AH169">
            <v>616</v>
          </cell>
          <cell r="AJ169">
            <v>3449</v>
          </cell>
        </row>
        <row r="170">
          <cell r="B170">
            <v>2012</v>
          </cell>
          <cell r="F170" t="str">
            <v>Petrol HH</v>
          </cell>
          <cell r="G170" t="str">
            <v>All trimmers petrol (trimmer, brushcutter, edger/stick edger, multi-tool)</v>
          </cell>
          <cell r="K170" t="str">
            <v>Russian Federation</v>
          </cell>
          <cell r="M170">
            <v>710115998.78050125</v>
          </cell>
          <cell r="N170">
            <v>0</v>
          </cell>
          <cell r="O170">
            <v>0</v>
          </cell>
          <cell r="P170">
            <v>710115998.78050125</v>
          </cell>
          <cell r="X170">
            <v>5392981093.1438828</v>
          </cell>
          <cell r="AH170">
            <v>110819</v>
          </cell>
          <cell r="AJ170">
            <v>1433333.6</v>
          </cell>
        </row>
        <row r="171">
          <cell r="B171">
            <v>2012</v>
          </cell>
          <cell r="F171" t="str">
            <v>Battery</v>
          </cell>
          <cell r="G171" t="str">
            <v>Battery blower</v>
          </cell>
          <cell r="K171" t="str">
            <v>Russian Federation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X171">
            <v>1809534</v>
          </cell>
          <cell r="AH171">
            <v>0</v>
          </cell>
          <cell r="AJ171">
            <v>650</v>
          </cell>
        </row>
        <row r="172">
          <cell r="B172">
            <v>2012</v>
          </cell>
          <cell r="F172" t="str">
            <v>Battery</v>
          </cell>
          <cell r="G172" t="str">
            <v>Battery chainsaw</v>
          </cell>
          <cell r="K172" t="str">
            <v>Russian Federation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X172">
            <v>8965042</v>
          </cell>
          <cell r="AH172">
            <v>0</v>
          </cell>
          <cell r="AJ172">
            <v>910</v>
          </cell>
        </row>
        <row r="173">
          <cell r="B173">
            <v>2012</v>
          </cell>
          <cell r="F173" t="str">
            <v>Battery</v>
          </cell>
          <cell r="G173" t="str">
            <v>Battery grass &amp; shrub shears</v>
          </cell>
          <cell r="K173" t="str">
            <v>Russian Federation</v>
          </cell>
          <cell r="M173">
            <v>0</v>
          </cell>
          <cell r="N173">
            <v>30773481.800000004</v>
          </cell>
          <cell r="O173">
            <v>0</v>
          </cell>
          <cell r="P173">
            <v>30773481.800000004</v>
          </cell>
          <cell r="X173">
            <v>69350500</v>
          </cell>
          <cell r="AH173">
            <v>12162</v>
          </cell>
          <cell r="AJ173">
            <v>26955</v>
          </cell>
        </row>
        <row r="174">
          <cell r="B174">
            <v>2012</v>
          </cell>
          <cell r="F174" t="str">
            <v>Battery</v>
          </cell>
          <cell r="G174" t="str">
            <v>Battery hedge trimmer</v>
          </cell>
          <cell r="K174" t="str">
            <v>Russian Federation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X174">
            <v>1838453</v>
          </cell>
          <cell r="AH174">
            <v>0</v>
          </cell>
          <cell r="AJ174">
            <v>910</v>
          </cell>
        </row>
        <row r="175">
          <cell r="B175">
            <v>2012</v>
          </cell>
          <cell r="F175" t="str">
            <v>Battery</v>
          </cell>
          <cell r="G175" t="str">
            <v>Battery trimmer</v>
          </cell>
          <cell r="K175" t="str">
            <v>Russian Federation</v>
          </cell>
          <cell r="M175">
            <v>103198.66</v>
          </cell>
          <cell r="N175">
            <v>0</v>
          </cell>
          <cell r="O175">
            <v>0</v>
          </cell>
          <cell r="P175">
            <v>103198.66</v>
          </cell>
          <cell r="X175">
            <v>9890466</v>
          </cell>
          <cell r="AH175">
            <v>8</v>
          </cell>
          <cell r="AJ175">
            <v>3705</v>
          </cell>
        </row>
        <row r="176">
          <cell r="B176">
            <v>2012</v>
          </cell>
          <cell r="F176" t="str">
            <v>Battery</v>
          </cell>
          <cell r="G176" t="str">
            <v>Battery walk behind lawn mower</v>
          </cell>
          <cell r="K176" t="str">
            <v>Russian Federation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X176">
            <v>64690837</v>
          </cell>
          <cell r="AH176">
            <v>0</v>
          </cell>
          <cell r="AJ176">
            <v>6169</v>
          </cell>
        </row>
        <row r="177">
          <cell r="B177">
            <v>2012</v>
          </cell>
          <cell r="F177" t="str">
            <v>Corded</v>
          </cell>
          <cell r="G177" t="str">
            <v>Corded blower</v>
          </cell>
          <cell r="K177" t="str">
            <v>Russian Federation</v>
          </cell>
          <cell r="M177">
            <v>1831833.1118092842</v>
          </cell>
          <cell r="N177">
            <v>0</v>
          </cell>
          <cell r="O177">
            <v>0</v>
          </cell>
          <cell r="P177">
            <v>1831833.1118092842</v>
          </cell>
          <cell r="X177">
            <v>0</v>
          </cell>
          <cell r="AH177">
            <v>657</v>
          </cell>
          <cell r="AJ177">
            <v>0</v>
          </cell>
        </row>
        <row r="178">
          <cell r="B178">
            <v>2012</v>
          </cell>
          <cell r="F178" t="str">
            <v>Corded</v>
          </cell>
          <cell r="G178" t="str">
            <v>Corded chainsaw</v>
          </cell>
          <cell r="K178" t="str">
            <v>Russian Federation</v>
          </cell>
          <cell r="M178">
            <v>12308032.186776515</v>
          </cell>
          <cell r="N178">
            <v>0</v>
          </cell>
          <cell r="O178">
            <v>0</v>
          </cell>
          <cell r="P178">
            <v>12308032.186776515</v>
          </cell>
          <cell r="X178">
            <v>898184361.21754873</v>
          </cell>
          <cell r="AH178">
            <v>2912</v>
          </cell>
          <cell r="AJ178">
            <v>426086</v>
          </cell>
        </row>
        <row r="179">
          <cell r="B179">
            <v>2012</v>
          </cell>
          <cell r="F179" t="str">
            <v>Corded</v>
          </cell>
          <cell r="G179" t="str">
            <v>Corded hedge trimmer</v>
          </cell>
          <cell r="K179" t="str">
            <v>Russian Federation</v>
          </cell>
          <cell r="M179">
            <v>80094.987047382951</v>
          </cell>
          <cell r="N179">
            <v>0</v>
          </cell>
          <cell r="O179">
            <v>0</v>
          </cell>
          <cell r="P179">
            <v>80094.987047382951</v>
          </cell>
          <cell r="X179">
            <v>26636087.839247607</v>
          </cell>
          <cell r="AH179">
            <v>39</v>
          </cell>
          <cell r="AJ179">
            <v>14136</v>
          </cell>
        </row>
        <row r="180">
          <cell r="B180">
            <v>2012</v>
          </cell>
          <cell r="F180" t="str">
            <v>Corded</v>
          </cell>
          <cell r="G180" t="str">
            <v>Corded trimmer</v>
          </cell>
          <cell r="K180" t="str">
            <v>Russian Federation</v>
          </cell>
          <cell r="M180">
            <v>6228410.5878335088</v>
          </cell>
          <cell r="N180">
            <v>0</v>
          </cell>
          <cell r="O180">
            <v>0</v>
          </cell>
          <cell r="P180">
            <v>6228410.5878335088</v>
          </cell>
          <cell r="X180">
            <v>886760566.58952582</v>
          </cell>
          <cell r="AH180">
            <v>6441</v>
          </cell>
          <cell r="AJ180">
            <v>641078</v>
          </cell>
        </row>
        <row r="181">
          <cell r="B181">
            <v>2012</v>
          </cell>
          <cell r="F181" t="str">
            <v>Corded</v>
          </cell>
          <cell r="G181" t="str">
            <v>Corded walk behind lawn mower</v>
          </cell>
          <cell r="K181" t="str">
            <v>Russian Federation</v>
          </cell>
          <cell r="M181">
            <v>2726291.5011216239</v>
          </cell>
          <cell r="N181">
            <v>0</v>
          </cell>
          <cell r="O181">
            <v>0</v>
          </cell>
          <cell r="P181">
            <v>2726291.5011216239</v>
          </cell>
          <cell r="X181">
            <v>562701474.56299865</v>
          </cell>
          <cell r="AH181">
            <v>1112</v>
          </cell>
          <cell r="AJ181">
            <v>179940</v>
          </cell>
        </row>
        <row r="182">
          <cell r="B182">
            <v>2012</v>
          </cell>
          <cell r="F182" t="str">
            <v>Hand tools</v>
          </cell>
          <cell r="G182" t="str">
            <v>Garden accessories</v>
          </cell>
          <cell r="K182" t="str">
            <v>Russian Federation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X182">
            <v>619636968.46207559</v>
          </cell>
          <cell r="AH182">
            <v>0</v>
          </cell>
          <cell r="AJ182">
            <v>0</v>
          </cell>
        </row>
        <row r="183">
          <cell r="B183">
            <v>2012</v>
          </cell>
          <cell r="F183" t="str">
            <v>Hand tools</v>
          </cell>
          <cell r="G183" t="str">
            <v>Garden tools</v>
          </cell>
          <cell r="K183" t="str">
            <v>Russian Federation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X183">
            <v>1294283691.113831</v>
          </cell>
          <cell r="AH183">
            <v>0</v>
          </cell>
          <cell r="AJ183">
            <v>0</v>
          </cell>
        </row>
        <row r="184">
          <cell r="B184">
            <v>2012</v>
          </cell>
          <cell r="F184" t="str">
            <v>Watering</v>
          </cell>
          <cell r="G184" t="str">
            <v>Irrigation systems</v>
          </cell>
          <cell r="K184" t="str">
            <v>Russian Federation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X184">
            <v>1425058874.2797854</v>
          </cell>
          <cell r="AH184">
            <v>0</v>
          </cell>
          <cell r="AJ184">
            <v>0</v>
          </cell>
        </row>
        <row r="185">
          <cell r="B185">
            <v>2012</v>
          </cell>
          <cell r="F185" t="str">
            <v>Hand tools</v>
          </cell>
          <cell r="G185" t="str">
            <v>Mechanical cutting</v>
          </cell>
          <cell r="K185" t="str">
            <v>Russian Federation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X185">
            <v>1747903233.6043189</v>
          </cell>
          <cell r="AH185">
            <v>0</v>
          </cell>
          <cell r="AJ185">
            <v>0</v>
          </cell>
        </row>
        <row r="186">
          <cell r="B186">
            <v>2012</v>
          </cell>
          <cell r="F186" t="str">
            <v>Watering</v>
          </cell>
          <cell r="G186" t="str">
            <v>Mobile watering</v>
          </cell>
          <cell r="K186" t="str">
            <v>Russian Federation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X186">
            <v>2000768414.5413749</v>
          </cell>
          <cell r="AH186">
            <v>0</v>
          </cell>
          <cell r="AJ186">
            <v>0</v>
          </cell>
        </row>
        <row r="187">
          <cell r="B187">
            <v>2012</v>
          </cell>
          <cell r="F187" t="str">
            <v>Watering</v>
          </cell>
          <cell r="G187" t="str">
            <v>Pumps</v>
          </cell>
          <cell r="K187" t="str">
            <v>Russian Federation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X187">
            <v>5916983470.0093842</v>
          </cell>
          <cell r="AH187">
            <v>0</v>
          </cell>
          <cell r="AJ187">
            <v>0</v>
          </cell>
        </row>
        <row r="188">
          <cell r="B188">
            <v>2012</v>
          </cell>
          <cell r="F188" t="str">
            <v>Hand tools</v>
          </cell>
          <cell r="G188" t="str">
            <v>Push lawn mower</v>
          </cell>
          <cell r="K188" t="str">
            <v>Russian Federation</v>
          </cell>
          <cell r="M188">
            <v>2814175.5800000005</v>
          </cell>
          <cell r="N188">
            <v>0</v>
          </cell>
          <cell r="O188">
            <v>0</v>
          </cell>
          <cell r="P188">
            <v>2814175.5800000005</v>
          </cell>
          <cell r="X188">
            <v>0</v>
          </cell>
          <cell r="AH188">
            <v>749</v>
          </cell>
          <cell r="AJ188">
            <v>0</v>
          </cell>
        </row>
        <row r="189">
          <cell r="B189">
            <v>2012</v>
          </cell>
          <cell r="F189" t="str">
            <v>Wheeled</v>
          </cell>
          <cell r="G189" t="str">
            <v>Rider/front mower</v>
          </cell>
          <cell r="K189" t="str">
            <v>Russian Federation</v>
          </cell>
          <cell r="M189">
            <v>29634532.600000013</v>
          </cell>
          <cell r="N189">
            <v>0</v>
          </cell>
          <cell r="O189">
            <v>0</v>
          </cell>
          <cell r="P189">
            <v>29634532.600000013</v>
          </cell>
          <cell r="X189">
            <v>62786561.034681268</v>
          </cell>
          <cell r="AH189">
            <v>235</v>
          </cell>
          <cell r="AJ189">
            <v>418.00000000000006</v>
          </cell>
        </row>
        <row r="190">
          <cell r="B190">
            <v>2012</v>
          </cell>
          <cell r="F190" t="str">
            <v>Robotics</v>
          </cell>
          <cell r="G190" t="str">
            <v>Robotic lawn mower</v>
          </cell>
          <cell r="K190" t="str">
            <v>Russian Federation</v>
          </cell>
          <cell r="M190">
            <v>3759929.7199999988</v>
          </cell>
          <cell r="N190">
            <v>0</v>
          </cell>
          <cell r="O190">
            <v>0</v>
          </cell>
          <cell r="P190">
            <v>3759929.7199999988</v>
          </cell>
          <cell r="X190">
            <v>7164071.083010925</v>
          </cell>
          <cell r="AH190">
            <v>54</v>
          </cell>
          <cell r="AJ190">
            <v>113</v>
          </cell>
        </row>
        <row r="191">
          <cell r="B191">
            <v>2012</v>
          </cell>
          <cell r="F191" t="str">
            <v>Wheeled</v>
          </cell>
          <cell r="G191" t="str">
            <v>Snow thrower</v>
          </cell>
          <cell r="K191" t="str">
            <v>Russian Federation</v>
          </cell>
          <cell r="M191">
            <v>328793579.72643775</v>
          </cell>
          <cell r="N191">
            <v>0</v>
          </cell>
          <cell r="O191">
            <v>0</v>
          </cell>
          <cell r="P191">
            <v>328793579.72643775</v>
          </cell>
          <cell r="X191">
            <v>3063356062.0118127</v>
          </cell>
          <cell r="AH191">
            <v>7941</v>
          </cell>
          <cell r="AJ191">
            <v>114893</v>
          </cell>
        </row>
        <row r="192">
          <cell r="B192">
            <v>2012</v>
          </cell>
          <cell r="F192" t="str">
            <v>Wheeled</v>
          </cell>
          <cell r="G192" t="str">
            <v>Tiller</v>
          </cell>
          <cell r="K192" t="str">
            <v>Russian Federation</v>
          </cell>
          <cell r="M192">
            <v>83890678.797478691</v>
          </cell>
          <cell r="N192">
            <v>0</v>
          </cell>
          <cell r="O192">
            <v>0</v>
          </cell>
          <cell r="P192">
            <v>83890678.797478691</v>
          </cell>
          <cell r="X192">
            <v>5963943057.8013115</v>
          </cell>
          <cell r="AH192">
            <v>5026</v>
          </cell>
          <cell r="AJ192">
            <v>430000</v>
          </cell>
        </row>
        <row r="193">
          <cell r="B193">
            <v>2012</v>
          </cell>
          <cell r="F193" t="str">
            <v>Wheeled</v>
          </cell>
          <cell r="G193" t="str">
            <v>Tractor</v>
          </cell>
          <cell r="K193" t="str">
            <v>Russian Federation</v>
          </cell>
          <cell r="M193">
            <v>63141994.367205627</v>
          </cell>
          <cell r="N193">
            <v>0</v>
          </cell>
          <cell r="O193">
            <v>0</v>
          </cell>
          <cell r="P193">
            <v>63141994.367205627</v>
          </cell>
          <cell r="X193">
            <v>183168748.86462125</v>
          </cell>
          <cell r="AH193">
            <v>699</v>
          </cell>
          <cell r="AJ193">
            <v>2120</v>
          </cell>
        </row>
        <row r="194">
          <cell r="B194">
            <v>2012</v>
          </cell>
          <cell r="F194" t="str">
            <v>Wheeled</v>
          </cell>
          <cell r="G194" t="str">
            <v>Walk behind lawn mower petrol</v>
          </cell>
          <cell r="K194" t="str">
            <v>Russian Federation</v>
          </cell>
          <cell r="M194">
            <v>210691631.20665318</v>
          </cell>
          <cell r="N194">
            <v>0</v>
          </cell>
          <cell r="O194">
            <v>0</v>
          </cell>
          <cell r="P194">
            <v>210691631.20665318</v>
          </cell>
          <cell r="X194">
            <v>691147672.15003002</v>
          </cell>
          <cell r="AH194">
            <v>16909</v>
          </cell>
          <cell r="AJ194">
            <v>68150</v>
          </cell>
        </row>
        <row r="195">
          <cell r="B195">
            <v>2012</v>
          </cell>
          <cell r="F195" t="str">
            <v>Wheeled</v>
          </cell>
          <cell r="G195" t="str">
            <v>Zero turn mower</v>
          </cell>
          <cell r="K195" t="str">
            <v>Russian Federation</v>
          </cell>
          <cell r="M195">
            <v>1347722.4200000002</v>
          </cell>
          <cell r="N195">
            <v>0</v>
          </cell>
          <cell r="O195">
            <v>0</v>
          </cell>
          <cell r="P195">
            <v>1347722.4200000002</v>
          </cell>
          <cell r="X195">
            <v>2383691.4921969757</v>
          </cell>
          <cell r="AH195">
            <v>7</v>
          </cell>
          <cell r="AJ195">
            <v>15</v>
          </cell>
        </row>
        <row r="196">
          <cell r="B196">
            <v>2011</v>
          </cell>
          <cell r="F196" t="str">
            <v>Petrol HH</v>
          </cell>
          <cell r="G196" t="str">
            <v>All blowers petrol (back pack, handheld)</v>
          </cell>
          <cell r="K196" t="str">
            <v>Russian Federation</v>
          </cell>
          <cell r="M196">
            <v>29443992.480895571</v>
          </cell>
          <cell r="N196">
            <v>0</v>
          </cell>
          <cell r="O196">
            <v>0</v>
          </cell>
          <cell r="P196">
            <v>29443992.480895571</v>
          </cell>
          <cell r="X196">
            <v>97349850.361806631</v>
          </cell>
          <cell r="AH196">
            <v>2746</v>
          </cell>
          <cell r="AJ196">
            <v>13116</v>
          </cell>
        </row>
        <row r="197">
          <cell r="B197">
            <v>2011</v>
          </cell>
          <cell r="F197" t="str">
            <v>Petrol HH</v>
          </cell>
          <cell r="G197" t="str">
            <v>All chainsaws petrol (pro, prosumer, consumer, tree-care)</v>
          </cell>
          <cell r="K197" t="str">
            <v>Russian Federation</v>
          </cell>
          <cell r="M197">
            <v>1658964013.6381314</v>
          </cell>
          <cell r="N197">
            <v>0</v>
          </cell>
          <cell r="O197">
            <v>0</v>
          </cell>
          <cell r="P197">
            <v>1658964013.6381314</v>
          </cell>
          <cell r="X197">
            <v>8619821246.9538136</v>
          </cell>
          <cell r="AH197">
            <v>289099</v>
          </cell>
          <cell r="AJ197">
            <v>2053556</v>
          </cell>
        </row>
        <row r="198">
          <cell r="B198">
            <v>2011</v>
          </cell>
          <cell r="F198" t="str">
            <v>Petrol HH</v>
          </cell>
          <cell r="G198" t="str">
            <v>All hedge trimmers petrol (hedge trimmer, pole hedge trimmer)</v>
          </cell>
          <cell r="K198" t="str">
            <v>Russian Federation</v>
          </cell>
          <cell r="M198">
            <v>5330335.4960939046</v>
          </cell>
          <cell r="N198">
            <v>0</v>
          </cell>
          <cell r="O198">
            <v>0</v>
          </cell>
          <cell r="P198">
            <v>5330335.4960939046</v>
          </cell>
          <cell r="X198">
            <v>29828714.413011581</v>
          </cell>
          <cell r="AH198">
            <v>383</v>
          </cell>
          <cell r="AJ198">
            <v>3227</v>
          </cell>
        </row>
        <row r="199">
          <cell r="B199">
            <v>2011</v>
          </cell>
          <cell r="F199" t="str">
            <v>Petrol HH</v>
          </cell>
          <cell r="G199" t="str">
            <v>All trimmers petrol (trimmer, brushcutter, edger/stick edger, multi-tool)</v>
          </cell>
          <cell r="K199" t="str">
            <v>Russian Federation</v>
          </cell>
          <cell r="M199">
            <v>694832960.48958457</v>
          </cell>
          <cell r="N199">
            <v>0</v>
          </cell>
          <cell r="O199">
            <v>0</v>
          </cell>
          <cell r="P199">
            <v>694832960.48958457</v>
          </cell>
          <cell r="X199">
            <v>4576974305.5092583</v>
          </cell>
          <cell r="AH199">
            <v>106888</v>
          </cell>
          <cell r="AJ199">
            <v>1183270</v>
          </cell>
        </row>
        <row r="200">
          <cell r="B200">
            <v>2011</v>
          </cell>
          <cell r="F200" t="str">
            <v>Battery</v>
          </cell>
          <cell r="G200" t="str">
            <v>Battery blower</v>
          </cell>
          <cell r="K200" t="str">
            <v>Russian Federation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X200">
            <v>1457510</v>
          </cell>
          <cell r="AH200">
            <v>0</v>
          </cell>
          <cell r="AJ200">
            <v>494</v>
          </cell>
        </row>
        <row r="201">
          <cell r="B201">
            <v>2011</v>
          </cell>
          <cell r="F201" t="str">
            <v>Battery</v>
          </cell>
          <cell r="G201" t="str">
            <v>Battery chainsaw</v>
          </cell>
          <cell r="K201" t="str">
            <v>Russian Federation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X201">
            <v>6404184</v>
          </cell>
          <cell r="AH201">
            <v>0</v>
          </cell>
          <cell r="AJ201">
            <v>650</v>
          </cell>
        </row>
        <row r="202">
          <cell r="B202">
            <v>2011</v>
          </cell>
          <cell r="F202" t="str">
            <v>Battery</v>
          </cell>
          <cell r="G202" t="str">
            <v>Battery grass &amp; shrub shears</v>
          </cell>
          <cell r="K202" t="str">
            <v>Russian Federation</v>
          </cell>
          <cell r="M202">
            <v>0</v>
          </cell>
          <cell r="N202">
            <v>38911393.709999993</v>
          </cell>
          <cell r="O202">
            <v>0</v>
          </cell>
          <cell r="P202">
            <v>38911393.709999993</v>
          </cell>
          <cell r="X202">
            <v>65425000</v>
          </cell>
          <cell r="AH202">
            <v>15258</v>
          </cell>
          <cell r="AJ202">
            <v>26170</v>
          </cell>
        </row>
        <row r="203">
          <cell r="B203">
            <v>2011</v>
          </cell>
          <cell r="F203" t="str">
            <v>Battery</v>
          </cell>
          <cell r="G203" t="str">
            <v>Battery hedge trimmer</v>
          </cell>
          <cell r="K203" t="str">
            <v>Russian Federation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X203">
            <v>1224425</v>
          </cell>
          <cell r="AH203">
            <v>0</v>
          </cell>
          <cell r="AJ203">
            <v>265</v>
          </cell>
        </row>
        <row r="204">
          <cell r="B204">
            <v>2011</v>
          </cell>
          <cell r="F204" t="str">
            <v>Battery</v>
          </cell>
          <cell r="G204" t="str">
            <v>Battery trimmer</v>
          </cell>
          <cell r="K204" t="str">
            <v>Russian Federation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X204">
            <v>7982506</v>
          </cell>
          <cell r="AH204">
            <v>0</v>
          </cell>
          <cell r="AJ204">
            <v>2990</v>
          </cell>
        </row>
        <row r="205">
          <cell r="B205">
            <v>2011</v>
          </cell>
          <cell r="F205" t="str">
            <v>Battery</v>
          </cell>
          <cell r="G205" t="str">
            <v>Battery walk behind lawn mower</v>
          </cell>
          <cell r="K205" t="str">
            <v>Russian Federation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X205">
            <v>29778218</v>
          </cell>
          <cell r="AH205">
            <v>0</v>
          </cell>
          <cell r="AJ205">
            <v>3042</v>
          </cell>
        </row>
        <row r="206">
          <cell r="B206">
            <v>2011</v>
          </cell>
          <cell r="F206" t="str">
            <v>Corded</v>
          </cell>
          <cell r="G206" t="str">
            <v>Corded blower</v>
          </cell>
          <cell r="K206" t="str">
            <v>Russian Federation</v>
          </cell>
          <cell r="M206">
            <v>3253586.301209054</v>
          </cell>
          <cell r="N206">
            <v>0</v>
          </cell>
          <cell r="O206">
            <v>0</v>
          </cell>
          <cell r="P206">
            <v>3253586.301209054</v>
          </cell>
          <cell r="X206">
            <v>0</v>
          </cell>
          <cell r="AH206">
            <v>1344</v>
          </cell>
          <cell r="AJ206">
            <v>0</v>
          </cell>
        </row>
        <row r="207">
          <cell r="B207">
            <v>2011</v>
          </cell>
          <cell r="F207" t="str">
            <v>Corded</v>
          </cell>
          <cell r="G207" t="str">
            <v>Corded chainsaw</v>
          </cell>
          <cell r="K207" t="str">
            <v>Russian Federation</v>
          </cell>
          <cell r="M207">
            <v>9643382.7972346358</v>
          </cell>
          <cell r="N207">
            <v>0</v>
          </cell>
          <cell r="O207">
            <v>0</v>
          </cell>
          <cell r="P207">
            <v>9643382.7972346358</v>
          </cell>
          <cell r="X207">
            <v>818959831.78537047</v>
          </cell>
          <cell r="AH207">
            <v>2838</v>
          </cell>
          <cell r="AJ207">
            <v>388503</v>
          </cell>
        </row>
        <row r="208">
          <cell r="B208">
            <v>2011</v>
          </cell>
          <cell r="F208" t="str">
            <v>Corded</v>
          </cell>
          <cell r="G208" t="str">
            <v>Corded hedge trimmer</v>
          </cell>
          <cell r="K208" t="str">
            <v>Russian Federation</v>
          </cell>
          <cell r="M208">
            <v>396327.11999999976</v>
          </cell>
          <cell r="N208">
            <v>0</v>
          </cell>
          <cell r="O208">
            <v>0</v>
          </cell>
          <cell r="P208">
            <v>396327.11999999976</v>
          </cell>
          <cell r="X208">
            <v>23553416.66600135</v>
          </cell>
          <cell r="AH208">
            <v>199</v>
          </cell>
          <cell r="AJ208">
            <v>12500</v>
          </cell>
        </row>
        <row r="209">
          <cell r="B209">
            <v>2011</v>
          </cell>
          <cell r="F209" t="str">
            <v>Corded</v>
          </cell>
          <cell r="G209" t="str">
            <v>Corded trimmer</v>
          </cell>
          <cell r="K209" t="str">
            <v>Russian Federation</v>
          </cell>
          <cell r="M209">
            <v>8835836.7031835299</v>
          </cell>
          <cell r="N209">
            <v>0</v>
          </cell>
          <cell r="O209">
            <v>0</v>
          </cell>
          <cell r="P209">
            <v>8835836.7031835299</v>
          </cell>
          <cell r="X209">
            <v>995731701.82723916</v>
          </cell>
          <cell r="AH209">
            <v>5812</v>
          </cell>
          <cell r="AJ209">
            <v>719858</v>
          </cell>
        </row>
        <row r="210">
          <cell r="B210">
            <v>2011</v>
          </cell>
          <cell r="F210" t="str">
            <v>Corded</v>
          </cell>
          <cell r="G210" t="str">
            <v>Corded walk behind lawn mower</v>
          </cell>
          <cell r="K210" t="str">
            <v>Russian Federation</v>
          </cell>
          <cell r="M210">
            <v>4973935.2579643494</v>
          </cell>
          <cell r="N210">
            <v>0</v>
          </cell>
          <cell r="O210">
            <v>0</v>
          </cell>
          <cell r="P210">
            <v>4973935.2579643494</v>
          </cell>
          <cell r="X210">
            <v>568089574.15548551</v>
          </cell>
          <cell r="AH210">
            <v>1948</v>
          </cell>
          <cell r="AJ210">
            <v>181663</v>
          </cell>
        </row>
        <row r="211">
          <cell r="B211">
            <v>2011</v>
          </cell>
          <cell r="F211" t="str">
            <v>Hand tools</v>
          </cell>
          <cell r="G211" t="str">
            <v>Garden accessories</v>
          </cell>
          <cell r="K211" t="str">
            <v>Russian Federation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X211">
            <v>538814755.18441355</v>
          </cell>
          <cell r="AH211">
            <v>0</v>
          </cell>
          <cell r="AJ211">
            <v>0</v>
          </cell>
        </row>
        <row r="212">
          <cell r="B212">
            <v>2011</v>
          </cell>
          <cell r="F212" t="str">
            <v>Hand tools</v>
          </cell>
          <cell r="G212" t="str">
            <v>Garden tools</v>
          </cell>
          <cell r="K212" t="str">
            <v>Russian Federation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X212">
            <v>1035426952.8910648</v>
          </cell>
          <cell r="AH212">
            <v>0</v>
          </cell>
          <cell r="AJ212">
            <v>0</v>
          </cell>
        </row>
        <row r="213">
          <cell r="B213">
            <v>2011</v>
          </cell>
          <cell r="F213" t="str">
            <v>Watering</v>
          </cell>
          <cell r="G213" t="str">
            <v>Irrigation systems</v>
          </cell>
          <cell r="K213" t="str">
            <v>Russian Federation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X213">
            <v>1158584450.6339717</v>
          </cell>
          <cell r="AH213">
            <v>0</v>
          </cell>
          <cell r="AJ213">
            <v>0</v>
          </cell>
        </row>
        <row r="214">
          <cell r="B214">
            <v>2011</v>
          </cell>
          <cell r="F214" t="str">
            <v>Hand tools</v>
          </cell>
          <cell r="G214" t="str">
            <v>Mechanical cutting</v>
          </cell>
          <cell r="K214" t="str">
            <v>Russian Federation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X214">
            <v>1456586028.0035994</v>
          </cell>
          <cell r="AH214">
            <v>0</v>
          </cell>
          <cell r="AJ214">
            <v>0</v>
          </cell>
        </row>
        <row r="215">
          <cell r="B215">
            <v>2011</v>
          </cell>
          <cell r="F215" t="str">
            <v>Watering</v>
          </cell>
          <cell r="G215" t="str">
            <v>Mobile watering</v>
          </cell>
          <cell r="K215" t="str">
            <v>Russian Federation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X215">
            <v>1691682448.0312891</v>
          </cell>
          <cell r="AH215">
            <v>0</v>
          </cell>
          <cell r="AJ215">
            <v>0</v>
          </cell>
        </row>
        <row r="216">
          <cell r="B216">
            <v>2011</v>
          </cell>
          <cell r="F216" t="str">
            <v>Watering</v>
          </cell>
          <cell r="G216" t="str">
            <v>Pumps</v>
          </cell>
          <cell r="K216" t="str">
            <v>Russian Federation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X216">
            <v>5190336377.2012138</v>
          </cell>
          <cell r="AH216">
            <v>0</v>
          </cell>
          <cell r="AJ216">
            <v>0</v>
          </cell>
        </row>
        <row r="217">
          <cell r="B217">
            <v>2011</v>
          </cell>
          <cell r="F217" t="str">
            <v>Hand tools</v>
          </cell>
          <cell r="G217" t="str">
            <v>Push lawn mower</v>
          </cell>
          <cell r="K217" t="str">
            <v>Russian Federation</v>
          </cell>
          <cell r="M217">
            <v>2129302.5999999996</v>
          </cell>
          <cell r="N217">
            <v>0</v>
          </cell>
          <cell r="O217">
            <v>0</v>
          </cell>
          <cell r="P217">
            <v>2129302.5999999996</v>
          </cell>
          <cell r="X217">
            <v>0</v>
          </cell>
          <cell r="AH217">
            <v>589</v>
          </cell>
          <cell r="AJ217">
            <v>0</v>
          </cell>
        </row>
        <row r="218">
          <cell r="B218">
            <v>2011</v>
          </cell>
          <cell r="F218" t="str">
            <v>Wheeled</v>
          </cell>
          <cell r="G218" t="str">
            <v>Rider/front mower</v>
          </cell>
          <cell r="K218" t="str">
            <v>Russian Federation</v>
          </cell>
          <cell r="M218">
            <v>30287349.559999999</v>
          </cell>
          <cell r="N218">
            <v>0</v>
          </cell>
          <cell r="O218">
            <v>0</v>
          </cell>
          <cell r="P218">
            <v>30287349.559999999</v>
          </cell>
          <cell r="X218">
            <v>56107139.648013055</v>
          </cell>
          <cell r="AH218">
            <v>215</v>
          </cell>
          <cell r="AJ218">
            <v>374</v>
          </cell>
        </row>
        <row r="219">
          <cell r="B219">
            <v>2011</v>
          </cell>
          <cell r="F219" t="str">
            <v>Robotics</v>
          </cell>
          <cell r="G219" t="str">
            <v>Robotic lawn mower</v>
          </cell>
          <cell r="K219" t="str">
            <v>Russian Federation</v>
          </cell>
          <cell r="M219">
            <v>4114543.948713257</v>
          </cell>
          <cell r="N219">
            <v>0</v>
          </cell>
          <cell r="O219">
            <v>0</v>
          </cell>
          <cell r="P219">
            <v>4114543.948713257</v>
          </cell>
          <cell r="X219">
            <v>5351334.429060163</v>
          </cell>
          <cell r="AH219">
            <v>63</v>
          </cell>
          <cell r="AJ219">
            <v>80</v>
          </cell>
        </row>
        <row r="220">
          <cell r="B220">
            <v>2011</v>
          </cell>
          <cell r="F220" t="str">
            <v>Wheeled</v>
          </cell>
          <cell r="G220" t="str">
            <v>Snow thrower</v>
          </cell>
          <cell r="K220" t="str">
            <v>Russian Federation</v>
          </cell>
          <cell r="M220">
            <v>289651994.69868714</v>
          </cell>
          <cell r="N220">
            <v>0</v>
          </cell>
          <cell r="O220">
            <v>0</v>
          </cell>
          <cell r="P220">
            <v>289651994.69868714</v>
          </cell>
          <cell r="X220">
            <v>2798354853.6815152</v>
          </cell>
          <cell r="AH220">
            <v>7224</v>
          </cell>
          <cell r="AJ220">
            <v>101300</v>
          </cell>
        </row>
        <row r="221">
          <cell r="B221">
            <v>2011</v>
          </cell>
          <cell r="F221" t="str">
            <v>Wheeled</v>
          </cell>
          <cell r="G221" t="str">
            <v>Tiller</v>
          </cell>
          <cell r="K221" t="str">
            <v>Russian Federation</v>
          </cell>
          <cell r="M221">
            <v>69739922.817499846</v>
          </cell>
          <cell r="N221">
            <v>0</v>
          </cell>
          <cell r="O221">
            <v>0</v>
          </cell>
          <cell r="P221">
            <v>69739922.817499846</v>
          </cell>
          <cell r="X221">
            <v>5427562662.7446833</v>
          </cell>
          <cell r="AH221">
            <v>4563</v>
          </cell>
          <cell r="AJ221">
            <v>391327</v>
          </cell>
        </row>
        <row r="222">
          <cell r="B222">
            <v>2011</v>
          </cell>
          <cell r="F222" t="str">
            <v>Wheeled</v>
          </cell>
          <cell r="G222" t="str">
            <v>Tractor</v>
          </cell>
          <cell r="K222" t="str">
            <v>Russian Federation</v>
          </cell>
          <cell r="M222">
            <v>64580087.470387489</v>
          </cell>
          <cell r="N222">
            <v>0</v>
          </cell>
          <cell r="O222">
            <v>0</v>
          </cell>
          <cell r="P222">
            <v>64580087.470387489</v>
          </cell>
          <cell r="X222">
            <v>183513335.30673322</v>
          </cell>
          <cell r="AH222">
            <v>772</v>
          </cell>
          <cell r="AJ222">
            <v>2120</v>
          </cell>
        </row>
        <row r="223">
          <cell r="B223">
            <v>2011</v>
          </cell>
          <cell r="F223" t="str">
            <v>Wheeled</v>
          </cell>
          <cell r="G223" t="str">
            <v>Walk behind lawn mower petrol</v>
          </cell>
          <cell r="K223" t="str">
            <v>Russian Federation</v>
          </cell>
          <cell r="M223">
            <v>204057311.55122623</v>
          </cell>
          <cell r="N223">
            <v>0</v>
          </cell>
          <cell r="O223">
            <v>0</v>
          </cell>
          <cell r="P223">
            <v>204057311.55122623</v>
          </cell>
          <cell r="X223">
            <v>1043709046.6859605</v>
          </cell>
          <cell r="AH223">
            <v>18170</v>
          </cell>
          <cell r="AJ223">
            <v>102915</v>
          </cell>
        </row>
        <row r="224">
          <cell r="B224">
            <v>2011</v>
          </cell>
          <cell r="F224" t="str">
            <v>Wheeled</v>
          </cell>
          <cell r="G224" t="str">
            <v>Zero turn mower</v>
          </cell>
          <cell r="K224" t="str">
            <v>Russian Federation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X224">
            <v>1906953.1937575806</v>
          </cell>
          <cell r="AH224">
            <v>0</v>
          </cell>
          <cell r="AJ224">
            <v>12</v>
          </cell>
        </row>
      </sheetData>
      <sheetData sheetId="5"/>
      <sheetData sheetId="6">
        <row r="3">
          <cell r="D3" t="str">
            <v>Battery blower</v>
          </cell>
        </row>
        <row r="4">
          <cell r="D4" t="str">
            <v>Battery chainsaw</v>
          </cell>
        </row>
        <row r="5">
          <cell r="D5" t="str">
            <v>Battery grass &amp; shrub shears</v>
          </cell>
        </row>
        <row r="6">
          <cell r="D6" t="str">
            <v>Battery hedge trimmer</v>
          </cell>
        </row>
        <row r="7">
          <cell r="D7" t="str">
            <v>Battery trimmer</v>
          </cell>
        </row>
        <row r="8">
          <cell r="D8" t="str">
            <v>Battery walk behind lawn mower</v>
          </cell>
        </row>
        <row r="10">
          <cell r="D10" t="str">
            <v>Corded blower</v>
          </cell>
        </row>
        <row r="11">
          <cell r="D11" t="str">
            <v>Corded chainsaw</v>
          </cell>
        </row>
        <row r="12">
          <cell r="D12" t="str">
            <v>Corded hedge trimmer</v>
          </cell>
        </row>
        <row r="13">
          <cell r="D13" t="str">
            <v>Corded trimmer</v>
          </cell>
        </row>
        <row r="14">
          <cell r="D14" t="str">
            <v>Corded walk behind lawn mower</v>
          </cell>
        </row>
        <row r="16">
          <cell r="D16" t="str">
            <v>Garden accessories</v>
          </cell>
        </row>
        <row r="17">
          <cell r="D17" t="str">
            <v>Garden tools</v>
          </cell>
        </row>
        <row r="18">
          <cell r="D18" t="str">
            <v>Mechanical cutting</v>
          </cell>
        </row>
        <row r="19">
          <cell r="D19" t="str">
            <v>Push lawn mower</v>
          </cell>
        </row>
        <row r="21">
          <cell r="D21" t="str">
            <v>Chains &amp; bars</v>
          </cell>
        </row>
        <row r="22">
          <cell r="D22" t="str">
            <v>E Spare parts</v>
          </cell>
        </row>
        <row r="23">
          <cell r="D23" t="str">
            <v>Forest tools</v>
          </cell>
        </row>
        <row r="24">
          <cell r="D24" t="str">
            <v>HH Spare parts</v>
          </cell>
        </row>
        <row r="25">
          <cell r="D25" t="str">
            <v>LME</v>
          </cell>
        </row>
        <row r="26">
          <cell r="D26" t="str">
            <v>Lubricants</v>
          </cell>
        </row>
        <row r="27">
          <cell r="D27" t="str">
            <v>Personal protection equipment</v>
          </cell>
        </row>
        <row r="28">
          <cell r="D28" t="str">
            <v>Ride-on/Lawnmowers</v>
          </cell>
        </row>
        <row r="29">
          <cell r="D29" t="str">
            <v>W Spare parts</v>
          </cell>
        </row>
        <row r="30">
          <cell r="D30" t="str">
            <v>WA Spare parts</v>
          </cell>
        </row>
        <row r="32">
          <cell r="D32" t="str">
            <v>All blowers petrol (back pack, handheld)</v>
          </cell>
        </row>
        <row r="33">
          <cell r="D33" t="str">
            <v>All chainsaws petrol (pro, prosumer, consumer, tree-care)</v>
          </cell>
        </row>
        <row r="34">
          <cell r="D34" t="str">
            <v>All hedge trimmers petrol (hedge trimmer, pole hedge trimmer)</v>
          </cell>
        </row>
        <row r="35">
          <cell r="D35" t="str">
            <v>All trimmers petrol (trimmer, brushcutter, edger/stick edger, multi-tool)</v>
          </cell>
        </row>
        <row r="37">
          <cell r="D37" t="str">
            <v>Robotic lawn mower</v>
          </cell>
        </row>
        <row r="38">
          <cell r="D38">
            <v>0</v>
          </cell>
        </row>
        <row r="40">
          <cell r="D40" t="str">
            <v>Irrigation systems</v>
          </cell>
        </row>
        <row r="41">
          <cell r="D41" t="str">
            <v>Mobile watering</v>
          </cell>
        </row>
        <row r="42">
          <cell r="D42" t="str">
            <v>Pumps</v>
          </cell>
        </row>
        <row r="44">
          <cell r="D44" t="str">
            <v>Rider/front mower</v>
          </cell>
        </row>
        <row r="45">
          <cell r="D45" t="str">
            <v>Snow thrower</v>
          </cell>
        </row>
        <row r="46">
          <cell r="D46" t="str">
            <v>Tiller</v>
          </cell>
        </row>
        <row r="47">
          <cell r="D47" t="str">
            <v>Tractor</v>
          </cell>
        </row>
        <row r="48">
          <cell r="D48" t="str">
            <v>Walk behind lawn mower petrol</v>
          </cell>
        </row>
        <row r="49">
          <cell r="D49" t="str">
            <v>Zero turn mower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Товары" displayName="Товары" ref="A2:AX10" totalsRowShown="0" headerRowDxfId="486" dataDxfId="485">
  <autoFilter ref="A2:AX10" xr:uid="{6B7FED29-D1EF-44AD-8CEA-6B36EA57CFDF}"/>
  <tableColumns count="50">
    <tableColumn id="20" xr3:uid="{F0834113-79EB-4DC4-BB50-96E4D3BC9E62}" name="№" dataDxfId="484"/>
    <tableColumn id="1" xr3:uid="{00000000-0010-0000-0300-000001000000}" name="Категория для прайс-листа диллеров" dataDxfId="483"/>
    <tableColumn id="2" xr3:uid="{00000000-0010-0000-0300-000002000000}" name="Суперкатегория (ENG)" dataDxfId="482"/>
    <tableColumn id="3" xr3:uid="{00000000-0010-0000-0300-000003000000}" name="Суперкатегория (RUS)" dataDxfId="481">
      <calculatedColumnFormula>IFERROR(INDEX(Суперкатегории[Суперкатегория (RUS)],MATCH(Товары[[#This Row],[Суперкатегория (ENG)]],Суперкатегории[Суперкатегория (ENG)],0)),"")</calculatedColumnFormula>
    </tableColumn>
    <tableColumn id="4" xr3:uid="{00000000-0010-0000-0300-000004000000}" name="Продукт группа" dataDxfId="480"/>
    <tableColumn id="5" xr3:uid="{00000000-0010-0000-0300-000005000000}" name="Название продукт группы (ENG)" dataDxfId="479">
      <calculatedColumnFormula>IFERROR(INDEX(Продукт_Группы[Название продукт группы (ENG)],MATCH(Товары[[#This Row],[Продукт группа]],Продукт_Группы[Продукт группа],0)),"")</calculatedColumnFormula>
    </tableColumn>
    <tableColumn id="6" xr3:uid="{00000000-0010-0000-0300-000006000000}" name="Название продукт группы (RUS)" dataDxfId="478">
      <calculatedColumnFormula>IFERROR(INDEX(Продукт_Группы[Название продукт группы (RUS)],MATCH(Товары[[#This Row],[Продукт группа]],Продукт_Группы[Продукт группа],0)),"")</calculatedColumnFormula>
    </tableColumn>
    <tableColumn id="7" xr3:uid="{00000000-0010-0000-0300-000007000000}" name="SubGroup" dataDxfId="477"/>
    <tableColumn id="8" xr3:uid="{00000000-0010-0000-0300-000008000000}" name="Generic Name (long)" dataDxfId="476"/>
    <tableColumn id="9" xr3:uid="{00000000-0010-0000-0300-000009000000}" name="Model" dataDxfId="475"/>
    <tableColumn id="10" xr3:uid="{00000000-0010-0000-0300-00000A000000}" name="PNS" dataDxfId="474"/>
    <tableColumn id="11" xr3:uid="{00000000-0010-0000-0300-00000B000000}" name="Артикул" dataDxfId="473"/>
    <tableColumn id="12" xr3:uid="{00000000-0010-0000-0300-00000C000000}" name="Артикул предшественника (если есть)" dataDxfId="472"/>
    <tableColumn id="13" xr3:uid="{00000000-0010-0000-0300-00000D000000}" name="Название артикула (ENG)" dataDxfId="471"/>
    <tableColumn id="14" xr3:uid="{00000000-0010-0000-0300-00000E000000}" name="Название артикула (RUS)" dataDxfId="470"/>
    <tableColumn id="15" xr3:uid="{00000000-0010-0000-0300-00000F000000}" name="Используемый календарь" dataDxfId="469"/>
    <tableColumn id="21" xr3:uid="{22E1A367-1EE8-43BC-814E-457CB0799CE2}" name="to be sold in" dataDxfId="468"/>
    <tableColumn id="22" xr3:uid="{96D0E354-E4F0-4C0D-A215-B5053EDC93D3}" name="Sales Start Date" dataDxfId="467"/>
    <tableColumn id="23" xr3:uid="{8E8FA46F-C4EA-4B11-9002-6C2FB1732F50}" name="Preliminary Elimination Date" dataDxfId="466"/>
    <tableColumn id="24" xr3:uid="{1CD4DFA3-524A-4B3F-B75B-153436EC8505}" name="Elimination Date" dataDxfId="465"/>
    <tableColumn id="25" xr3:uid="{9E91402A-0829-46E3-BCAD-2B3FBD67E8B4}" name="GTIN-13/EAN" dataDxfId="464"/>
    <tableColumn id="26" xr3:uid="{6D670FEE-0EE3-4984-AE03-EE53C5B4F796}" name="Current Producing Factory Entity Reference" dataDxfId="463"/>
    <tableColumn id="27" xr3:uid="{5EE7ABD6-FDA4-4488-802E-A3E44391980C}" name="Country of Origin" dataDxfId="462"/>
    <tableColumn id="28" xr3:uid="{9B515A88-1ED3-4508-B5E0-8006888F9EC2}" name="Unit of measure" dataDxfId="461"/>
    <tableColumn id="29" xr3:uid="{87BE889F-2ABE-4DA6-8E30-3420049514D6}" name="Quantity in Master pack" dataDxfId="460"/>
    <tableColumn id="30" xr3:uid="{47EEE49F-81B7-4FCC-B374-69DEC03ECE66}" name="Article gross weight, preliminary" dataDxfId="459"/>
    <tableColumn id="31" xr3:uid="{EFEF2C58-568B-4F24-9FA2-6034A66D278C}" name="Article gross weight" dataDxfId="458"/>
    <tableColumn id="32" xr3:uid="{D9BFC098-81CC-44FD-9FDE-FE6F58BB8BD6}" name="Article net weight, preliminary" dataDxfId="457"/>
    <tableColumn id="33" xr3:uid="{C47E9D47-775F-4F97-AD61-45CFFC8D6D30}" name="Article net weight" dataDxfId="456"/>
    <tableColumn id="34" xr3:uid="{8FDF5358-549B-4DBC-B8D0-CFC371276F4D}" name="Packaging length" dataDxfId="455"/>
    <tableColumn id="35" xr3:uid="{6E69E3B5-4350-4ABB-89BF-8A6BD2DC4947}" name="Packaging width" dataDxfId="454"/>
    <tableColumn id="36" xr3:uid="{96879B4C-6D27-4389-8B5A-11E1CBC022EA}" name="Packaging height" dataDxfId="453"/>
    <tableColumn id="37" xr3:uid="{170F61C0-2069-494A-A33C-F39311F5A9C7}" name="Packaging volume" dataDxfId="452"/>
    <tableColumn id="38" xr3:uid="{5E3DED34-6BEE-4E8A-AFB4-2CACE6CD1835}" name="Product size length" dataDxfId="451"/>
    <tableColumn id="39" xr3:uid="{FF80A301-50E2-4D81-BB7D-1EE251460E5A}" name="Product size height" dataDxfId="450"/>
    <tableColumn id="40" xr3:uid="{37BA004B-7442-4871-93EF-B13A77E1A917}" name="Product size width" dataDxfId="449"/>
    <tableColumn id="41" xr3:uid="{9C4077D9-3E18-4C57-A4FE-24EC817418FB}" name="Units Per Pallet" dataDxfId="448"/>
    <tableColumn id="16" xr3:uid="{00000000-0010-0000-0300-000010000000}" name="Статус" dataDxfId="447"/>
    <tableColumn id="17" xr3:uid="{00000000-0010-0000-0300-000011000000}" name="Эксклюзив клиента или канала продажи" dataDxfId="446"/>
    <tableColumn id="18" xr3:uid="{00000000-0010-0000-0300-000012000000}" name="Локальный сертификат" dataDxfId="445"/>
    <tableColumn id="43" xr3:uid="{F395E6EB-A30D-4A38-AB3A-7536C9D93B73}" name="IRP, Eur" dataDxfId="444"/>
    <tableColumn id="42" xr3:uid="{05ED5D32-E5CB-4A2F-932D-7E4E79D8C3DB}" name="РРЦ текущий" dataDxfId="443"/>
    <tableColumn id="19" xr3:uid="{942DBC0D-E4D1-4CAE-964C-D4023A4F222C}" name="DIY текущий" dataDxfId="442"/>
    <tableColumn id="44" xr3:uid="{B34018FA-361B-4D7A-BB24-F38CB52B40FF}" name="Процент повышения РРЦ" dataDxfId="441"/>
    <tableColumn id="45" xr3:uid="{74423DE5-1814-4A91-B002-871E2E69DACF}" name="РРЦ расчетная, руб." dataDxfId="440">
      <calculatedColumnFormula>ROUND((Товары[[#This Row],[IRP, Eur]]*$AT$1),-2)*(1+Товары[[#This Row],[Процент повышения РРЦ]])</calculatedColumnFormula>
    </tableColumn>
    <tableColumn id="46" xr3:uid="{254B632A-097C-44FA-9C17-E9B47A344E90}" name="РРЦ финальная, руб." dataDxfId="439"/>
    <tableColumn id="49" xr3:uid="{9DFD32D8-20F7-44F2-9EFD-A1D48FECC173}" name="РРЦ, евро" dataDxfId="438">
      <calculatedColumnFormula>ROUND(Товары[[#This Row],[РРЦ финальная, руб.]]/$AT$1,2)</calculatedColumnFormula>
    </tableColumn>
    <tableColumn id="47" xr3:uid="{274477BF-6DA6-42C0-8813-165D8A99D45E}" name="Индекс IRP" dataDxfId="437">
      <calculatedColumnFormula>IFERROR(Товары[[#This Row],[РРЦ, евро]]/Товары[[#This Row],[IRP, Eur]],"-")</calculatedColumnFormula>
    </tableColumn>
    <tableColumn id="52" xr3:uid="{B1004C8A-9509-4329-A6ED-C7613F8F56E1}" name="Скидка DIY" dataDxfId="436">
      <calculatedColumnFormula>IFERROR(VLOOKUP(Товары[[#This Row],[SubGroup]],DIY!$B:$C,2,FALSE),0)</calculatedColumnFormula>
    </tableColumn>
    <tableColumn id="48" xr3:uid="{B9D88E75-7832-4F53-8C3F-6C92D997E7AF}" name="DIY price list, руб. без НДС" dataDxfId="435">
      <calculatedColumnFormula>ROUND(Товары[[#This Row],[РРЦ финальная, руб.]]*(1-Товары[[#This Row],[Скидка DIY]]),2)</calculatedColumnFormula>
    </tableColumn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Клиенты" displayName="Клиенты" ref="A1:H440" totalsRowShown="0" headerRowDxfId="434" dataDxfId="433">
  <autoFilter ref="A1:H440" xr:uid="{00000000-0009-0000-0100-00000D000000}"/>
  <tableColumns count="8">
    <tableColumn id="8" xr3:uid="{E2D1A163-1F1A-4C5F-BF19-12C204A54D1C}" name="№" dataDxfId="432"/>
    <tableColumn id="1" xr3:uid="{00000000-0010-0000-0A00-000001000000}" name="GardenaChannel" dataDxfId="431"/>
    <tableColumn id="2" xr3:uid="{00000000-0010-0000-0A00-000002000000}" name="Customer" dataDxfId="430"/>
    <tableColumn id="3" xr3:uid="{00000000-0010-0000-0A00-000003000000}" name="Channel type" dataDxfId="429"/>
    <tableColumn id="4" xr3:uid="{00000000-0010-0000-0A00-000004000000}" name="Customer status" dataDxfId="428"/>
    <tableColumn id="5" xr3:uid="{00000000-0010-0000-0A00-000005000000}" name="Sales manager" dataDxfId="427">
      <calculatedColumnFormula>VLOOKUP(Клиенты[[#This Row],[GardenaChannel]],GardenChannel[[GardenChannel]:[Sales manager]],2,0)</calculatedColumnFormula>
    </tableColumn>
    <tableColumn id="6" xr3:uid="{00000000-0010-0000-0A00-000006000000}" name="Маг" dataDxfId="426"/>
    <tableColumn id="7" xr3:uid="{00000000-0010-0000-0A00-000007000000}" name="CustomerBudget" dataDxfId="42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Скидки" displayName="Скидки" ref="A1:K2" totalsRowShown="0" headerRowDxfId="424">
  <autoFilter ref="A1:K2" xr:uid="{00000000-0009-0000-0100-00000F000000}"/>
  <tableColumns count="11">
    <tableColumn id="11" xr3:uid="{F724774D-6E5F-421B-8A8A-7AD1541FFA21}" name="№" dataDxfId="423"/>
    <tableColumn id="1" xr3:uid="{00000000-0010-0000-0C00-000001000000}" name="Channel type" dataDxfId="422"/>
    <tableColumn id="2" xr3:uid="{00000000-0010-0000-0C00-000002000000}" name="Customer status" dataDxfId="421"/>
    <tableColumn id="3" xr3:uid="{00000000-0010-0000-0C00-000003000000}" name="Период" dataDxfId="420"/>
    <tableColumn id="4" xr3:uid="{00000000-0010-0000-0C00-000004000000}" name="Оборудование для полива" dataDxfId="419"/>
    <tableColumn id="5" xr3:uid="{00000000-0010-0000-0C00-000005000000}" name="Электрика (Готовая продукция)" dataDxfId="418"/>
    <tableColumn id="6" xr3:uid="{00000000-0010-0000-0C00-000006000000}" name="Газонокосилки-роботы" dataDxfId="417"/>
    <tableColumn id="7" xr3:uid="{00000000-0010-0000-0C00-000007000000}" name="Насосное оборудование" dataDxfId="416"/>
    <tableColumn id="8" xr3:uid="{00000000-0010-0000-0C00-000008000000}" name="Ручные и режущие инструменты" dataDxfId="415"/>
    <tableColumn id="9" xr3:uid="{00000000-0010-0000-0C00-000009000000}" name="Зимние инструменты ClassicLine" dataDxfId="414"/>
    <tableColumn id="10" xr3:uid="{00000000-0010-0000-0C00-00000A000000}" name="Максимальный годовой бонус" dataDxfId="41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РРЦ" displayName="РРЦ" ref="A1:F9" totalsRowShown="0" headerRowDxfId="412" headerRowBorderDxfId="411" tableBorderDxfId="410">
  <autoFilter ref="A1:F9" xr:uid="{00000000-0009-0000-0100-000009000000}"/>
  <tableColumns count="6">
    <tableColumn id="6" xr3:uid="{2D081CBD-B861-4BD3-904F-4492D5DB2851}" name="№"/>
    <tableColumn id="1" xr3:uid="{00000000-0010-0000-0600-000001000000}" name="Артикул" dataDxfId="409"/>
    <tableColumn id="2" xr3:uid="{00000000-0010-0000-0600-000002000000}" name="IRP, Eur"/>
    <tableColumn id="3" xr3:uid="{00000000-0010-0000-0600-000003000000}" name="РРЦ, руб. с НДС"/>
    <tableColumn id="4" xr3:uid="{00000000-0010-0000-0600-000004000000}" name="DIY price list, руб. без НДС"/>
    <tableColumn id="5" xr3:uid="{00000000-0010-0000-0600-000005000000}" name="Дата принятия" dataDxfId="40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DIY" displayName="DIY" ref="A1:C2" totalsRowShown="0">
  <autoFilter ref="A1:C2" xr:uid="{00000000-0009-0000-0100-00000A000000}"/>
  <tableColumns count="3">
    <tableColumn id="1" xr3:uid="{00000000-0010-0000-0700-000001000000}" name="№" dataDxfId="407"/>
    <tableColumn id="2" xr3:uid="{00000000-0010-0000-0700-000002000000}" name="SubGroup" dataDxfId="406"/>
    <tableColumn id="3" xr3:uid="{00000000-0010-0000-0700-000003000000}" name="Процент от РРЦ, без НДС" dataDxfId="405" dataCellStyle="Процентный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Планирование" displayName="Планирование" ref="A1:DQ2" totalsRowShown="0" headerRowDxfId="404">
  <tableColumns count="121">
    <tableColumn id="1" xr3:uid="{00000000-0010-0000-0D00-000001000000}" name="ID" dataDxfId="403"/>
    <tableColumn id="2" xr3:uid="{00000000-0010-0000-0D00-000002000000}" name="Channel type" dataDxfId="402"/>
    <tableColumn id="3" xr3:uid="{00000000-0010-0000-0D00-000003000000}" name="Customer status" dataDxfId="401"/>
    <tableColumn id="4" xr3:uid="{00000000-0010-0000-0D00-000004000000}" name="Дата прогноза" dataDxfId="400"/>
    <tableColumn id="5" xr3:uid="{00000000-0010-0000-0D00-000005000000}" name="Данные справочника товаров"/>
    <tableColumn id="6" xr3:uid="{00000000-0010-0000-0D00-000006000000}" name="STK 2.5, руб." dataDxfId="399"/>
    <tableColumn id="7" xr3:uid="{00000000-0010-0000-0D00-000007000000}" name="IRP, Eur" dataDxfId="398"/>
    <tableColumn id="8" xr3:uid="{00000000-0010-0000-0D00-000008000000}" name="РРЦ, руб.с НДС" dataDxfId="397"/>
    <tableColumn id="9" xr3:uid="{00000000-0010-0000-0D00-000009000000}" name="Индекс IRP" dataDxfId="396"/>
    <tableColumn id="10" xr3:uid="{00000000-0010-0000-0D00-00000A000000}" name="DIY price list, руб. без НДС" dataDxfId="395"/>
    <tableColumn id="11" xr3:uid="{00000000-0010-0000-0D00-00000B000000}" name="2 net цена, руб." dataDxfId="394"/>
    <tableColumn id="12" xr3:uid="{00000000-0010-0000-0D00-00000C000000}" name="3 net цена, руб." dataDxfId="393"/>
    <tableColumn id="13" xr3:uid="{00000000-0010-0000-0D00-00000D000000}" name="Transfer цена, руб." dataDxfId="392"/>
    <tableColumn id="14" xr3:uid="{00000000-0010-0000-0D00-00000E000000}" name="Price-list январь" dataDxfId="391"/>
    <tableColumn id="15" xr3:uid="{00000000-0010-0000-0D00-00000F000000}" name="Price-list февраль" dataDxfId="390"/>
    <tableColumn id="16" xr3:uid="{00000000-0010-0000-0D00-000010000000}" name="Price-list март" dataDxfId="389"/>
    <tableColumn id="17" xr3:uid="{00000000-0010-0000-0D00-000011000000}" name="Price-list апрель" dataDxfId="388"/>
    <tableColumn id="18" xr3:uid="{00000000-0010-0000-0D00-000012000000}" name="Price-list май" dataDxfId="387"/>
    <tableColumn id="19" xr3:uid="{00000000-0010-0000-0D00-000013000000}" name="Price-list июнь" dataDxfId="386"/>
    <tableColumn id="20" xr3:uid="{00000000-0010-0000-0D00-000014000000}" name="Price-list июль" dataDxfId="385"/>
    <tableColumn id="21" xr3:uid="{00000000-0010-0000-0D00-000015000000}" name="Price-list август" dataDxfId="384"/>
    <tableColumn id="22" xr3:uid="{00000000-0010-0000-0D00-000016000000}" name="Price-list сентябрь" dataDxfId="383"/>
    <tableColumn id="23" xr3:uid="{00000000-0010-0000-0D00-000017000000}" name="Price-list октябрь" dataDxfId="382"/>
    <tableColumn id="24" xr3:uid="{00000000-0010-0000-0D00-000018000000}" name="Price-list ноябрь" dataDxfId="381"/>
    <tableColumn id="25" xr3:uid="{00000000-0010-0000-0D00-000019000000}" name="Price-list декабрь" dataDxfId="380"/>
    <tableColumn id="26" xr3:uid="{00000000-0010-0000-0D00-00001A000000}" name="Объем продаж январь" dataDxfId="379"/>
    <tableColumn id="27" xr3:uid="{00000000-0010-0000-0D00-00001B000000}" name="Объем продаж февраль" dataDxfId="378"/>
    <tableColumn id="28" xr3:uid="{00000000-0010-0000-0D00-00001C000000}" name="Объем продаж март" dataDxfId="377"/>
    <tableColumn id="29" xr3:uid="{00000000-0010-0000-0D00-00001D000000}" name="Объем продаж апрель" dataDxfId="376"/>
    <tableColumn id="30" xr3:uid="{00000000-0010-0000-0D00-00001E000000}" name="Объем продаж май" dataDxfId="375"/>
    <tableColumn id="31" xr3:uid="{00000000-0010-0000-0D00-00001F000000}" name="Объем продаж июнь" dataDxfId="374"/>
    <tableColumn id="32" xr3:uid="{00000000-0010-0000-0D00-000020000000}" name="Объем продаж июль" dataDxfId="373"/>
    <tableColumn id="33" xr3:uid="{00000000-0010-0000-0D00-000021000000}" name="Объем продаж август" dataDxfId="372"/>
    <tableColumn id="34" xr3:uid="{00000000-0010-0000-0D00-000022000000}" name="Объем продаж сентябрь" dataDxfId="371"/>
    <tableColumn id="35" xr3:uid="{00000000-0010-0000-0D00-000023000000}" name="Объем продаж октябрь" dataDxfId="370"/>
    <tableColumn id="36" xr3:uid="{00000000-0010-0000-0D00-000024000000}" name="Объем продаж ноябрь" dataDxfId="369"/>
    <tableColumn id="37" xr3:uid="{00000000-0010-0000-0D00-000025000000}" name="Объем продаж декабрь" dataDxfId="368"/>
    <tableColumn id="38" xr3:uid="{00000000-0010-0000-0D00-000026000000}" name="GS январь" dataDxfId="367"/>
    <tableColumn id="39" xr3:uid="{00000000-0010-0000-0D00-000027000000}" name="GS февраль" dataDxfId="366"/>
    <tableColumn id="40" xr3:uid="{00000000-0010-0000-0D00-000028000000}" name="GS март" dataDxfId="365"/>
    <tableColumn id="41" xr3:uid="{00000000-0010-0000-0D00-000029000000}" name="GS апрель" dataDxfId="364"/>
    <tableColumn id="42" xr3:uid="{00000000-0010-0000-0D00-00002A000000}" name="GS май" dataDxfId="363"/>
    <tableColumn id="43" xr3:uid="{00000000-0010-0000-0D00-00002B000000}" name="GS июнь" dataDxfId="362"/>
    <tableColumn id="44" xr3:uid="{00000000-0010-0000-0D00-00002C000000}" name="GS июль" dataDxfId="361"/>
    <tableColumn id="45" xr3:uid="{00000000-0010-0000-0D00-00002D000000}" name="GS август" dataDxfId="360"/>
    <tableColumn id="46" xr3:uid="{00000000-0010-0000-0D00-00002E000000}" name="GS сентябрь" dataDxfId="359"/>
    <tableColumn id="47" xr3:uid="{00000000-0010-0000-0D00-00002F000000}" name="GS октябрь" dataDxfId="358"/>
    <tableColumn id="48" xr3:uid="{00000000-0010-0000-0D00-000030000000}" name="GS ноябрь" dataDxfId="357"/>
    <tableColumn id="49" xr3:uid="{00000000-0010-0000-0D00-000031000000}" name="GS декабрь" dataDxfId="356"/>
    <tableColumn id="50" xr3:uid="{00000000-0010-0000-0D00-000032000000}" name="NS Январь" dataDxfId="355"/>
    <tableColumn id="51" xr3:uid="{00000000-0010-0000-0D00-000033000000}" name="NS февраль" dataDxfId="354"/>
    <tableColumn id="52" xr3:uid="{00000000-0010-0000-0D00-000034000000}" name="NS март" dataDxfId="353"/>
    <tableColumn id="53" xr3:uid="{00000000-0010-0000-0D00-000035000000}" name="NS апрель" dataDxfId="352"/>
    <tableColumn id="54" xr3:uid="{00000000-0010-0000-0D00-000036000000}" name="NS май" dataDxfId="351"/>
    <tableColumn id="55" xr3:uid="{00000000-0010-0000-0D00-000037000000}" name="NS июнь" dataDxfId="350"/>
    <tableColumn id="56" xr3:uid="{00000000-0010-0000-0D00-000038000000}" name="NS июль" dataDxfId="349"/>
    <tableColumn id="57" xr3:uid="{00000000-0010-0000-0D00-000039000000}" name="NS август" dataDxfId="348"/>
    <tableColumn id="58" xr3:uid="{00000000-0010-0000-0D00-00003A000000}" name="NS сентябрь" dataDxfId="347"/>
    <tableColumn id="59" xr3:uid="{00000000-0010-0000-0D00-00003B000000}" name="NS октябрь" dataDxfId="346"/>
    <tableColumn id="60" xr3:uid="{00000000-0010-0000-0D00-00003C000000}" name="NS ноябрь" dataDxfId="345"/>
    <tableColumn id="61" xr3:uid="{00000000-0010-0000-0D00-00003D000000}" name="NS декабрь" dataDxfId="344"/>
    <tableColumn id="62" xr3:uid="{00000000-0010-0000-0D00-00003E000000}" name="Promo Price-list январь" dataDxfId="343"/>
    <tableColumn id="63" xr3:uid="{00000000-0010-0000-0D00-00003F000000}" name="Promo Price-list февраль" dataDxfId="342"/>
    <tableColumn id="64" xr3:uid="{00000000-0010-0000-0D00-000040000000}" name="Promo Price-list март" dataDxfId="341"/>
    <tableColumn id="65" xr3:uid="{00000000-0010-0000-0D00-000041000000}" name="Promo Price-list апрель" dataDxfId="340"/>
    <tableColumn id="66" xr3:uid="{00000000-0010-0000-0D00-000042000000}" name="Promo Price-list май" dataDxfId="339"/>
    <tableColumn id="67" xr3:uid="{00000000-0010-0000-0D00-000043000000}" name="Promo Price-list июнь" dataDxfId="338"/>
    <tableColumn id="68" xr3:uid="{00000000-0010-0000-0D00-000044000000}" name="Promo Price-list июль" dataDxfId="337"/>
    <tableColumn id="69" xr3:uid="{00000000-0010-0000-0D00-000045000000}" name="Promo Price-list август" dataDxfId="336"/>
    <tableColumn id="70" xr3:uid="{00000000-0010-0000-0D00-000046000000}" name="Promo Price-list сентябрь" dataDxfId="335"/>
    <tableColumn id="71" xr3:uid="{00000000-0010-0000-0D00-000047000000}" name="Promo Price-list октябрь" dataDxfId="334"/>
    <tableColumn id="72" xr3:uid="{00000000-0010-0000-0D00-000048000000}" name="Promo Price-list ноябрь" dataDxfId="333"/>
    <tableColumn id="73" xr3:uid="{00000000-0010-0000-0D00-000049000000}" name="Promo Price-list декабрь" dataDxfId="332"/>
    <tableColumn id="74" xr3:uid="{00000000-0010-0000-0D00-00004A000000}" name="Promo Объем продаж январь" dataDxfId="331"/>
    <tableColumn id="75" xr3:uid="{00000000-0010-0000-0D00-00004B000000}" name="Promo Объем февраль" dataDxfId="330"/>
    <tableColumn id="76" xr3:uid="{00000000-0010-0000-0D00-00004C000000}" name="Promo Объем март" dataDxfId="329"/>
    <tableColumn id="77" xr3:uid="{00000000-0010-0000-0D00-00004D000000}" name="Promo Объем апрель" dataDxfId="328"/>
    <tableColumn id="78" xr3:uid="{00000000-0010-0000-0D00-00004E000000}" name="Promo Объем май" dataDxfId="327"/>
    <tableColumn id="79" xr3:uid="{00000000-0010-0000-0D00-00004F000000}" name="Promo Объем июнь" dataDxfId="326"/>
    <tableColumn id="80" xr3:uid="{00000000-0010-0000-0D00-000050000000}" name="Promo Объем июль" dataDxfId="325"/>
    <tableColumn id="81" xr3:uid="{00000000-0010-0000-0D00-000051000000}" name="Promo Объем август" dataDxfId="324"/>
    <tableColumn id="82" xr3:uid="{00000000-0010-0000-0D00-000052000000}" name="Promo Объем сентябрь" dataDxfId="323"/>
    <tableColumn id="83" xr3:uid="{00000000-0010-0000-0D00-000053000000}" name="Promo Объем октябрь" dataDxfId="322"/>
    <tableColumn id="84" xr3:uid="{00000000-0010-0000-0D00-000054000000}" name="Promo Объем ноябрь" dataDxfId="321"/>
    <tableColumn id="85" xr3:uid="{00000000-0010-0000-0D00-000055000000}" name="Promo Объем декабрь" dataDxfId="320"/>
    <tableColumn id="86" xr3:uid="{00000000-0010-0000-0D00-000056000000}" name="Promo GS январь" dataDxfId="319"/>
    <tableColumn id="87" xr3:uid="{00000000-0010-0000-0D00-000057000000}" name="Promo GS февраль" dataDxfId="318"/>
    <tableColumn id="88" xr3:uid="{00000000-0010-0000-0D00-000058000000}" name="Promo GS март" dataDxfId="317"/>
    <tableColumn id="89" xr3:uid="{00000000-0010-0000-0D00-000059000000}" name="Promo GS апрель" dataDxfId="316"/>
    <tableColumn id="90" xr3:uid="{00000000-0010-0000-0D00-00005A000000}" name="Promo GS май" dataDxfId="315"/>
    <tableColumn id="91" xr3:uid="{00000000-0010-0000-0D00-00005B000000}" name="Promo GS июнь" dataDxfId="314"/>
    <tableColumn id="92" xr3:uid="{00000000-0010-0000-0D00-00005C000000}" name="Promo GS июль" dataDxfId="313"/>
    <tableColumn id="93" xr3:uid="{00000000-0010-0000-0D00-00005D000000}" name="Promo GS август" dataDxfId="312"/>
    <tableColumn id="94" xr3:uid="{00000000-0010-0000-0D00-00005E000000}" name="Promo GS сентябрь" dataDxfId="311"/>
    <tableColumn id="95" xr3:uid="{00000000-0010-0000-0D00-00005F000000}" name="Promo GS октябрь" dataDxfId="310"/>
    <tableColumn id="96" xr3:uid="{00000000-0010-0000-0D00-000060000000}" name="Promo GS ноябрь" dataDxfId="309"/>
    <tableColumn id="97" xr3:uid="{00000000-0010-0000-0D00-000061000000}" name="Promo GS декабрь" dataDxfId="308"/>
    <tableColumn id="98" xr3:uid="{00000000-0010-0000-0D00-000062000000}" name="Promo NS январь" dataDxfId="307"/>
    <tableColumn id="99" xr3:uid="{00000000-0010-0000-0D00-000063000000}" name="Promo NS февраль" dataDxfId="306"/>
    <tableColumn id="100" xr3:uid="{00000000-0010-0000-0D00-000064000000}" name="Promo NS март" dataDxfId="305"/>
    <tableColumn id="101" xr3:uid="{00000000-0010-0000-0D00-000065000000}" name="Promo NS апрель" dataDxfId="304"/>
    <tableColumn id="102" xr3:uid="{00000000-0010-0000-0D00-000066000000}" name="Promo NS май" dataDxfId="303"/>
    <tableColumn id="103" xr3:uid="{00000000-0010-0000-0D00-000067000000}" name="Promo NS июнь" dataDxfId="302"/>
    <tableColumn id="104" xr3:uid="{00000000-0010-0000-0D00-000068000000}" name="Promo NS июль" dataDxfId="301"/>
    <tableColumn id="105" xr3:uid="{00000000-0010-0000-0D00-000069000000}" name="Promo NS август" dataDxfId="300"/>
    <tableColumn id="106" xr3:uid="{00000000-0010-0000-0D00-00006A000000}" name="Promo NS сентябрь" dataDxfId="299"/>
    <tableColumn id="107" xr3:uid="{00000000-0010-0000-0D00-00006B000000}" name="Promo NS октябрь" dataDxfId="298"/>
    <tableColumn id="108" xr3:uid="{00000000-0010-0000-0D00-00006C000000}" name="Promo NS ноябрь" dataDxfId="297"/>
    <tableColumn id="109" xr3:uid="{00000000-0010-0000-0D00-00006D000000}" name="Promo NS декабрь" dataDxfId="296"/>
    <tableColumn id="110" xr3:uid="{00000000-0010-0000-0D00-00006E000000}" name="GP Value январь" dataDxfId="295"/>
    <tableColumn id="111" xr3:uid="{00000000-0010-0000-0D00-00006F000000}" name="GP Value февраль" dataDxfId="294"/>
    <tableColumn id="112" xr3:uid="{00000000-0010-0000-0D00-000070000000}" name="GP Value март" dataDxfId="293"/>
    <tableColumn id="113" xr3:uid="{00000000-0010-0000-0D00-000071000000}" name="GP Value апрель" dataDxfId="292"/>
    <tableColumn id="114" xr3:uid="{00000000-0010-0000-0D00-000072000000}" name="GP Value май" dataDxfId="291"/>
    <tableColumn id="115" xr3:uid="{00000000-0010-0000-0D00-000073000000}" name="GP Value июнь" dataDxfId="290"/>
    <tableColumn id="116" xr3:uid="{00000000-0010-0000-0D00-000074000000}" name="GP Value июль" dataDxfId="289"/>
    <tableColumn id="117" xr3:uid="{00000000-0010-0000-0D00-000075000000}" name="GP Value август" dataDxfId="288"/>
    <tableColumn id="118" xr3:uid="{00000000-0010-0000-0D00-000076000000}" name="GP Value сентябрь" dataDxfId="287"/>
    <tableColumn id="119" xr3:uid="{00000000-0010-0000-0D00-000077000000}" name="GP Value октябрь" dataDxfId="286"/>
    <tableColumn id="120" xr3:uid="{00000000-0010-0000-0D00-000078000000}" name="GP Value ноябрь" dataDxfId="285"/>
    <tableColumn id="121" xr3:uid="{00000000-0010-0000-0D00-000079000000}" name="GP Value декабрь" dataDxfId="28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6FE95B9-AD3E-441C-A4E0-0B543D7CD432}" name="Прайс_лист" displayName="Прайс_лист" ref="A13:V14" totalsRowShown="0" headerRowDxfId="283" dataDxfId="282" headerRowCellStyle="Обычный 2" dataCellStyle="Обычный 2">
  <autoFilter ref="A13:V14" xr:uid="{ADF718DD-67AC-4401-B168-AFEE638B048C}"/>
  <tableColumns count="22">
    <tableColumn id="22" xr3:uid="{361E8588-935C-493B-A7CF-935B5D4480B5}" name="Id" dataDxfId="281" dataCellStyle="Обычный 2"/>
    <tableColumn id="1" xr3:uid="{AC1F4D41-C0A8-443D-9E3C-D9C4FF50F830}" name="КАТЕГОРИЯ" dataDxfId="280" dataCellStyle="Обычный 2"/>
    <tableColumn id="2" xr3:uid="{20B689EB-7652-4723-BFAB-8C7C64C8FD7A}" name="Фото продукта" dataDxfId="279" dataCellStyle="Обычный 2"/>
    <tableColumn id="3" xr3:uid="{8821E9F1-B085-4717-B559-CDD126769DA7}" name="Продукт группа - название" dataDxfId="278" dataCellStyle="Обычный 2"/>
    <tableColumn id="4" xr3:uid="{A99D0144-C997-463C-9A1D-9B08CF9140E1}" name="Артикул GARDENA" dataDxfId="277" dataCellStyle="Обычный 2"/>
    <tableColumn id="5" xr3:uid="{ED79FFB3-1BA8-4E97-9A5F-C09EAECD5CB1}" name="Артикул предшествующего продукта (если есть)" dataDxfId="276" dataCellStyle="Обычный 2"/>
    <tableColumn id="6" xr3:uid="{71EF79FE-B1E9-4844-9BB4-A63692EDA3AE}" name="Название" dataDxfId="275" dataCellStyle="Обычный 2"/>
    <tableColumn id="7" xr3:uid="{5A0F710D-9900-48D2-A5A0-EE9A1926CA9F}" name="Описание" dataDxfId="274" dataCellStyle="Обычный 2"/>
    <tableColumn id="8" xr3:uid="{0709C17B-24E7-4283-B7CD-103780E925FD}" name="РРЦ 2020, руб. с НДС" dataDxfId="273" dataCellStyle="Обычный 2"/>
    <tableColumn id="9" xr3:uid="{7346265F-E87E-4F08-A3D6-0027CF43A157}" name="EAN штуки" dataDxfId="272" dataCellStyle="Обычный 2"/>
    <tableColumn id="10" xr3:uid="{2C8CCB7E-EDD1-482F-A1E4-EC04C692D1EA}" name="страна производства" dataDxfId="271" dataCellStyle="Обычный 2"/>
    <tableColumn id="11" xr3:uid="{6995D219-9DF9-4115-8CDC-849E890401E6}" name="единица измерения" dataDxfId="270" dataCellStyle="Обычный 2"/>
    <tableColumn id="12" xr3:uid="{1A1113D4-0FC3-4FC9-8993-94D48C5B7E0B}" name="кол-во в мастер-паке" dataDxfId="269" dataCellStyle="Финансовый 2"/>
    <tableColumn id="13" xr3:uid="{085F48D9-0BB4-48CA-BB0A-E910E6B6C9E8}" name="Вес гросс штуки, финальный" dataDxfId="268" dataCellStyle="Обычный 2"/>
    <tableColumn id="14" xr3:uid="{2834A4E1-0E95-43BB-97C8-392563130CF3}" name="Вес нетто штуки, финальный" dataDxfId="267" dataCellStyle="Обычный 2"/>
    <tableColumn id="15" xr3:uid="{5BEC7C38-B443-4DCB-BE49-1848A79C42F9}" name="Длина упаковки" dataDxfId="266" dataCellStyle="Обычный 2"/>
    <tableColumn id="16" xr3:uid="{7C9AB8E1-B1C6-47E3-9BE8-5A1D1C646B25}" name="Ширина упаковки" dataDxfId="265" dataCellStyle="Обычный 2"/>
    <tableColumn id="17" xr3:uid="{10918133-09A5-4117-B3B1-E785EFE65B4A}" name="Высота упаковки" dataDxfId="264" dataCellStyle="Обычный 2"/>
    <tableColumn id="18" xr3:uid="{DE26A25B-99E8-4A9D-8AFE-A2E1D13A4931}" name="Объем упаковки" dataDxfId="263" dataCellStyle="Обычный 2"/>
    <tableColumn id="19" xr3:uid="{9AF542A1-08A7-49E6-9900-1EB99D7350D1}" name="Кол-во штук на паллете" dataDxfId="262" dataCellStyle="Финансовый 2"/>
    <tableColumn id="20" xr3:uid="{9B215DDF-BCA2-477C-8AFA-BC848C8FF031}" name="Сертификация" dataDxfId="261" dataCellStyle="Обычный 2"/>
    <tableColumn id="21" xr3:uid="{76E684EA-EAE5-44EF-8156-B78DA5E17975}" name="Гарантия" dataDxfId="260" dataCellStyle="Обычный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CFE148B-717D-4FE5-BB65-0B7F9E4A812B}" name="Планирование_новый_год" displayName="Планирование_новый_год" ref="A6:HE7" totalsRowShown="0" headerRowDxfId="12" dataDxfId="11" tableBorderDxfId="226" headerRowCellStyle="Обычный 2" dataCellStyle="Обычный 2">
  <autoFilter ref="A6:HE7" xr:uid="{42BACFC5-5E64-476B-A3DB-892D30BB8DF2}"/>
  <tableColumns count="213">
    <tableColumn id="1" xr3:uid="{4545771D-2DE7-4A36-9A9B-05CA9607D752}" name="Артикул" dataDxfId="225" dataCellStyle="Обычный 2"/>
    <tableColumn id="2" xr3:uid="{559CB638-BDA2-4A52-AA4F-7160E63546D4}" name="РРЦ, руб.с НДС" dataDxfId="224" dataCellStyle="Обычный 2"/>
    <tableColumn id="3" xr3:uid="{7D569CF0-F34D-4426-8591-FDEBCF14DE3C}" name="Процент изменения" dataDxfId="223" dataCellStyle="Обычный 2"/>
    <tableColumn id="4" xr3:uid="{1DC3AA0D-D670-4794-8AF1-C04A0A387315}" name="STK 2.5,  Eur" dataDxfId="222" dataCellStyle="Обычный 2"/>
    <tableColumn id="5" xr3:uid="{EE57BC20-AFCE-4EE3-8EDF-7461A2CA0BC6}" name="STK 2.5, руб." dataDxfId="221" dataCellStyle="Обычный 2"/>
    <tableColumn id="6" xr3:uid="{9E61B737-3111-4868-AAD1-89F1AF64D19E}" name="IRP, Eur" dataDxfId="220" dataCellStyle="Обычный 2"/>
    <tableColumn id="7" xr3:uid="{1E5FE8BF-50B0-4274-8735-FDD3DE2A74AB}" name="РРЦ, руб.с НДС2" dataDxfId="219" dataCellStyle="Обычный 2"/>
    <tableColumn id="8" xr3:uid="{68D166DE-1C85-4A99-B4EB-F67E16BF5C59}" name="Индекс IRP" dataDxfId="218" dataCellStyle="Обычный 2"/>
    <tableColumn id="9" xr3:uid="{F6A2BBA5-3D1B-42BB-A99D-100FB259FFF1}" name="DIY price list, руб. без НДС" dataDxfId="217" dataCellStyle="Обычный 2"/>
    <tableColumn id="10" xr3:uid="{A3D06AC1-53DF-47CA-BFF2-88C03E561EC8}" name="Delta, %" dataDxfId="216" dataCellStyle="Обычный 2"/>
    <tableColumn id="11" xr3:uid="{97C7AA4C-785B-49E1-94F1-B25CC649E1D7}" name="2 net цена, руб." dataDxfId="215" dataCellStyle="Обычный 2"/>
    <tableColumn id="12" xr3:uid="{1FC200C6-88CD-4B76-8226-5F199536C4C6}" name="Delta, %3" dataDxfId="214" dataCellStyle="Обычный 2"/>
    <tableColumn id="13" xr3:uid="{70706C25-4209-4C19-981D-B25AB77BD90C}" name="3 net цена, руб." dataDxfId="213" dataCellStyle="Обычный 2"/>
    <tableColumn id="14" xr3:uid="{CA5F5A69-F19C-46A7-A29D-BB2DDEEEB1B0}" name="QTY Act, шт." dataDxfId="212" dataCellStyle="Обычный 2"/>
    <tableColumn id="15" xr3:uid="{2813B571-CE41-4B60-B0C6-90F21E18F8CB}" name="GS, руб." dataDxfId="211" dataCellStyle="Обычный 2"/>
    <tableColumn id="16" xr3:uid="{CD8492E8-7393-4EAD-905A-433B8CAD3DCD}" name="NS, руб." dataDxfId="210" dataCellStyle="Обычный 2"/>
    <tableColumn id="17" xr3:uid="{8F92CE82-C8A5-455D-813F-9D80FA79594E}" name="LC, руб." dataDxfId="209" dataCellStyle="Обычный 2"/>
    <tableColumn id="18" xr3:uid="{3C62EFF9-B5FA-4914-96F9-EFAAD5645B9F}" name="GP value, руб." dataDxfId="208" dataCellStyle="Обычный 2"/>
    <tableColumn id="19" xr3:uid="{A42219DF-ACAC-4333-93B1-C63C5CF7817B}" name="GP, %" dataDxfId="207" dataCellStyle="Обычный 2"/>
    <tableColumn id="20" xr3:uid="{4470B48C-0BEC-4B12-989F-23716295C070}" name="Transfer цена, руб." dataDxfId="206" dataCellStyle="Обычный 2"/>
    <tableColumn id="21" xr3:uid="{40BBCB9C-8908-41FB-B7AE-3FE5EA62DDE2}" name="ИТОГО Прогноз за год, шт. " dataDxfId="205" dataCellStyle="Обычный 2"/>
    <tableColumn id="22" xr3:uid="{93363778-B12D-444A-A3EE-AD48320856EE}" name="ИТОГО Прогноз январь, шт." dataDxfId="204" dataCellStyle="Обычный 2"/>
    <tableColumn id="23" xr3:uid="{908E10D2-A767-4E2C-AF95-059979DCC14F}" name="ИТОГО Прогноз февраль, шт." dataDxfId="203" dataCellStyle="Обычный 2"/>
    <tableColumn id="24" xr3:uid="{46961975-0E16-49DF-9A93-F9935DD2FBD3}" name="ИТОГО Прогноз март, шт." dataDxfId="202" dataCellStyle="Обычный 2"/>
    <tableColumn id="25" xr3:uid="{BA8488E0-733B-405A-A6AD-229D98321F57}" name="ИТОГО Прогноз апрель, шт." dataDxfId="201" dataCellStyle="Обычный 2"/>
    <tableColumn id="26" xr3:uid="{18260B4F-B440-459B-A635-92661BD0DA3A}" name="ИТОГО Прогноз май, шт." dataDxfId="200" dataCellStyle="Обычный 2"/>
    <tableColumn id="27" xr3:uid="{49D181C0-3DCE-4EA3-B4FD-4BC1814A2E37}" name="ИТОГО Прогноз июнь, шт." dataDxfId="199" dataCellStyle="Обычный 2"/>
    <tableColumn id="28" xr3:uid="{2E7D2C3C-48DF-4C94-B570-077067A3F9A6}" name="ИТОГО Прогноз июль, шт." dataDxfId="198" dataCellStyle="Обычный 2"/>
    <tableColumn id="29" xr3:uid="{2847D38F-2B96-4DAD-B1E0-0399B72CA62E}" name="ИТОГО Прогноз август, шт." dataDxfId="197" dataCellStyle="Обычный 2"/>
    <tableColumn id="30" xr3:uid="{27D0291D-228A-4CA3-AB32-8089F9AAAC19}" name="ИТОГО Прогноз сентрябрь, шт." dataDxfId="196" dataCellStyle="Обычный 2"/>
    <tableColumn id="31" xr3:uid="{5A8E85B3-CAE9-4B35-B9EA-737FCC96156C}" name="ИТОГО Прогноз октябрь, шт." dataDxfId="195" dataCellStyle="Обычный 2"/>
    <tableColumn id="32" xr3:uid="{DF850F56-F718-4791-AB77-F6AB637240EE}" name="ИТОГО Прогноз ноябрь, шт." dataDxfId="194" dataCellStyle="Обычный 2"/>
    <tableColumn id="33" xr3:uid="{DEFEFE78-A0FA-4457-8E8E-F1BD5D7517F1}" name="ИТОГО Прогноз декабрь, шт." dataDxfId="193" dataCellStyle="Обычный 2"/>
    <tableColumn id="34" xr3:uid="{03678C77-B1BD-4416-8928-6B0DDFD94F86}" name="ИТОГО GS за год, руб." dataDxfId="192" dataCellStyle="Обычный 2"/>
    <tableColumn id="35" xr3:uid="{10CD29AB-0473-422C-B6EA-B32DE7BF00F4}" name="ИТОГО GS январь, шт." dataDxfId="191" dataCellStyle="Обычный 2"/>
    <tableColumn id="36" xr3:uid="{4E1AECCE-B5C0-4195-AAD9-BB88D02D42F9}" name="ИТОГО GS февраль, шт." dataDxfId="190" dataCellStyle="Обычный 2"/>
    <tableColumn id="37" xr3:uid="{91E0E416-43D5-4F69-9F7B-40F993491451}" name="ИТОГО GS март, шт." dataDxfId="189" dataCellStyle="Обычный 2"/>
    <tableColumn id="38" xr3:uid="{F7EE1E43-7183-4188-9579-174647E424F1}" name="ИТОГО GS апрель, шт." dataDxfId="188" dataCellStyle="Обычный 2"/>
    <tableColumn id="39" xr3:uid="{2417955D-B2F4-4518-B1FB-FEB1F96D8FBB}" name="ИТОГО GS май, шт." dataDxfId="187" dataCellStyle="Обычный 2"/>
    <tableColumn id="40" xr3:uid="{003CFC27-05FE-487B-B1A9-959BF645EFBA}" name="ИТОГО GS июнь, шт." dataDxfId="186" dataCellStyle="Обычный 2"/>
    <tableColumn id="41" xr3:uid="{0C9D1DE7-148F-4C2B-8B0D-F920CBD87E3D}" name="ИТОГО GS июль, шт." dataDxfId="185" dataCellStyle="Обычный 2"/>
    <tableColumn id="42" xr3:uid="{FA318691-3B3D-4BEA-8A7E-85A020F10E2D}" name="ИТОГО GS август, шт." dataDxfId="184" dataCellStyle="Обычный 2"/>
    <tableColumn id="43" xr3:uid="{EFB241B9-9212-42F9-ABD7-E6F792A0E06C}" name="ИТОГО GS сентрябрь, шт." dataDxfId="183" dataCellStyle="Обычный 2"/>
    <tableColumn id="44" xr3:uid="{50F7DDF4-277A-4D3C-B1B5-D855ADC9B928}" name="ИТОГО GS октябрь, шт." dataDxfId="182" dataCellStyle="Обычный 2"/>
    <tableColumn id="45" xr3:uid="{D4F36679-C2E6-4F2D-AEE5-4F223F25DA9F}" name="ИТОГО GS ноябрь, шт." dataDxfId="181" dataCellStyle="Обычный 2"/>
    <tableColumn id="46" xr3:uid="{851A1C42-2721-41C2-BAB3-F7D7B0C97CE7}" name="ИТОГО NS за год, руб." dataDxfId="180" dataCellStyle="Обычный 2"/>
    <tableColumn id="47" xr3:uid="{AF4D59E8-07C4-4AF8-BBFC-7F663C6213E2}" name="ИТОГО NS январь, шт." dataDxfId="179" dataCellStyle="Обычный 2"/>
    <tableColumn id="48" xr3:uid="{508B265F-A776-4BFB-9D4E-B79EFABCE7A9}" name="ИТОГО NS февраль, шт." dataDxfId="178" dataCellStyle="Обычный 2"/>
    <tableColumn id="49" xr3:uid="{C35EFBB7-F755-4F3D-90A9-7D1EEF92DC3F}" name="ИТОГО NS март, шт." dataDxfId="177" dataCellStyle="Обычный 2"/>
    <tableColumn id="50" xr3:uid="{C8CBB70F-D6D7-4BEE-A418-6CD94EB6DFB4}" name="ИТОГО NS апрель, шт." dataDxfId="176" dataCellStyle="Обычный 2"/>
    <tableColumn id="51" xr3:uid="{6EACDA44-BC0A-4568-95BF-A6C470C1C2C7}" name="ИТОГО NS май, шт." dataDxfId="175" dataCellStyle="Обычный 2"/>
    <tableColumn id="52" xr3:uid="{B361BD8D-B32A-42A8-A829-A43753DF9290}" name="ИТОГО NS июнь, шт." dataDxfId="174" dataCellStyle="Обычный 2"/>
    <tableColumn id="53" xr3:uid="{03F94018-F135-4F8F-BD0E-AA07A8BDB5B5}" name="ИТОГО NS июль, шт." dataDxfId="173" dataCellStyle="Обычный 2"/>
    <tableColumn id="54" xr3:uid="{BDDACBCA-E192-4F9E-827D-591A95D4295A}" name="ИТОГО NS август, шт." dataDxfId="172" dataCellStyle="Обычный 2"/>
    <tableColumn id="55" xr3:uid="{C8EDC1D7-9D98-4249-9603-83EEA44806CA}" name="ИТОГО NS сентрябрь, шт." dataDxfId="171" dataCellStyle="Обычный 2"/>
    <tableColumn id="56" xr3:uid="{A619A9F2-29C1-4568-B8B5-7AF0757568B5}" name="ИТОГО NS октябрь, шт." dataDxfId="170" dataCellStyle="Обычный 2"/>
    <tableColumn id="57" xr3:uid="{3C92EE0F-B597-479D-89EB-DEC5859439DB}" name="ИТОГО NS ноябрь, шт." dataDxfId="169" dataCellStyle="Обычный 2"/>
    <tableColumn id="58" xr3:uid="{0A86A7CF-86B8-40E9-AD12-BC8B45425852}" name="ИТОГО LC за год, руб." dataDxfId="168" dataCellStyle="Обычный 2"/>
    <tableColumn id="59" xr3:uid="{1BA37E80-B27D-4777-8183-4619485E395B}" name="ИТОГО LC январь, руб." dataDxfId="167" dataCellStyle="Обычный 2"/>
    <tableColumn id="60" xr3:uid="{D3439D8F-2C1C-4FF2-BFED-E4DBA6EDAE04}" name="ИТОГО LC февраль, руб." dataDxfId="166" dataCellStyle="Обычный 2"/>
    <tableColumn id="61" xr3:uid="{73395AB3-E1E6-4DA4-A5B6-BD6754334103}" name="ИТОГО LC март, руб." dataDxfId="165" dataCellStyle="Обычный 2"/>
    <tableColumn id="62" xr3:uid="{E99989B5-4EB7-4C95-8123-66077D0F148B}" name="ИТОГО LC апрель, руб." dataDxfId="164" dataCellStyle="Обычный 2"/>
    <tableColumn id="63" xr3:uid="{B2E119E3-F212-4906-93FD-983A37DD9B92}" name="ИТОГО LC май, руб." dataDxfId="163" dataCellStyle="Обычный 2"/>
    <tableColumn id="64" xr3:uid="{5EAC5B35-095E-48E8-AF7B-7AEE1B301586}" name="ИТОГО LC июнь, руб." dataDxfId="162" dataCellStyle="Обычный 2"/>
    <tableColumn id="65" xr3:uid="{BF8B343D-9D8D-435A-AC57-DC2B573A58DA}" name="ИТОГО LC июль, руб." dataDxfId="161" dataCellStyle="Обычный 2"/>
    <tableColumn id="66" xr3:uid="{125D3BBB-2721-4209-B7BC-9E9237697B6A}" name="ИТОГО LC август, руб." dataDxfId="160" dataCellStyle="Обычный 2"/>
    <tableColumn id="67" xr3:uid="{AB036659-4542-4FDD-BE5B-E72582166894}" name="ИТОГО LC сентрябрь, руб." dataDxfId="159" dataCellStyle="Обычный 2"/>
    <tableColumn id="68" xr3:uid="{6C7314D7-062A-4B94-A7AF-1DD87D0CB235}" name="ИТОГО LC октябрь, руб." dataDxfId="158" dataCellStyle="Обычный 2"/>
    <tableColumn id="69" xr3:uid="{07C9F95B-A681-4302-AD49-1346B1F54050}" name="ИТОГО LC ноябрь, руб." dataDxfId="157" dataCellStyle="Обычный 2"/>
    <tableColumn id="70" xr3:uid="{5C6A1586-CA9D-42F0-82A5-C8717DA6FC4B}" name="Столбец4" dataDxfId="156" dataCellStyle="Обычный 2"/>
    <tableColumn id="71" xr3:uid="{95B22689-4246-4688-830B-C37BED45A7F1}" name="ИТОГО GP value за год, руб." dataDxfId="155" dataCellStyle="Обычный 2"/>
    <tableColumn id="72" xr3:uid="{121D065F-0534-48C6-8C69-8994A402B4AA}" name="ИТОГО GP value январь, руб." dataDxfId="154" dataCellStyle="Обычный 2"/>
    <tableColumn id="73" xr3:uid="{087CD607-5E13-4F38-A781-64BE987C874D}" name="ИТОГО GP value февраль, руб." dataDxfId="153" dataCellStyle="Обычный 2"/>
    <tableColumn id="74" xr3:uid="{07EDE99C-38A3-4D58-A12A-CC6F6E189668}" name="ИТОГО GP value март, руб." dataDxfId="152" dataCellStyle="Обычный 2"/>
    <tableColumn id="75" xr3:uid="{57D65BA5-50BA-4CF2-B113-92B159EF66AF}" name="ИТОГО GP value апрель, руб." dataDxfId="151" dataCellStyle="Обычный 2"/>
    <tableColumn id="76" xr3:uid="{B4BC1755-0599-45DC-9B96-D7C13262EF74}" name="ИТОГО GP value май, руб." dataDxfId="150" dataCellStyle="Обычный 2"/>
    <tableColumn id="77" xr3:uid="{8938E468-46CA-4877-99C3-6750DC8369EC}" name="ИТОГО GP value июнь, руб." dataDxfId="149" dataCellStyle="Обычный 2"/>
    <tableColumn id="78" xr3:uid="{9904CB30-8FAF-4959-8630-221EE3774474}" name="ИТОГО GP value июль, руб." dataDxfId="148" dataCellStyle="Обычный 2"/>
    <tableColumn id="79" xr3:uid="{8E4337B6-2E24-44AF-9121-2435038457D7}" name="ИТОГО GP value август, руб." dataDxfId="147" dataCellStyle="Обычный 2"/>
    <tableColumn id="80" xr3:uid="{F5FA4690-DC4A-4E72-897A-5DC0586EAA9E}" name="ИТОГО GP value сентрябрь, руб." dataDxfId="146" dataCellStyle="Обычный 2"/>
    <tableColumn id="81" xr3:uid="{7A1CD32C-E00F-46B3-AB1C-6E87C8996EB1}" name="ИТОГО GP value октябрь, руб." dataDxfId="145" dataCellStyle="Обычный 2"/>
    <tableColumn id="82" xr3:uid="{B9B948F7-DD69-4CE8-96E3-E4DFC8CBEE92}" name="ИТОГО GP value ноябрь, руб." dataDxfId="144" dataCellStyle="Обычный 2"/>
    <tableColumn id="83" xr3:uid="{F7ECC1A1-8DBC-4E61-8DE0-874A56C25260}" name="ИТОГО GP % за год" dataDxfId="143" dataCellStyle="Обычный 2"/>
    <tableColumn id="84" xr3:uid="{E6BBFEE1-76EB-4FCB-98C3-EED744024269}" name="ИТОГО GP % январь" dataDxfId="142" dataCellStyle="Обычный 2"/>
    <tableColumn id="85" xr3:uid="{1172D779-B5B8-4EBF-976F-0F852822C22F}" name="ИТОГО GP % февраль" dataDxfId="141" dataCellStyle="Обычный 2"/>
    <tableColumn id="86" xr3:uid="{120BDBE6-FE55-4285-AEA5-888F9C19D3A3}" name="ИТОГО GP % март" dataDxfId="140" dataCellStyle="Обычный 2"/>
    <tableColumn id="87" xr3:uid="{9BCE9A1E-20E9-40E5-99B8-1F7D45A6E05A}" name="ИТОГО GP % апрель" dataDxfId="139" dataCellStyle="Обычный 2"/>
    <tableColumn id="88" xr3:uid="{D50E0A67-2587-450D-9A4B-2C3C7F162FF7}" name="ИТОГО GP % май" dataDxfId="138" dataCellStyle="Обычный 2"/>
    <tableColumn id="89" xr3:uid="{21AEB5EA-1518-4F7F-9474-44E95763FCD0}" name="ИТОГО GP % июнь" dataDxfId="137" dataCellStyle="Обычный 2"/>
    <tableColumn id="90" xr3:uid="{8114B713-DD84-43D1-9C9F-C53812451822}" name="ИТОГО GP % июль" dataDxfId="136" dataCellStyle="Обычный 2"/>
    <tableColumn id="91" xr3:uid="{BA9D428E-9727-4D01-9ECB-F0396F8706F9}" name="ИТОГО GP % август" dataDxfId="135" dataCellStyle="Обычный 2"/>
    <tableColumn id="92" xr3:uid="{37B4D5B4-4B29-4FE0-B1AA-7FECF7849C4C}" name="ИТОГО GP % сентрябрь" dataDxfId="134" dataCellStyle="Обычный 2"/>
    <tableColumn id="93" xr3:uid="{269D5AA7-C0CA-43DF-A58F-6398B2F52C53}" name="ИТОГО GP % октябрь" dataDxfId="133" dataCellStyle="Обычный 2"/>
    <tableColumn id="94" xr3:uid="{80CD0364-9424-403E-AD97-C8CDE2096526}" name="ИТОГО GP % ноябрь" dataDxfId="132" dataCellStyle="Обычный 2"/>
    <tableColumn id="95" xr3:uid="{F2987B63-17E8-4C76-AF79-563FE97654CD}" name="ИТОГО 2 net цена за год" dataDxfId="131" dataCellStyle="Обычный 2"/>
    <tableColumn id="96" xr3:uid="{ED770198-6AB5-4ADC-A3D2-099886B9B23D}" name="ИТОГО 2 net цена январь" dataDxfId="130" dataCellStyle="Обычный 2"/>
    <tableColumn id="97" xr3:uid="{3F0B3900-849B-4873-946B-D87A7523809A}" name="ИТОГО 2 net цена февраль" dataDxfId="129" dataCellStyle="Обычный 2"/>
    <tableColumn id="98" xr3:uid="{2535E1AC-A279-4BA3-A8CD-917C7E268AA7}" name="ИТОГО 2 net цена март" dataDxfId="128" dataCellStyle="Обычный 2"/>
    <tableColumn id="99" xr3:uid="{1C382845-D38E-4D7A-A47E-8EA527DE15F7}" name="ИТОГО 2 net цена апрель" dataDxfId="127" dataCellStyle="Обычный 2"/>
    <tableColumn id="100" xr3:uid="{CB884BC9-4404-4CFC-BBA0-FEEFC009C6C0}" name="ИТОГО 2 net цена май" dataDxfId="126" dataCellStyle="Обычный 2"/>
    <tableColumn id="101" xr3:uid="{66A3A3B7-9052-4CD5-87C1-F6E39E04F9BD}" name="ИТОГО 2 net цена июнь" dataDxfId="125" dataCellStyle="Обычный 2"/>
    <tableColumn id="102" xr3:uid="{DE7C5C58-071A-4638-8D13-233EB51DA03A}" name="ИТОГО 2 net цена июль" dataDxfId="124" dataCellStyle="Обычный 2"/>
    <tableColumn id="103" xr3:uid="{7DE0DE0E-3B70-4C57-BDAE-8B26B4AF2161}" name="ИТОГО 2 net цена август" dataDxfId="123" dataCellStyle="Обычный 2"/>
    <tableColumn id="104" xr3:uid="{CF54A508-942E-4A06-B8DD-1CD27FD837AA}" name="ИТОГО 2 net цена сентрябрь" dataDxfId="122" dataCellStyle="Обычный 2"/>
    <tableColumn id="105" xr3:uid="{5FA2E3B0-BC4D-4654-83AC-CE8C95E2B453}" name="ИТОГО 2 net цена октябрь" dataDxfId="121" dataCellStyle="Обычный 2"/>
    <tableColumn id="106" xr3:uid="{C8A35B51-1847-41BF-A58C-EB69C240B4F6}" name="ИТОГО 2 net цена ноябрь" dataDxfId="120" dataCellStyle="Обычный 2"/>
    <tableColumn id="107" xr3:uid="{5B886BD7-74FD-405C-A199-2753EB4109E9}" name="ИТОГО 3 net цена за год" dataDxfId="119" dataCellStyle="Обычный 2"/>
    <tableColumn id="108" xr3:uid="{2C200703-C8CB-4A5A-90CD-9DAAB8546E46}" name="ИТОГО 3 net цена январь" dataDxfId="118" dataCellStyle="Обычный 2"/>
    <tableColumn id="109" xr3:uid="{959B69D1-0E8C-46C4-80C8-7312756584AD}" name="ИТОГО 3 net цена февраль" dataDxfId="117" dataCellStyle="Обычный 2"/>
    <tableColumn id="110" xr3:uid="{60A20D32-1A9B-4AB9-AD8A-04EAAA14FF74}" name="ИТОГО 3 net цена март" dataDxfId="116" dataCellStyle="Обычный 2"/>
    <tableColumn id="111" xr3:uid="{E8BBEB91-05D3-4A53-8C3B-380736A70953}" name="ИТОГО 3 net цена апрель" dataDxfId="115" dataCellStyle="Обычный 2"/>
    <tableColumn id="112" xr3:uid="{BD7B886A-291D-4531-8539-9C8ACC901F00}" name="ИТОГО 3 net цена май" dataDxfId="114" dataCellStyle="Обычный 2"/>
    <tableColumn id="113" xr3:uid="{FBF9B28B-9CE9-4E6E-8FEA-8D17F488CBC0}" name="ИТОГО 3 net цена июнь" dataDxfId="113" dataCellStyle="Обычный 2"/>
    <tableColumn id="114" xr3:uid="{9DA657E0-E133-4903-AF39-A56756A1CDF3}" name="ИТОГО 3 net цена июль" dataDxfId="112" dataCellStyle="Обычный 2"/>
    <tableColumn id="115" xr3:uid="{11666157-554C-4D5B-BDB4-A9DF979CCAF3}" name="ИТОГО 3 net цена август" dataDxfId="111" dataCellStyle="Обычный 2"/>
    <tableColumn id="116" xr3:uid="{E614B108-5B0D-4BEA-BB2A-2F63F1761885}" name="ИТОГО 3 net цена сентрябрь" dataDxfId="110" dataCellStyle="Обычный 2"/>
    <tableColumn id="117" xr3:uid="{4D6F8372-E0B1-4F55-9C50-EFA57FA4E71F}" name="ИТОГО 3 net цена октябрь" dataDxfId="109" dataCellStyle="Обычный 2"/>
    <tableColumn id="118" xr3:uid="{AFBB524C-133A-4695-A792-095B7A5BDBEC}" name="ИТОГО 3 net цена ноябрь" dataDxfId="108" dataCellStyle="Обычный 2"/>
    <tableColumn id="119" xr3:uid="{02B78577-78AE-47EB-BD9C-72282496995F}" name="Price list цена, руб." dataDxfId="107" dataCellStyle="Обычный 2"/>
    <tableColumn id="120" xr3:uid="{5A3F53BC-119D-40B4-9980-0D0E51F968F3}" name="Скидка от РРЦ, %" dataDxfId="106" dataCellStyle="Обычный 2"/>
    <tableColumn id="121" xr3:uid="{AEBFF562-F492-4939-AD61-FC704C42BB1A}" name="Прогноз за год, шт. " dataDxfId="105" dataCellStyle="Обычный 2"/>
    <tableColumn id="122" xr3:uid="{0535E32F-BA3B-45A3-B644-EA3E5C01A430}" name="Прогноз январь, шт." dataDxfId="104" dataCellStyle="Обычный 2"/>
    <tableColumn id="123" xr3:uid="{2839AD92-79C7-4E71-86D9-300214B21A9F}" name="Прогноз февраль, шт." dataDxfId="103" dataCellStyle="Обычный 2"/>
    <tableColumn id="124" xr3:uid="{D42301EC-9C8F-4BAE-9D6D-E85D88213C3D}" name="Прогноз март, шт." dataDxfId="102" dataCellStyle="Обычный 2"/>
    <tableColumn id="125" xr3:uid="{70D21021-AF36-448A-9C16-802308CF3A04}" name="Прогноз апрель, шт." dataDxfId="101" dataCellStyle="Обычный 2"/>
    <tableColumn id="126" xr3:uid="{287963E4-1476-42B8-9811-E72429AC5302}" name="Прогноз май, шт." dataDxfId="100" dataCellStyle="Обычный 2"/>
    <tableColumn id="127" xr3:uid="{E05A0901-8206-4D05-A43B-AC909AB7A0DA}" name="Прогноз июнь, шт." dataDxfId="99" dataCellStyle="Обычный 2"/>
    <tableColumn id="128" xr3:uid="{B898803E-8C15-43CB-81B5-B5D48EAEA11C}" name="Прогноз июль, шт." dataDxfId="98" dataCellStyle="Обычный 2"/>
    <tableColumn id="129" xr3:uid="{91354A95-A1CB-444F-97FC-F4DD6D08B671}" name="Прогноз август, шт." dataDxfId="97" dataCellStyle="Обычный 2"/>
    <tableColumn id="130" xr3:uid="{2F35C430-D3FE-496C-A9F9-8092F794A4A3}" name="Прогноз сентрябрь, шт." dataDxfId="96" dataCellStyle="Обычный 2"/>
    <tableColumn id="131" xr3:uid="{5642E94C-9632-4B78-B204-7E2258E25461}" name="Прогноз октябрь, шт." dataDxfId="95" dataCellStyle="Обычный 2"/>
    <tableColumn id="132" xr3:uid="{0FD7506A-FCE6-457F-B536-83CFBA0D544B}" name="Прогноз ноябрь, шт." dataDxfId="94" dataCellStyle="Обычный 2"/>
    <tableColumn id="133" xr3:uid="{B9005289-3DFC-4152-9FAE-1A46A1FD427B}" name="Прогноз декабрь, шт." dataDxfId="93" dataCellStyle="Обычный 2"/>
    <tableColumn id="134" xr3:uid="{34CCD620-1AE3-43AA-B1CA-928C73F0C342}" name="Price list цена, руб.5" dataDxfId="92" dataCellStyle="Обычный 2"/>
    <tableColumn id="135" xr3:uid="{18DE723F-7EAE-46E1-BD94-23DDFE848850}" name="Отличие" dataDxfId="91" dataCellStyle="Обычный 2"/>
    <tableColumn id="136" xr3:uid="{07ED3DCB-598E-4755-9D06-B55F6E64C6A8}" name="Скидка от РРЦ, %6" dataDxfId="90" dataCellStyle="Обычный 2"/>
    <tableColumn id="137" xr3:uid="{7745B9F0-FDA3-438D-9CB3-26704906639D}" name="Прогноз за год, шт. 7" dataDxfId="89" dataCellStyle="Обычный 2"/>
    <tableColumn id="138" xr3:uid="{1D7C1074-7336-4F23-ABD2-B2A96D467814}" name="Прогноз январь, шт.8" dataDxfId="88" dataCellStyle="Обычный 2"/>
    <tableColumn id="139" xr3:uid="{8F918225-74A1-40BA-9D1A-68D1E9052381}" name="Прогноз февраль, шт.9" dataDxfId="87" dataCellStyle="Обычный 2"/>
    <tableColumn id="140" xr3:uid="{FB441A4E-5B99-442C-9DF0-5BF7A912AA26}" name="Прогноз март, шт.10" dataDxfId="86" dataCellStyle="Обычный 2"/>
    <tableColumn id="141" xr3:uid="{1D70896F-B896-424A-908E-EB7EE2ED4E4C}" name="Прогноз апрель, шт.11" dataDxfId="85" dataCellStyle="Обычный 2"/>
    <tableColumn id="142" xr3:uid="{1F5F06C9-4AD9-4A32-8F58-B3CC863077A3}" name="Прогноз май, шт.12" dataDxfId="84" dataCellStyle="Обычный 2"/>
    <tableColumn id="143" xr3:uid="{D57F2ED5-3913-4AF3-BE27-B6219DBA160C}" name="Прогноз июнь, шт.13" dataDxfId="83" dataCellStyle="Обычный 2"/>
    <tableColumn id="144" xr3:uid="{C8D040E0-B2C3-41D6-80D8-01EA4F15331B}" name="Прогноз июль, шт.14" dataDxfId="82" dataCellStyle="Обычный 2"/>
    <tableColumn id="145" xr3:uid="{E09D2FAF-B4FE-466A-8EE0-9177DE92B8B0}" name="Прогноз август, шт.15" dataDxfId="81" dataCellStyle="Обычный 2"/>
    <tableColumn id="146" xr3:uid="{B8CAD14D-F7C2-46BE-9BD0-D48769055988}" name="Прогноз сентрябрь, шт.16" dataDxfId="80" dataCellStyle="Обычный 2"/>
    <tableColumn id="147" xr3:uid="{3A858A45-F298-49DA-93A0-FA8D96C940A3}" name="Прогноз октябрь, шт.17" dataDxfId="79" dataCellStyle="Обычный 2"/>
    <tableColumn id="148" xr3:uid="{A9A047C5-3BA3-4C24-BAA6-CF870EB4EB1D}" name="Прогноз ноябрь, шт.18" dataDxfId="78" dataCellStyle="Обычный 2"/>
    <tableColumn id="149" xr3:uid="{C0C91EAC-DC10-4FB4-AF3C-C5CB3C52F470}" name="Прогноз декабрь, шт.19" dataDxfId="77" dataCellStyle="Обычный 2"/>
    <tableColumn id="150" xr3:uid="{95720B67-BEFB-46F9-9D7A-EACBE0C27803}" name="GS за год, руб." dataDxfId="76" dataCellStyle="Обычный 2"/>
    <tableColumn id="151" xr3:uid="{604D8077-0334-4CD9-8A97-E84A5A9C1252}" name="GS январь, руб." dataDxfId="75" dataCellStyle="Обычный 2"/>
    <tableColumn id="152" xr3:uid="{B154345C-3FA0-4C0F-9F21-B63FAA764159}" name="GS февраль, руб." dataDxfId="74" dataCellStyle="Обычный 2"/>
    <tableColumn id="153" xr3:uid="{047FCAB3-68C1-4141-BEB6-1F17D576B519}" name="GS март, руб." dataDxfId="73" dataCellStyle="Обычный 2"/>
    <tableColumn id="154" xr3:uid="{144321B0-B9C9-4251-BC6E-05C88CBA678E}" name="GS апрель, руб." dataDxfId="72" dataCellStyle="Обычный 2"/>
    <tableColumn id="155" xr3:uid="{282D38BD-530D-413E-B5BC-88C70FA35407}" name="GS май, руб." dataDxfId="71" dataCellStyle="Обычный 2"/>
    <tableColumn id="156" xr3:uid="{39A60F2C-3CE1-4BD0-8204-F53CE0263C23}" name="GS июнь, руб." dataDxfId="70" dataCellStyle="Обычный 2"/>
    <tableColumn id="157" xr3:uid="{A6D6278E-A5A9-44B9-865B-87A7FDE62A61}" name="GS июль, руб." dataDxfId="69" dataCellStyle="Обычный 2"/>
    <tableColumn id="158" xr3:uid="{7539F5C4-7C22-4F45-BCFF-6302D7BD2189}" name="GS август, руб." dataDxfId="68" dataCellStyle="Обычный 2"/>
    <tableColumn id="159" xr3:uid="{8D652B08-AEFA-48ED-A4F8-C6C181C8746E}" name="GS сентрябрь, руб." dataDxfId="67" dataCellStyle="Обычный 2"/>
    <tableColumn id="160" xr3:uid="{5F7F7B9E-B71C-4899-A7D9-61B47EB77DCC}" name="GS октябрь, руб." dataDxfId="66" dataCellStyle="Обычный 2"/>
    <tableColumn id="161" xr3:uid="{206E31E0-1F5E-42FE-A4FE-47A5CBD7A439}" name="GS ноябрь, руб." dataDxfId="65" dataCellStyle="Обычный 2"/>
    <tableColumn id="162" xr3:uid="{AFB09ECD-C050-4EA7-BD09-6BB5C6A3140F}" name="NS за год, руб." dataDxfId="64" dataCellStyle="Обычный 2"/>
    <tableColumn id="163" xr3:uid="{D44EB185-EA89-4925-B2B1-42D2BA9E3145}" name="NS январь, руб." dataDxfId="63" dataCellStyle="Обычный 2"/>
    <tableColumn id="164" xr3:uid="{D54B5704-8F04-4DF2-8F35-91A35DFB62AF}" name="NS февраль, руб." dataDxfId="62" dataCellStyle="Обычный 2"/>
    <tableColumn id="165" xr3:uid="{1347DE14-4422-4B27-862F-D4B866C3E2A9}" name="NS март, руб." dataDxfId="61" dataCellStyle="Обычный 2"/>
    <tableColumn id="166" xr3:uid="{A52CB30A-6520-493C-9C46-DFCACC9E4CFF}" name="NS апрель, руб." dataDxfId="60" dataCellStyle="Обычный 2"/>
    <tableColumn id="167" xr3:uid="{4FACDA9F-2874-40F2-8773-8D83A50FB1F6}" name="NS май, руб." dataDxfId="59" dataCellStyle="Обычный 2"/>
    <tableColumn id="168" xr3:uid="{4B4794F3-CE7B-49BF-B94B-C7017A225C3D}" name="NS июнь, руб." dataDxfId="58" dataCellStyle="Обычный 2"/>
    <tableColumn id="169" xr3:uid="{DC7EED99-8803-4798-B203-076E3BD5E593}" name="NS июль, руб." dataDxfId="57" dataCellStyle="Обычный 2"/>
    <tableColumn id="170" xr3:uid="{C1514E80-3555-441E-8C30-9AF8AFAE9A8A}" name="NS август, руб." dataDxfId="56" dataCellStyle="Обычный 2"/>
    <tableColumn id="171" xr3:uid="{7544C462-E994-4D9D-BA94-942FF60B7050}" name="NS сентрябрь, руб." dataDxfId="55" dataCellStyle="Обычный 2"/>
    <tableColumn id="172" xr3:uid="{3B004F10-4B0A-42A5-B230-BF575CDE7DDC}" name="NS октябрь, руб." dataDxfId="54" dataCellStyle="Обычный 2"/>
    <tableColumn id="173" xr3:uid="{1F873C73-8E9D-44B4-98C1-6F3B641C65A8}" name="NS ноябрь, руб." dataDxfId="53" dataCellStyle="Обычный 2"/>
    <tableColumn id="174" xr3:uid="{7975EF04-71E5-4B54-99CD-904D7CBBDB3C}" name="NS декабрь, шт." dataDxfId="52" dataCellStyle="Обычный 2"/>
    <tableColumn id="175" xr3:uid="{F1CF01AA-9991-48AF-A677-74B1846236D2}" name="Промо цена, руб." dataDxfId="51" dataCellStyle="Обычный 2"/>
    <tableColumn id="176" xr3:uid="{F393FC86-2E44-430C-B72A-D1895626302A}" name="скидка от Price list цены, %" dataDxfId="50" dataCellStyle="Обычный 2"/>
    <tableColumn id="177" xr3:uid="{D39B0F7F-FD54-4EAC-A3A5-894EB33CADE4}" name="Промо прогноз за год, шт. " dataDxfId="49" dataCellStyle="Обычный 2"/>
    <tableColumn id="178" xr3:uid="{C5AFDD53-B266-4796-AB47-F0428796BAAC}" name="Промо прогноз январь, шт." dataDxfId="48" dataCellStyle="Обычный 2"/>
    <tableColumn id="179" xr3:uid="{0F88930D-A57D-47EF-AE42-9DFAF94D17BE}" name="Промо прогноз февраль, шт." dataDxfId="47" dataCellStyle="Обычный 2"/>
    <tableColumn id="180" xr3:uid="{C945DC34-6A08-4C5D-A199-143506BF490B}" name="Промо прогноз март, шт." dataDxfId="46" dataCellStyle="Обычный 2"/>
    <tableColumn id="181" xr3:uid="{6661CDAD-6FDA-493A-867A-C46B8CA9B709}" name="Промо прогноз апрель, шт." dataDxfId="45" dataCellStyle="Обычный 2"/>
    <tableColumn id="182" xr3:uid="{F8340B39-63B5-4596-A24E-DA8929E9C81D}" name="Промо прогноз май, шт." dataDxfId="44" dataCellStyle="Обычный 2"/>
    <tableColumn id="183" xr3:uid="{66F0D4F8-0ABB-42EE-8CB1-FEF1BE84D9F0}" name="Промо прогноз июнь, шт." dataDxfId="43" dataCellStyle="Обычный 2"/>
    <tableColumn id="184" xr3:uid="{6E84C991-4323-493F-B846-129CAE7AE021}" name="Промо прогноз июль, шт." dataDxfId="42" dataCellStyle="Обычный 2"/>
    <tableColumn id="185" xr3:uid="{E503C206-2D69-4EA7-B94D-4F8146B5B91F}" name="Промо прогноз август, шт." dataDxfId="41" dataCellStyle="Обычный 2"/>
    <tableColumn id="186" xr3:uid="{7CBFEC54-C246-420A-8A2E-8F940D85414B}" name="Промо прогноз сентрябрь, шт." dataDxfId="40" dataCellStyle="Обычный 2"/>
    <tableColumn id="187" xr3:uid="{DA64A246-B583-47DF-87C4-DD4C3D934623}" name="Промо прогноз октябрь, шт." dataDxfId="39" dataCellStyle="Обычный 2"/>
    <tableColumn id="188" xr3:uid="{EFA6D77C-0A52-48C3-9325-6A0345C55136}" name="Промо прогноз ноябрь, шт." dataDxfId="38" dataCellStyle="Обычный 2"/>
    <tableColumn id="189" xr3:uid="{9ECDA3F6-5006-4D02-921F-BBF7A4430342}" name="Промо прогноз декабрь, шт." dataDxfId="37" dataCellStyle="Обычный 2"/>
    <tableColumn id="190" xr3:uid="{2E9B801B-4FA2-4A70-B686-F55613792C7E}" name="Промо GS за год, руб." dataDxfId="36" dataCellStyle="Обычный 2"/>
    <tableColumn id="191" xr3:uid="{63A2EA70-C098-415C-9777-D3E883D08DD2}" name="Промо GS январь, руб." dataDxfId="35" dataCellStyle="Обычный 2"/>
    <tableColumn id="192" xr3:uid="{27E1950D-DEDD-42CB-8B11-530BFB23DA7B}" name="Промо GS февраль, руб." dataDxfId="34" dataCellStyle="Обычный 2">
      <calculatedColumnFormula>(200)*0.1</calculatedColumnFormula>
    </tableColumn>
    <tableColumn id="193" xr3:uid="{157C481E-E786-42F1-A5E3-C518C3878114}" name="Промо GS март, руб." dataDxfId="33" dataCellStyle="Обычный 2"/>
    <tableColumn id="194" xr3:uid="{2D7AB503-6E7C-47A0-A13C-95E44A53E45F}" name="Промо GS апрель, руб." dataDxfId="32" dataCellStyle="Обычный 2"/>
    <tableColumn id="195" xr3:uid="{5EEBE0D8-485D-44E6-AB1A-21BC6D54C67C}" name="Промо GS май, руб." dataDxfId="31" dataCellStyle="Обычный 2"/>
    <tableColumn id="196" xr3:uid="{ECA30F18-8263-4C20-9898-F58F3B4C0C61}" name="Промо GS июнь, руб." dataDxfId="30" dataCellStyle="Обычный 2"/>
    <tableColumn id="197" xr3:uid="{C0DA0FC5-FBEB-45F6-A4CD-BCDA7E3200B0}" name="Промо GS июль, руб." dataDxfId="29" dataCellStyle="Обычный 2"/>
    <tableColumn id="198" xr3:uid="{B3915587-754B-4135-B1E8-8145147CE2C7}" name="Промо GS август, руб." dataDxfId="28" dataCellStyle="Обычный 2"/>
    <tableColumn id="199" xr3:uid="{D17DE2C7-DC0C-4950-A166-9025469D6D65}" name="Промо GS сентрябрь, руб." dataDxfId="27" dataCellStyle="Обычный 2"/>
    <tableColumn id="200" xr3:uid="{2B2AE1C2-7433-48B7-BA08-11D2F0620A1D}" name="Промо GS октябрь, руб." dataDxfId="26" dataCellStyle="Обычный 2"/>
    <tableColumn id="201" xr3:uid="{9AC442F2-2998-4CAB-AAE7-2B1A21693F5A}" name="Промо GS ноябрь, руб." dataDxfId="25" dataCellStyle="Обычный 2"/>
    <tableColumn id="202" xr3:uid="{DAFF80EF-3813-4B72-B3F7-2CAA028854D6}" name="Промо NS за год, руб." dataDxfId="24" dataCellStyle="Обычный 2"/>
    <tableColumn id="203" xr3:uid="{37346D21-6958-4C12-A599-0D8196471B5E}" name="Промо NS январь, руб." dataDxfId="23" dataCellStyle="Обычный 2"/>
    <tableColumn id="204" xr3:uid="{35E3D396-28F4-413D-B2B2-0E2BB0585244}" name="Промо NS февраль, руб." dataDxfId="22" dataCellStyle="Обычный 2"/>
    <tableColumn id="205" xr3:uid="{4F318F4D-E885-4D9C-9D9F-CF0A3C2C6BA2}" name="Промо NS март, руб." dataDxfId="21" dataCellStyle="Обычный 2"/>
    <tableColumn id="206" xr3:uid="{99B1517D-168F-4186-89B6-63BF7A239C96}" name="Промо NS апрель, руб." dataDxfId="20" dataCellStyle="Обычный 2"/>
    <tableColumn id="207" xr3:uid="{DBBF432E-D647-43CC-A714-38C9901F1894}" name="Промо NS май, руб." dataDxfId="19" dataCellStyle="Обычный 2"/>
    <tableColumn id="208" xr3:uid="{93A08434-326F-4361-BE56-4A70696F5830}" name="Промо NS июнь, руб." dataDxfId="18" dataCellStyle="Обычный 2"/>
    <tableColumn id="209" xr3:uid="{593FE06D-D4C0-47A8-92DD-754488C80C51}" name="Промо NS июль, руб." dataDxfId="17" dataCellStyle="Обычный 2"/>
    <tableColumn id="210" xr3:uid="{D178C12F-4DB2-4EAA-8EEE-7D7C4BB872E4}" name="Промо NS август, руб." dataDxfId="16" dataCellStyle="Обычный 2"/>
    <tableColumn id="211" xr3:uid="{B41DFE96-B74A-4542-BD55-0B04CFAE9EF2}" name="Промо NS сентрябрь, руб." dataDxfId="15" dataCellStyle="Обычный 2"/>
    <tableColumn id="212" xr3:uid="{3163229D-ADBC-40C9-AA76-04B56B188315}" name="Промо NS октябрь, руб." dataDxfId="14" dataCellStyle="Обычный 2"/>
    <tableColumn id="213" xr3:uid="{F14CE16E-EA38-415A-819F-EB069FF96078}" name="Промо NS ноябрь, руб." dataDxfId="13" dataCellStyle="Обычный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575C23A-0703-463C-92B5-B2ECE97DAE48}" name="Exclusives" displayName="Exclusives" ref="A1:A3" totalsRowShown="0">
  <autoFilter ref="A1:A3" xr:uid="{A6B4CA69-3587-47D1-A6CA-9DEFC3BA7092}"/>
  <tableColumns count="1">
    <tableColumn id="1" xr3:uid="{3AC2B92B-2109-4726-83A4-381C54D47091}" name="Nam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70D1321-7685-414C-80CA-45C73E1EED7F}" name="ChannelTypes" displayName="ChannelTypes" ref="A1:B4" totalsRowShown="0">
  <autoFilter ref="A1:B4" xr:uid="{6B89032F-16D0-40A1-8E27-FA9C3023321C}"/>
  <tableColumns count="2">
    <tableColumn id="1" xr3:uid="{6D26CCA9-E43F-4DB5-BBDE-AE9B88E25B27}" name="№"/>
    <tableColumn id="2" xr3:uid="{D22B5D0B-6C8C-4034-A27A-17BC4356CBB6}" name="Channel typ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9719D2-C3A2-43BA-9F01-52A328D008EB}" name="CustomerStatuses" displayName="CustomerStatuses" ref="A1:B19" totalsRowShown="0">
  <autoFilter ref="A1:B19" xr:uid="{7F9375A0-1AC9-43FA-A2A3-BE5D42CBEB81}"/>
  <tableColumns count="2">
    <tableColumn id="1" xr3:uid="{AF224552-D2E7-4B28-B797-9972F6836C8C}" name="№"/>
    <tableColumn id="2" xr3:uid="{FCDDBAAC-71DF-4521-BDA6-9E78AA0218EE}" name="Customer status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Продуктовые_календари" displayName="Продуктовые_календари" ref="A1:C2" totalsRowShown="0" dataDxfId="259">
  <autoFilter ref="A1:C2" xr:uid="{00000000-0009-0000-0100-000005000000}"/>
  <tableColumns count="3">
    <tableColumn id="1" xr3:uid="{00000000-0010-0000-0400-000001000000}" name="№" dataDxfId="258"/>
    <tableColumn id="2" xr3:uid="{00000000-0010-0000-0400-000002000000}" name="Название" dataDxfId="257"/>
    <tableColumn id="3" xr3:uid="{00000000-0010-0000-0400-000003000000}" name="Путь к файлу" dataDxfId="25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Суперкатегории" displayName="Суперкатегории" ref="A1:C2" totalsRowShown="0">
  <autoFilter ref="A1:C2" xr:uid="{00000000-0009-0000-0100-000001000000}"/>
  <tableColumns count="3">
    <tableColumn id="1" xr3:uid="{00000000-0010-0000-0000-000001000000}" name="№" dataDxfId="255" dataCellStyle="Финансовый"/>
    <tableColumn id="2" xr3:uid="{00000000-0010-0000-0000-000002000000}" name="Суперкатегория (ENG)" dataDxfId="254"/>
    <tableColumn id="3" xr3:uid="{00000000-0010-0000-0000-000003000000}" name="Суперкатегория (RUS)" dataDxfId="253"/>
  </tableColumns>
  <tableStyleInfo name="TableStyleLight10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Продукт_Группы" displayName="Продукт_Группы" ref="A1:D33" totalsRowShown="0" headerRowDxfId="252" dataDxfId="251">
  <autoFilter ref="A1:D33" xr:uid="{00000000-0009-0000-0100-000002000000}"/>
  <tableColumns count="4">
    <tableColumn id="1" xr3:uid="{00000000-0010-0000-0100-000001000000}" name="№" dataDxfId="250"/>
    <tableColumn id="2" xr3:uid="{00000000-0010-0000-0100-000002000000}" name="Продукт группа" dataDxfId="249"/>
    <tableColumn id="3" xr3:uid="{00000000-0010-0000-0100-000003000000}" name="Название продукт группы (ENG)" dataDxfId="248"/>
    <tableColumn id="4" xr3:uid="{00000000-0010-0000-0100-000004000000}" name="Название продукт группы (RUS)" dataDxfId="247"/>
  </tableColumns>
  <tableStyleInfo name="TableStyleLight10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Статусы_товаров" displayName="Статусы_товаров" ref="A1:B5" totalsRowShown="0">
  <autoFilter ref="A1:B5" xr:uid="{00000000-0009-0000-0100-000003000000}"/>
  <tableColumns count="2">
    <tableColumn id="1" xr3:uid="{00000000-0010-0000-0200-000001000000}" name="№" dataDxfId="246"/>
    <tableColumn id="2" xr3:uid="{00000000-0010-0000-0200-000002000000}" name="Статус" dataDxfId="245"/>
  </tableColumns>
  <tableStyleInfo name="TableStyleLight10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STK" displayName="STK" ref="A1:E2" totalsRowShown="0" headerRowDxfId="244" dataDxfId="243">
  <autoFilter ref="A1:E2" xr:uid="{00000000-0009-0000-0100-000008000000}"/>
  <tableColumns count="5">
    <tableColumn id="5" xr3:uid="{D948CA53-CDCE-46C5-BE95-D1E2925C758E}" name="№" dataDxfId="242"/>
    <tableColumn id="1" xr3:uid="{00000000-0010-0000-0500-000001000000}" name="Артикул" dataDxfId="241"/>
    <tableColumn id="2" xr3:uid="{00000000-0010-0000-0500-000002000000}" name="STK 2.5, Eur" dataDxfId="240"/>
    <tableColumn id="3" xr3:uid="{00000000-0010-0000-0500-000003000000}" name="STK 2.5, руб." dataDxfId="239"/>
    <tableColumn id="4" xr3:uid="{00000000-0010-0000-0500-000004000000}" name="Дата принятия" dataDxfId="238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Бюджетные_курсы" displayName="Бюджетные_курсы" ref="A1:C3" totalsRowShown="0" headerRowBorderDxfId="237" tableBorderDxfId="236">
  <autoFilter ref="A1:C3" xr:uid="{00000000-0009-0000-0100-00000B000000}"/>
  <tableColumns count="3">
    <tableColumn id="1" xr3:uid="{00000000-0010-0000-0800-000001000000}" name="№" dataDxfId="235"/>
    <tableColumn id="2" xr3:uid="{00000000-0010-0000-0800-000002000000}" name="Дата принятия" dataDxfId="234"/>
    <tableColumn id="3" xr3:uid="{00000000-0010-0000-0800-000003000000}" name="Процент от РРЦ, без НДС" dataDxfId="233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Эксклюзивность" displayName="Эксклюзивность" ref="A1:B8" totalsRowShown="0">
  <autoFilter ref="A1:B8" xr:uid="{00000000-0009-0000-0100-00000C000000}"/>
  <tableColumns count="2">
    <tableColumn id="1" xr3:uid="{00000000-0010-0000-0900-000001000000}" name="№" dataDxfId="232"/>
    <tableColumn id="2" xr3:uid="{00000000-0010-0000-0900-000002000000}" name="Эксклюзивность" dataDxfId="231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GardenChannel" displayName="GardenChannel" ref="A1:C23" totalsRowShown="0" dataDxfId="230">
  <autoFilter ref="A1:C23" xr:uid="{00000000-0009-0000-0100-00000E000000}"/>
  <tableColumns count="3">
    <tableColumn id="1" xr3:uid="{00000000-0010-0000-0B00-000001000000}" name="Код" dataDxfId="229"/>
    <tableColumn id="2" xr3:uid="{00000000-0010-0000-0B00-000002000000}" name="GardenChannel" dataDxfId="228"/>
    <tableColumn id="3" xr3:uid="{00000000-0010-0000-0B00-000003000000}" name="Sales manager" dataDxfId="22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7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">
    <tabColor theme="4" tint="-0.249977111117893"/>
    <outlinePr summaryBelow="0" summaryRight="0"/>
  </sheetPr>
  <dimension ref="A1:AX10"/>
  <sheetViews>
    <sheetView showGridLines="0" tabSelected="1" zoomScaleNormal="100" workbookViewId="0">
      <pane ySplit="2" topLeftCell="A3" activePane="bottomLeft" state="frozen"/>
      <selection pane="bottomLeft" activeCell="A10" sqref="A10"/>
    </sheetView>
  </sheetViews>
  <sheetFormatPr defaultColWidth="24.7109375" defaultRowHeight="12" outlineLevelCol="1" x14ac:dyDescent="0.25"/>
  <cols>
    <col min="1" max="1" width="6.7109375" style="36" customWidth="1"/>
    <col min="2" max="2" width="13.28515625" style="37" customWidth="1" outlineLevel="1"/>
    <col min="3" max="3" width="13.85546875" style="36" customWidth="1" outlineLevel="1"/>
    <col min="4" max="4" width="13.7109375" style="36" customWidth="1" outlineLevel="1"/>
    <col min="5" max="5" width="8.7109375" style="36" bestFit="1" customWidth="1"/>
    <col min="6" max="6" width="17.42578125" style="36" customWidth="1"/>
    <col min="7" max="7" width="17.7109375" style="36" hidden="1" customWidth="1"/>
    <col min="8" max="8" width="7.85546875" style="38" bestFit="1" customWidth="1"/>
    <col min="9" max="9" width="16.85546875" style="37" customWidth="1" outlineLevel="1"/>
    <col min="10" max="10" width="9.28515625" style="37" customWidth="1" outlineLevel="1"/>
    <col min="11" max="11" width="10.5703125" style="38" bestFit="1" customWidth="1"/>
    <col min="12" max="12" width="15.7109375" style="37" bestFit="1" customWidth="1" collapsed="1"/>
    <col min="13" max="13" width="14.5703125" style="37" hidden="1" customWidth="1" outlineLevel="1"/>
    <col min="14" max="14" width="14.28515625" style="37" hidden="1" customWidth="1" outlineLevel="1"/>
    <col min="15" max="15" width="37.7109375" style="39" customWidth="1"/>
    <col min="16" max="16" width="12.7109375" style="36" customWidth="1" collapsed="1"/>
    <col min="17" max="17" width="8.85546875" style="36" hidden="1" customWidth="1" outlineLevel="1"/>
    <col min="18" max="20" width="8.85546875" style="51" hidden="1" customWidth="1" outlineLevel="1"/>
    <col min="21" max="21" width="8.85546875" style="36" hidden="1" customWidth="1" outlineLevel="1"/>
    <col min="22" max="22" width="14.28515625" style="36" hidden="1" customWidth="1" outlineLevel="1"/>
    <col min="23" max="25" width="8.85546875" style="36" hidden="1" customWidth="1" outlineLevel="1"/>
    <col min="26" max="26" width="9.85546875" style="36" hidden="1" customWidth="1" outlineLevel="1"/>
    <col min="27" max="27" width="8.85546875" style="36" hidden="1" customWidth="1" outlineLevel="1"/>
    <col min="28" max="28" width="9.28515625" style="36" hidden="1" customWidth="1" outlineLevel="1"/>
    <col min="29" max="37" width="8.85546875" style="36" hidden="1" customWidth="1" outlineLevel="1"/>
    <col min="38" max="38" width="34" style="44" bestFit="1" customWidth="1"/>
    <col min="39" max="39" width="18.28515625" style="37" customWidth="1"/>
    <col min="40" max="40" width="10" style="36" customWidth="1"/>
    <col min="41" max="43" width="9" style="36" customWidth="1"/>
    <col min="44" max="44" width="10.85546875" style="36" customWidth="1"/>
    <col min="45" max="45" width="13.7109375" style="36" customWidth="1"/>
    <col min="46" max="46" width="10.5703125" style="36" customWidth="1"/>
    <col min="47" max="47" width="9.85546875" style="36" customWidth="1"/>
    <col min="48" max="48" width="7.5703125" style="36" customWidth="1"/>
    <col min="49" max="49" width="7.42578125" style="36" customWidth="1"/>
    <col min="50" max="50" width="11.5703125" style="36" customWidth="1"/>
    <col min="51" max="16384" width="24.7109375" style="36"/>
  </cols>
  <sheetData>
    <row r="1" spans="1:50" x14ac:dyDescent="0.25">
      <c r="AO1" s="53" t="s">
        <v>257</v>
      </c>
      <c r="AP1" s="56">
        <v>43863</v>
      </c>
      <c r="AQ1" s="53"/>
      <c r="AS1" s="36" t="s">
        <v>256</v>
      </c>
      <c r="AT1" s="47">
        <f>VLOOKUP(AP1,Бюджетные_курсы[[Дата принятия]:[Процент от РРЦ, без НДС]],2,TRUE)</f>
        <v>60</v>
      </c>
    </row>
    <row r="2" spans="1:50" s="33" customFormat="1" ht="36" x14ac:dyDescent="0.25">
      <c r="A2" s="33" t="s">
        <v>0</v>
      </c>
      <c r="B2" s="34" t="s">
        <v>13</v>
      </c>
      <c r="C2" s="33" t="s">
        <v>1</v>
      </c>
      <c r="D2" s="33" t="s">
        <v>2</v>
      </c>
      <c r="E2" s="33" t="s">
        <v>4</v>
      </c>
      <c r="F2" s="33" t="s">
        <v>5</v>
      </c>
      <c r="G2" s="33" t="s">
        <v>6</v>
      </c>
      <c r="H2" s="35" t="s">
        <v>14</v>
      </c>
      <c r="I2" s="34" t="s">
        <v>15</v>
      </c>
      <c r="J2" s="34" t="s">
        <v>16</v>
      </c>
      <c r="K2" s="35" t="s">
        <v>17</v>
      </c>
      <c r="L2" s="34" t="s">
        <v>18</v>
      </c>
      <c r="M2" s="34" t="s">
        <v>19</v>
      </c>
      <c r="N2" s="34" t="s">
        <v>20</v>
      </c>
      <c r="O2" s="40" t="s">
        <v>21</v>
      </c>
      <c r="P2" s="41" t="s">
        <v>22</v>
      </c>
      <c r="Q2" s="45" t="s">
        <v>181</v>
      </c>
      <c r="R2" s="52" t="s">
        <v>182</v>
      </c>
      <c r="S2" s="52" t="s">
        <v>183</v>
      </c>
      <c r="T2" s="52" t="s">
        <v>200</v>
      </c>
      <c r="U2" s="45" t="s">
        <v>199</v>
      </c>
      <c r="V2" s="45" t="s">
        <v>184</v>
      </c>
      <c r="W2" s="45" t="s">
        <v>203</v>
      </c>
      <c r="X2" s="45" t="s">
        <v>185</v>
      </c>
      <c r="Y2" s="45" t="s">
        <v>198</v>
      </c>
      <c r="Z2" s="45" t="s">
        <v>186</v>
      </c>
      <c r="AA2" s="45" t="s">
        <v>197</v>
      </c>
      <c r="AB2" s="45" t="s">
        <v>196</v>
      </c>
      <c r="AC2" s="45" t="s">
        <v>187</v>
      </c>
      <c r="AD2" s="45" t="s">
        <v>188</v>
      </c>
      <c r="AE2" s="45" t="s">
        <v>195</v>
      </c>
      <c r="AF2" s="45" t="s">
        <v>189</v>
      </c>
      <c r="AG2" s="45" t="s">
        <v>190</v>
      </c>
      <c r="AH2" s="45" t="s">
        <v>194</v>
      </c>
      <c r="AI2" s="45" t="s">
        <v>193</v>
      </c>
      <c r="AJ2" s="45" t="s">
        <v>191</v>
      </c>
      <c r="AK2" s="45" t="s">
        <v>192</v>
      </c>
      <c r="AL2" s="43" t="s">
        <v>9</v>
      </c>
      <c r="AM2" s="42" t="s">
        <v>23</v>
      </c>
      <c r="AN2" s="41" t="s">
        <v>24</v>
      </c>
      <c r="AO2" s="33" t="s">
        <v>32</v>
      </c>
      <c r="AP2" s="33" t="s">
        <v>1227</v>
      </c>
      <c r="AQ2" s="33" t="s">
        <v>1228</v>
      </c>
      <c r="AR2" s="33" t="s">
        <v>252</v>
      </c>
      <c r="AS2" s="33" t="s">
        <v>254</v>
      </c>
      <c r="AT2" s="33" t="s">
        <v>253</v>
      </c>
      <c r="AU2" s="33" t="s">
        <v>255</v>
      </c>
      <c r="AV2" s="33" t="s">
        <v>68</v>
      </c>
      <c r="AW2" s="33" t="s">
        <v>258</v>
      </c>
      <c r="AX2" s="33" t="s">
        <v>34</v>
      </c>
    </row>
    <row r="3" spans="1:50" x14ac:dyDescent="0.25">
      <c r="A3" s="36">
        <v>1</v>
      </c>
      <c r="B3" s="37" t="s">
        <v>53</v>
      </c>
      <c r="C3" s="36" t="s">
        <v>3</v>
      </c>
      <c r="D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" s="36" t="s">
        <v>7</v>
      </c>
      <c r="F3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" s="38">
        <v>9011</v>
      </c>
      <c r="I3" s="37" t="s">
        <v>233</v>
      </c>
      <c r="J3" s="37">
        <v>2900</v>
      </c>
      <c r="K3" s="38">
        <v>901022601</v>
      </c>
      <c r="L3" s="37" t="s">
        <v>234</v>
      </c>
      <c r="O3" s="39" t="s">
        <v>243</v>
      </c>
      <c r="AL3" s="44" t="s">
        <v>10</v>
      </c>
      <c r="AM3" s="37" t="s">
        <v>37</v>
      </c>
      <c r="AO3" s="36">
        <v>100</v>
      </c>
      <c r="AR3" s="46">
        <v>0.1</v>
      </c>
      <c r="AS3" s="48">
        <f>ROUND((Товары[[#This Row],[IRP, Eur]]*$AT$1),-2)*(1+Товары[[#This Row],[Процент повышения РРЦ]])</f>
        <v>6600.0000000000009</v>
      </c>
      <c r="AT3" s="48">
        <v>6599</v>
      </c>
      <c r="AU3" s="50">
        <f>ROUND(Товары[[#This Row],[РРЦ финальная, руб.]]/$AT$1,2)</f>
        <v>109.98</v>
      </c>
      <c r="AV3" s="49">
        <f>IFERROR(Товары[[#This Row],[РРЦ, евро]]/Товары[[#This Row],[IRP, Eur]],"-")</f>
        <v>1.0998000000000001</v>
      </c>
      <c r="AW3" s="46">
        <f>IFERROR(VLOOKUP(Товары[[#This Row],[SubGroup]],DIY!$B:$C,2,FALSE),0)</f>
        <v>0.05</v>
      </c>
      <c r="AX3" s="48">
        <f>ROUND(Товары[[#This Row],[РРЦ финальная, руб.]]*(1-Товары[[#This Row],[Скидка DIY]]),2)</f>
        <v>6269.05</v>
      </c>
    </row>
    <row r="4" spans="1:50" x14ac:dyDescent="0.25">
      <c r="A4" s="36">
        <v>2</v>
      </c>
      <c r="B4" s="37" t="s">
        <v>54</v>
      </c>
      <c r="C4" s="36" t="s">
        <v>3</v>
      </c>
      <c r="D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" s="36" t="s">
        <v>7</v>
      </c>
      <c r="F4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" s="38">
        <v>9011</v>
      </c>
      <c r="I4" s="37" t="s">
        <v>233</v>
      </c>
      <c r="J4" s="37">
        <v>18200</v>
      </c>
      <c r="K4" s="38">
        <v>967311901</v>
      </c>
      <c r="L4" s="37" t="s">
        <v>235</v>
      </c>
      <c r="O4" s="39" t="s">
        <v>243</v>
      </c>
      <c r="AL4" s="44" t="s">
        <v>11</v>
      </c>
      <c r="AM4" s="37" t="s">
        <v>38</v>
      </c>
      <c r="AO4" s="36">
        <v>100</v>
      </c>
      <c r="AR4" s="46">
        <v>0.1</v>
      </c>
      <c r="AS4" s="48">
        <f>ROUND((Товары[[#This Row],[IRP, Eur]]*$AT$1),-2)*(1+Товары[[#This Row],[Процент повышения РРЦ]])</f>
        <v>6600.0000000000009</v>
      </c>
      <c r="AT4" s="48">
        <v>7000</v>
      </c>
      <c r="AU4" s="50">
        <f>ROUND(Товары[[#This Row],[РРЦ финальная, руб.]]/$AT$1,2)</f>
        <v>116.67</v>
      </c>
      <c r="AV4" s="49">
        <f>IFERROR(Товары[[#This Row],[РРЦ, евро]]/Товары[[#This Row],[IRP, Eur]],"-")</f>
        <v>1.1667000000000001</v>
      </c>
      <c r="AW4" s="46">
        <f>IFERROR(VLOOKUP(Товары[[#This Row],[SubGroup]],DIY!$B:$C,2,FALSE),0)</f>
        <v>0.05</v>
      </c>
      <c r="AX4" s="48">
        <f>ROUND(Товары[[#This Row],[РРЦ финальная, руб.]]*(1-Товары[[#This Row],[Скидка DIY]]),2)</f>
        <v>6650</v>
      </c>
    </row>
    <row r="5" spans="1:50" x14ac:dyDescent="0.25">
      <c r="A5" s="36">
        <v>3</v>
      </c>
      <c r="B5" s="37" t="s">
        <v>56</v>
      </c>
      <c r="C5" s="36" t="s">
        <v>3</v>
      </c>
      <c r="D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" s="36" t="s">
        <v>7</v>
      </c>
      <c r="F5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" s="38">
        <v>9011</v>
      </c>
      <c r="I5" s="37" t="s">
        <v>233</v>
      </c>
      <c r="J5" s="37">
        <v>18240</v>
      </c>
      <c r="K5" s="38">
        <v>967668901</v>
      </c>
      <c r="L5" s="37" t="s">
        <v>236</v>
      </c>
      <c r="M5" s="37" t="s">
        <v>242</v>
      </c>
      <c r="O5" s="39" t="s">
        <v>244</v>
      </c>
      <c r="AL5" s="44" t="s">
        <v>248</v>
      </c>
      <c r="AM5" s="37" t="s">
        <v>39</v>
      </c>
      <c r="AO5" s="36">
        <v>100</v>
      </c>
      <c r="AR5" s="46">
        <v>0.1</v>
      </c>
      <c r="AS5" s="48">
        <f>ROUND((Товары[[#This Row],[IRP, Eur]]*$AT$1),-2)*(1+Товары[[#This Row],[Процент повышения РРЦ]])</f>
        <v>6600.0000000000009</v>
      </c>
      <c r="AT5" s="48">
        <v>5800</v>
      </c>
      <c r="AU5" s="50">
        <f>ROUND(Товары[[#This Row],[РРЦ финальная, руб.]]/$AT$1,2)</f>
        <v>96.67</v>
      </c>
      <c r="AV5" s="49">
        <f>IFERROR(Товары[[#This Row],[РРЦ, евро]]/Товары[[#This Row],[IRP, Eur]],"-")</f>
        <v>0.9667</v>
      </c>
      <c r="AW5" s="46">
        <f>IFERROR(VLOOKUP(Товары[[#This Row],[SubGroup]],DIY!$B:$C,2,FALSE),0)</f>
        <v>0.05</v>
      </c>
      <c r="AX5" s="48">
        <f>ROUND(Товары[[#This Row],[РРЦ финальная, руб.]]*(1-Товары[[#This Row],[Скидка DIY]]),2)</f>
        <v>5510</v>
      </c>
    </row>
    <row r="6" spans="1:50" x14ac:dyDescent="0.25">
      <c r="A6" s="36">
        <v>4</v>
      </c>
      <c r="B6" s="37" t="s">
        <v>60</v>
      </c>
      <c r="C6" s="36" t="s">
        <v>3</v>
      </c>
      <c r="D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" s="36" t="s">
        <v>7</v>
      </c>
      <c r="F6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6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6" s="38">
        <v>9011</v>
      </c>
      <c r="I6" s="37" t="s">
        <v>233</v>
      </c>
      <c r="J6" s="37">
        <v>2901</v>
      </c>
      <c r="K6" s="38">
        <v>901023001</v>
      </c>
      <c r="L6" s="37" t="s">
        <v>237</v>
      </c>
      <c r="O6" s="39" t="s">
        <v>245</v>
      </c>
      <c r="AL6" s="44" t="s">
        <v>12</v>
      </c>
      <c r="AM6" s="37" t="s">
        <v>249</v>
      </c>
      <c r="AO6" s="36">
        <v>100</v>
      </c>
      <c r="AR6" s="46">
        <v>0.1</v>
      </c>
      <c r="AS6" s="48">
        <f>ROUND((Товары[[#This Row],[IRP, Eur]]*$AT$1),-2)*(1+Товары[[#This Row],[Процент повышения РРЦ]])</f>
        <v>6600.0000000000009</v>
      </c>
      <c r="AT6" s="48">
        <v>6599</v>
      </c>
      <c r="AU6" s="50">
        <f>ROUND(Товары[[#This Row],[РРЦ финальная, руб.]]/$AT$1,2)</f>
        <v>109.98</v>
      </c>
      <c r="AV6" s="49">
        <f>IFERROR(Товары[[#This Row],[РРЦ, евро]]/Товары[[#This Row],[IRP, Eur]],"-")</f>
        <v>1.0998000000000001</v>
      </c>
      <c r="AW6" s="46">
        <f>IFERROR(VLOOKUP(Товары[[#This Row],[SubGroup]],DIY!$B:$C,2,FALSE),0)</f>
        <v>0.05</v>
      </c>
      <c r="AX6" s="48">
        <f>ROUND(Товары[[#This Row],[РРЦ финальная, руб.]]*(1-Товары[[#This Row],[Скидка DIY]]),2)</f>
        <v>6269.05</v>
      </c>
    </row>
    <row r="7" spans="1:50" x14ac:dyDescent="0.25">
      <c r="A7" s="36">
        <v>5</v>
      </c>
      <c r="B7" s="37" t="s">
        <v>61</v>
      </c>
      <c r="C7" s="36" t="s">
        <v>3</v>
      </c>
      <c r="D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" s="36" t="s">
        <v>7</v>
      </c>
      <c r="F7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7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7" s="38">
        <v>9011</v>
      </c>
      <c r="I7" s="37" t="s">
        <v>233</v>
      </c>
      <c r="J7" s="37">
        <v>18201</v>
      </c>
      <c r="K7" s="38">
        <v>967312401</v>
      </c>
      <c r="L7" s="37" t="s">
        <v>238</v>
      </c>
      <c r="O7" s="39" t="s">
        <v>245</v>
      </c>
      <c r="AM7" s="37" t="s">
        <v>250</v>
      </c>
      <c r="AO7" s="36">
        <v>100</v>
      </c>
      <c r="AR7" s="46">
        <v>0.1</v>
      </c>
      <c r="AS7" s="48">
        <f>ROUND((Товары[[#This Row],[IRP, Eur]]*$AT$1),-2)*(1+Товары[[#This Row],[Процент повышения РРЦ]])</f>
        <v>6600.0000000000009</v>
      </c>
      <c r="AT7" s="48">
        <v>6599</v>
      </c>
      <c r="AU7" s="50">
        <f>ROUND(Товары[[#This Row],[РРЦ финальная, руб.]]/$AT$1,2)</f>
        <v>109.98</v>
      </c>
      <c r="AV7" s="49">
        <f>IFERROR(Товары[[#This Row],[РРЦ, евро]]/Товары[[#This Row],[IRP, Eur]],"-")</f>
        <v>1.0998000000000001</v>
      </c>
      <c r="AW7" s="46">
        <f>IFERROR(VLOOKUP(Товары[[#This Row],[SubGroup]],DIY!$B:$C,2,FALSE),0)</f>
        <v>0.05</v>
      </c>
      <c r="AX7" s="48">
        <f>ROUND(Товары[[#This Row],[РРЦ финальная, руб.]]*(1-Товары[[#This Row],[Скидка DIY]]),2)</f>
        <v>6269.05</v>
      </c>
    </row>
    <row r="8" spans="1:50" x14ac:dyDescent="0.25">
      <c r="A8" s="36">
        <v>6</v>
      </c>
      <c r="B8" s="37" t="s">
        <v>61</v>
      </c>
      <c r="C8" s="36" t="s">
        <v>3</v>
      </c>
      <c r="D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" s="36" t="s">
        <v>7</v>
      </c>
      <c r="F8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8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8" s="38">
        <v>9011</v>
      </c>
      <c r="I8" s="37" t="s">
        <v>233</v>
      </c>
      <c r="J8" s="37">
        <v>18241</v>
      </c>
      <c r="K8" s="38">
        <v>967666401</v>
      </c>
      <c r="L8" s="37" t="s">
        <v>239</v>
      </c>
      <c r="M8" s="37" t="s">
        <v>242</v>
      </c>
      <c r="O8" s="39" t="s">
        <v>246</v>
      </c>
      <c r="AM8" s="37" t="s">
        <v>251</v>
      </c>
      <c r="AO8" s="36">
        <v>100</v>
      </c>
      <c r="AR8" s="46">
        <v>0.1</v>
      </c>
      <c r="AS8" s="48">
        <f>ROUND((Товары[[#This Row],[IRP, Eur]]*$AT$1),-2)*(1+Товары[[#This Row],[Процент повышения РРЦ]])</f>
        <v>6600.0000000000009</v>
      </c>
      <c r="AT8" s="48">
        <v>6599</v>
      </c>
      <c r="AU8" s="50">
        <f>ROUND(Товары[[#This Row],[РРЦ финальная, руб.]]/$AT$1,2)</f>
        <v>109.98</v>
      </c>
      <c r="AV8" s="49">
        <f>IFERROR(Товары[[#This Row],[РРЦ, евро]]/Товары[[#This Row],[IRP, Eur]],"-")</f>
        <v>1.0998000000000001</v>
      </c>
      <c r="AW8" s="46">
        <f>IFERROR(VLOOKUP(Товары[[#This Row],[SubGroup]],DIY!$B:$C,2,FALSE),0)</f>
        <v>0.05</v>
      </c>
      <c r="AX8" s="48">
        <f>ROUND(Товары[[#This Row],[РРЦ финальная, руб.]]*(1-Товары[[#This Row],[Скидка DIY]]),2)</f>
        <v>6269.05</v>
      </c>
    </row>
    <row r="9" spans="1:50" x14ac:dyDescent="0.25">
      <c r="A9" s="36">
        <v>7</v>
      </c>
      <c r="B9" s="37" t="s">
        <v>61</v>
      </c>
      <c r="C9" s="36" t="s">
        <v>3</v>
      </c>
      <c r="D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" s="36" t="s">
        <v>7</v>
      </c>
      <c r="F9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9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9" s="38">
        <v>9011</v>
      </c>
      <c r="I9" s="37" t="s">
        <v>233</v>
      </c>
      <c r="J9" s="37">
        <v>2902</v>
      </c>
      <c r="K9" s="38">
        <v>901023401</v>
      </c>
      <c r="L9" s="37" t="s">
        <v>240</v>
      </c>
      <c r="O9" s="39" t="s">
        <v>247</v>
      </c>
      <c r="AM9" s="37" t="s">
        <v>40</v>
      </c>
      <c r="AO9" s="36">
        <v>100</v>
      </c>
      <c r="AR9" s="46">
        <v>0.1</v>
      </c>
      <c r="AS9" s="48">
        <f>ROUND((Товары[[#This Row],[IRP, Eur]]*$AT$1),-2)*(1+Товары[[#This Row],[Процент повышения РРЦ]])</f>
        <v>6600.0000000000009</v>
      </c>
      <c r="AT9" s="48">
        <v>5000</v>
      </c>
      <c r="AU9" s="50">
        <f>ROUND(Товары[[#This Row],[РРЦ финальная, руб.]]/$AT$1,2)</f>
        <v>83.33</v>
      </c>
      <c r="AV9" s="49">
        <f>IFERROR(Товары[[#This Row],[РРЦ, евро]]/Товары[[#This Row],[IRP, Eur]],"-")</f>
        <v>0.83329999999999993</v>
      </c>
      <c r="AW9" s="46">
        <f>IFERROR(VLOOKUP(Товары[[#This Row],[SubGroup]],DIY!$B:$C,2,FALSE),0)</f>
        <v>0.05</v>
      </c>
      <c r="AX9" s="48">
        <f>ROUND(Товары[[#This Row],[РРЦ финальная, руб.]]*(1-Товары[[#This Row],[Скидка DIY]]),2)</f>
        <v>4750</v>
      </c>
    </row>
    <row r="10" spans="1:50" x14ac:dyDescent="0.25">
      <c r="A10" s="36">
        <v>8</v>
      </c>
      <c r="B10" s="37" t="s">
        <v>61</v>
      </c>
      <c r="C10" s="36" t="s">
        <v>3</v>
      </c>
      <c r="D1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" s="36" t="s">
        <v>7</v>
      </c>
      <c r="F10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0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0" s="38">
        <v>9011</v>
      </c>
      <c r="I10" s="37" t="s">
        <v>233</v>
      </c>
      <c r="J10" s="37">
        <v>18202</v>
      </c>
      <c r="K10" s="38">
        <v>967312801</v>
      </c>
      <c r="L10" s="37" t="s">
        <v>241</v>
      </c>
      <c r="O10" s="39" t="s">
        <v>247</v>
      </c>
      <c r="AS10" s="48">
        <f>ROUND((Товары[[#This Row],[IRP, Eur]]*$AT$1),-2)*(1+Товары[[#This Row],[Процент повышения РРЦ]])</f>
        <v>0</v>
      </c>
      <c r="AT10" s="48"/>
      <c r="AU10" s="50">
        <f>ROUND(Товары[[#This Row],[РРЦ финальная, руб.]]/$AT$1,2)</f>
        <v>0</v>
      </c>
      <c r="AV10" s="49" t="str">
        <f>IFERROR(Товары[[#This Row],[РРЦ, евро]]/Товары[[#This Row],[IRP, Eur]],"-")</f>
        <v>-</v>
      </c>
      <c r="AW10" s="46">
        <f>IFERROR(VLOOKUP(Товары[[#This Row],[SubGroup]],DIY!$B:$C,2,FALSE),0)</f>
        <v>0.05</v>
      </c>
      <c r="AX10" s="48">
        <f>ROUND(Товары[[#This Row],[РРЦ финальная, руб.]]*(1-Товары[[#This Row],[Скидка DIY]]),2)</f>
        <v>0</v>
      </c>
    </row>
  </sheetData>
  <phoneticPr fontId="3" type="noConversion"/>
  <conditionalFormatting sqref="A3:AN10">
    <cfRule type="expression" dxfId="10" priority="6">
      <formula>$AL3="Новинка следующего года"</formula>
    </cfRule>
    <cfRule type="expression" dxfId="9" priority="7">
      <formula>$AL3="Новинка текущего года"</formula>
    </cfRule>
    <cfRule type="expression" dxfId="8" priority="8">
      <formula>$AL3="Выведено из ассортимента текущего года"</formula>
    </cfRule>
  </conditionalFormatting>
  <conditionalFormatting sqref="AM3:AM10">
    <cfRule type="expression" dxfId="7" priority="2">
      <formula>OR(AM3="Dealer",AM3="Regional",AM3="Online")</formula>
    </cfRule>
    <cfRule type="cellIs" dxfId="6" priority="3" operator="equal">
      <formula>"DIY канал"</formula>
    </cfRule>
    <cfRule type="cellIs" dxfId="5" priority="4" operator="equal">
      <formula>"ОБИ"</formula>
    </cfRule>
    <cfRule type="cellIs" dxfId="4" priority="5" operator="equal">
      <formula>"ЛЕРУА МЕРЛЕН"</formula>
    </cfRule>
  </conditionalFormatting>
  <conditionalFormatting sqref="AV3:AV10">
    <cfRule type="cellIs" dxfId="3" priority="1" operator="lessThanOrEqual">
      <formula>0.98</formula>
    </cfRule>
  </conditionalFormatting>
  <dataValidations count="6">
    <dataValidation type="list" allowBlank="1" showInputMessage="1" showErrorMessage="1" sqref="C3:C10" xr:uid="{00000000-0002-0000-0300-000000000000}">
      <formula1>INDIRECT("Суперкатегории[Суперкатегория (ENG)]")</formula1>
    </dataValidation>
    <dataValidation type="list" allowBlank="1" showInputMessage="1" showErrorMessage="1" sqref="E3:E10" xr:uid="{00000000-0002-0000-0300-000001000000}">
      <formula1>INDIRECT("Продукт_Группы[Продукт группа]")</formula1>
    </dataValidation>
    <dataValidation type="list" allowBlank="1" showInputMessage="1" showErrorMessage="1" sqref="AL3:AL10" xr:uid="{00000000-0002-0000-0300-000002000000}">
      <formula1>INDIRECT("Статусы_товаров[Статус]")</formula1>
    </dataValidation>
    <dataValidation type="list" allowBlank="1" showInputMessage="1" showErrorMessage="1" sqref="AN3:AN10" xr:uid="{00000000-0002-0000-0300-000003000000}">
      <formula1>"Да, Нет"</formula1>
    </dataValidation>
    <dataValidation type="list" allowBlank="1" showInputMessage="1" showErrorMessage="1" sqref="P3:P10" xr:uid="{FB153253-C82B-410C-9A75-00FD4C53D29B}">
      <formula1>INDIRECT("Продуктовые_календари[Название]")</formula1>
    </dataValidation>
    <dataValidation type="list" allowBlank="1" showInputMessage="1" showErrorMessage="1" sqref="AM3:AM10" xr:uid="{34FD6246-C340-40C3-8949-F72DC95D69CA}">
      <formula1>INDIRECT("Эксклюзивность[Эксклюзивность]")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9A0EAC6-FD32-413A-BBD3-34B888C5A124}">
          <x14:formula1>
            <xm:f>Скидки!$E$1:$J$1</xm:f>
          </x14:formula1>
          <xm:sqref>B3:B10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1">
    <tabColor theme="9" tint="-0.249977111117893"/>
  </sheetPr>
  <dimension ref="A1:H440"/>
  <sheetViews>
    <sheetView zoomScale="85" zoomScaleNormal="85" workbookViewId="0">
      <pane ySplit="1" topLeftCell="A2" activePane="bottomLeft" state="frozen"/>
      <selection pane="bottomLeft" activeCell="H13" sqref="H13"/>
    </sheetView>
  </sheetViews>
  <sheetFormatPr defaultColWidth="15.28515625" defaultRowHeight="15" x14ac:dyDescent="0.25"/>
  <cols>
    <col min="1" max="1" width="7.7109375" style="31" customWidth="1"/>
    <col min="2" max="2" width="11.28515625" style="27" customWidth="1"/>
    <col min="3" max="3" width="44.5703125" style="54" customWidth="1"/>
    <col min="4" max="4" width="24.85546875" style="27" bestFit="1" customWidth="1"/>
    <col min="5" max="5" width="21.42578125" style="27" bestFit="1" customWidth="1"/>
    <col min="6" max="6" width="29.5703125" style="27" customWidth="1"/>
    <col min="7" max="7" width="9.140625" style="27" bestFit="1" customWidth="1"/>
    <col min="8" max="8" width="22.5703125" style="27" customWidth="1"/>
    <col min="9" max="16384" width="15.28515625" style="25"/>
  </cols>
  <sheetData>
    <row r="1" spans="1:8" ht="24" customHeight="1" x14ac:dyDescent="0.25">
      <c r="A1" s="26" t="s">
        <v>0</v>
      </c>
      <c r="B1" s="26" t="s">
        <v>41</v>
      </c>
      <c r="C1" s="26" t="s">
        <v>42</v>
      </c>
      <c r="D1" s="26" t="s">
        <v>43</v>
      </c>
      <c r="E1" s="26" t="s">
        <v>44</v>
      </c>
      <c r="F1" s="26" t="s">
        <v>45</v>
      </c>
      <c r="G1" s="26" t="s">
        <v>46</v>
      </c>
      <c r="H1" s="26" t="s">
        <v>47</v>
      </c>
    </row>
    <row r="2" spans="1:8" x14ac:dyDescent="0.25">
      <c r="A2" s="32" t="s">
        <v>755</v>
      </c>
      <c r="B2" s="27" t="s">
        <v>259</v>
      </c>
      <c r="C2" s="54" t="s">
        <v>260</v>
      </c>
      <c r="D2" s="27" t="s">
        <v>261</v>
      </c>
      <c r="E2" s="27" t="s">
        <v>37</v>
      </c>
      <c r="F2" s="55" t="str">
        <f>VLOOKUP(Клиенты[[#This Row],[GardenaChannel]],GardenChannel[[GardenChannel]:[Sales manager]],2,0)</f>
        <v>ТАРХОВА ТАТЬЯНА</v>
      </c>
      <c r="G2" s="27" t="s">
        <v>263</v>
      </c>
      <c r="H2" s="27">
        <v>2555</v>
      </c>
    </row>
    <row r="3" spans="1:8" x14ac:dyDescent="0.25">
      <c r="A3" s="32" t="s">
        <v>756</v>
      </c>
      <c r="B3" s="27" t="s">
        <v>259</v>
      </c>
      <c r="C3" s="54" t="s">
        <v>264</v>
      </c>
      <c r="D3" s="27" t="s">
        <v>261</v>
      </c>
      <c r="E3" s="27" t="s">
        <v>265</v>
      </c>
      <c r="F3" s="55" t="str">
        <f>VLOOKUP(Клиенты[[#This Row],[GardenaChannel]],GardenChannel[[GardenChannel]:[Sales manager]],2,0)</f>
        <v>ТАРХОВА ТАТЬЯНА</v>
      </c>
      <c r="G3" s="27" t="s">
        <v>266</v>
      </c>
    </row>
    <row r="4" spans="1:8" x14ac:dyDescent="0.25">
      <c r="A4" s="32" t="s">
        <v>757</v>
      </c>
      <c r="B4" s="27" t="s">
        <v>259</v>
      </c>
      <c r="C4" s="54" t="s">
        <v>267</v>
      </c>
      <c r="D4" s="27" t="s">
        <v>261</v>
      </c>
      <c r="E4" s="27" t="s">
        <v>268</v>
      </c>
      <c r="F4" s="55" t="str">
        <f>VLOOKUP(Клиенты[[#This Row],[GardenaChannel]],GardenChannel[[GardenChannel]:[Sales manager]],2,0)</f>
        <v>ТАРХОВА ТАТЬЯНА</v>
      </c>
      <c r="G4" s="27" t="s">
        <v>269</v>
      </c>
    </row>
    <row r="5" spans="1:8" x14ac:dyDescent="0.25">
      <c r="A5" s="32" t="s">
        <v>758</v>
      </c>
      <c r="B5" s="27" t="s">
        <v>270</v>
      </c>
      <c r="C5" s="54" t="s">
        <v>271</v>
      </c>
      <c r="D5" s="27" t="s">
        <v>441</v>
      </c>
      <c r="E5" s="27" t="s">
        <v>273</v>
      </c>
      <c r="F5" s="55" t="str">
        <f>VLOOKUP(Клиенты[[#This Row],[GardenaChannel]],GardenChannel[[GardenChannel]:[Sales manager]],2,0)</f>
        <v>АЛЕКСАНДРОВ ИГОРЬ</v>
      </c>
      <c r="H5" s="27" t="s">
        <v>270</v>
      </c>
    </row>
    <row r="6" spans="1:8" x14ac:dyDescent="0.25">
      <c r="A6" s="32" t="s">
        <v>759</v>
      </c>
      <c r="B6" s="27" t="s">
        <v>270</v>
      </c>
      <c r="C6" s="54" t="s">
        <v>275</v>
      </c>
      <c r="D6" s="27" t="s">
        <v>272</v>
      </c>
      <c r="E6" s="27" t="s">
        <v>273</v>
      </c>
      <c r="F6" s="55" t="str">
        <f>VLOOKUP(Клиенты[[#This Row],[GardenaChannel]],GardenChannel[[GardenChannel]:[Sales manager]],2,0)</f>
        <v>АЛЕКСАНДРОВ ИГОРЬ</v>
      </c>
      <c r="H6" s="27" t="s">
        <v>270</v>
      </c>
    </row>
    <row r="7" spans="1:8" x14ac:dyDescent="0.25">
      <c r="A7" s="32" t="s">
        <v>760</v>
      </c>
      <c r="B7" s="27" t="s">
        <v>270</v>
      </c>
      <c r="C7" s="54" t="s">
        <v>276</v>
      </c>
      <c r="D7" s="27" t="s">
        <v>272</v>
      </c>
      <c r="E7" s="27" t="s">
        <v>273</v>
      </c>
      <c r="F7" s="55" t="str">
        <f>VLOOKUP(Клиенты[[#This Row],[GardenaChannel]],GardenChannel[[GardenChannel]:[Sales manager]],2,0)</f>
        <v>АЛЕКСАНДРОВ ИГОРЬ</v>
      </c>
      <c r="H7" s="27" t="s">
        <v>270</v>
      </c>
    </row>
    <row r="8" spans="1:8" x14ac:dyDescent="0.25">
      <c r="A8" s="32" t="s">
        <v>761</v>
      </c>
      <c r="B8" s="26" t="s">
        <v>270</v>
      </c>
      <c r="C8" s="54" t="s">
        <v>277</v>
      </c>
      <c r="D8" s="27" t="s">
        <v>272</v>
      </c>
      <c r="E8" s="27" t="s">
        <v>273</v>
      </c>
      <c r="F8" s="55" t="str">
        <f>VLOOKUP(Клиенты[[#This Row],[GardenaChannel]],GardenChannel[[GardenChannel]:[Sales manager]],2,0)</f>
        <v>АЛЕКСАНДРОВ ИГОРЬ</v>
      </c>
      <c r="H8" s="27" t="s">
        <v>270</v>
      </c>
    </row>
    <row r="9" spans="1:8" x14ac:dyDescent="0.25">
      <c r="A9" s="32" t="s">
        <v>762</v>
      </c>
      <c r="B9" s="27" t="s">
        <v>270</v>
      </c>
      <c r="C9" s="54" t="s">
        <v>278</v>
      </c>
      <c r="D9" s="27" t="s">
        <v>272</v>
      </c>
      <c r="E9" s="27" t="s">
        <v>38</v>
      </c>
      <c r="F9" s="55" t="str">
        <f>VLOOKUP(Клиенты[[#This Row],[GardenaChannel]],GardenChannel[[GardenChannel]:[Sales manager]],2,0)</f>
        <v>АЛЕКСАНДРОВ ИГОРЬ</v>
      </c>
      <c r="H9" s="27" t="s">
        <v>270</v>
      </c>
    </row>
    <row r="10" spans="1:8" x14ac:dyDescent="0.25">
      <c r="A10" s="32" t="s">
        <v>763</v>
      </c>
      <c r="B10" s="27" t="s">
        <v>270</v>
      </c>
      <c r="C10" s="54" t="s">
        <v>279</v>
      </c>
      <c r="D10" s="27" t="s">
        <v>272</v>
      </c>
      <c r="E10" s="27" t="s">
        <v>273</v>
      </c>
      <c r="F10" s="55" t="str">
        <f>VLOOKUP(Клиенты[[#This Row],[GardenaChannel]],GardenChannel[[GardenChannel]:[Sales manager]],2,0)</f>
        <v>АЛЕКСАНДРОВ ИГОРЬ</v>
      </c>
      <c r="H10" s="27" t="s">
        <v>270</v>
      </c>
    </row>
    <row r="11" spans="1:8" x14ac:dyDescent="0.25">
      <c r="A11" s="32" t="s">
        <v>764</v>
      </c>
      <c r="B11" s="27" t="s">
        <v>270</v>
      </c>
      <c r="C11" s="54" t="s">
        <v>280</v>
      </c>
      <c r="D11" s="27" t="s">
        <v>272</v>
      </c>
      <c r="E11" s="27" t="s">
        <v>273</v>
      </c>
      <c r="F11" s="55" t="str">
        <f>VLOOKUP(Клиенты[[#This Row],[GardenaChannel]],GardenChannel[[GardenChannel]:[Sales manager]],2,0)</f>
        <v>АЛЕКСАНДРОВ ИГОРЬ</v>
      </c>
      <c r="H11" s="27" t="s">
        <v>270</v>
      </c>
    </row>
    <row r="12" spans="1:8" x14ac:dyDescent="0.25">
      <c r="A12" s="32" t="s">
        <v>765</v>
      </c>
      <c r="B12" s="27" t="s">
        <v>270</v>
      </c>
      <c r="C12" s="54" t="s">
        <v>281</v>
      </c>
      <c r="D12" s="27" t="s">
        <v>272</v>
      </c>
      <c r="E12" s="27" t="s">
        <v>273</v>
      </c>
      <c r="F12" s="55" t="str">
        <f>VLOOKUP(Клиенты[[#This Row],[GardenaChannel]],GardenChannel[[GardenChannel]:[Sales manager]],2,0)</f>
        <v>АЛЕКСАНДРОВ ИГОРЬ</v>
      </c>
      <c r="H12" s="27" t="s">
        <v>270</v>
      </c>
    </row>
    <row r="13" spans="1:8" x14ac:dyDescent="0.25">
      <c r="A13" s="32" t="s">
        <v>766</v>
      </c>
      <c r="B13" s="27" t="s">
        <v>270</v>
      </c>
      <c r="C13" s="54" t="s">
        <v>282</v>
      </c>
      <c r="D13" s="27" t="s">
        <v>272</v>
      </c>
      <c r="E13" s="27" t="s">
        <v>273</v>
      </c>
      <c r="F13" s="55" t="str">
        <f>VLOOKUP(Клиенты[[#This Row],[GardenaChannel]],GardenChannel[[GardenChannel]:[Sales manager]],2,0)</f>
        <v>АЛЕКСАНДРОВ ИГОРЬ</v>
      </c>
      <c r="H13" s="27" t="s">
        <v>270</v>
      </c>
    </row>
    <row r="14" spans="1:8" x14ac:dyDescent="0.25">
      <c r="A14" s="32" t="s">
        <v>767</v>
      </c>
      <c r="B14" s="27" t="s">
        <v>270</v>
      </c>
      <c r="C14" s="54" t="s">
        <v>283</v>
      </c>
      <c r="D14" s="27" t="s">
        <v>272</v>
      </c>
      <c r="E14" s="27" t="s">
        <v>273</v>
      </c>
      <c r="F14" s="55" t="str">
        <f>VLOOKUP(Клиенты[[#This Row],[GardenaChannel]],GardenChannel[[GardenChannel]:[Sales manager]],2,0)</f>
        <v>АЛЕКСАНДРОВ ИГОРЬ</v>
      </c>
      <c r="H14" s="27" t="s">
        <v>270</v>
      </c>
    </row>
    <row r="15" spans="1:8" x14ac:dyDescent="0.25">
      <c r="A15" s="32" t="s">
        <v>768</v>
      </c>
      <c r="B15" s="27" t="s">
        <v>270</v>
      </c>
      <c r="C15" s="54" t="s">
        <v>284</v>
      </c>
      <c r="D15" s="27" t="s">
        <v>272</v>
      </c>
      <c r="E15" s="27" t="s">
        <v>273</v>
      </c>
      <c r="F15" s="55" t="str">
        <f>VLOOKUP(Клиенты[[#This Row],[GardenaChannel]],GardenChannel[[GardenChannel]:[Sales manager]],2,0)</f>
        <v>АЛЕКСАНДРОВ ИГОРЬ</v>
      </c>
      <c r="H15" s="27" t="s">
        <v>270</v>
      </c>
    </row>
    <row r="16" spans="1:8" x14ac:dyDescent="0.25">
      <c r="A16" s="32" t="s">
        <v>769</v>
      </c>
      <c r="B16" s="27" t="s">
        <v>270</v>
      </c>
      <c r="C16" s="54" t="s">
        <v>285</v>
      </c>
      <c r="D16" s="27" t="s">
        <v>272</v>
      </c>
      <c r="E16" s="27" t="s">
        <v>286</v>
      </c>
      <c r="F16" s="55" t="str">
        <f>VLOOKUP(Клиенты[[#This Row],[GardenaChannel]],GardenChannel[[GardenChannel]:[Sales manager]],2,0)</f>
        <v>АЛЕКСАНДРОВ ИГОРЬ</v>
      </c>
      <c r="H16" s="27" t="s">
        <v>270</v>
      </c>
    </row>
    <row r="17" spans="1:8" x14ac:dyDescent="0.25">
      <c r="A17" s="32" t="s">
        <v>770</v>
      </c>
      <c r="B17" s="27" t="s">
        <v>270</v>
      </c>
      <c r="C17" s="54" t="s">
        <v>287</v>
      </c>
      <c r="D17" s="27" t="s">
        <v>272</v>
      </c>
      <c r="E17" s="27" t="s">
        <v>273</v>
      </c>
      <c r="F17" s="55" t="str">
        <f>VLOOKUP(Клиенты[[#This Row],[GardenaChannel]],GardenChannel[[GardenChannel]:[Sales manager]],2,0)</f>
        <v>АЛЕКСАНДРОВ ИГОРЬ</v>
      </c>
      <c r="H17" s="27" t="s">
        <v>270</v>
      </c>
    </row>
    <row r="18" spans="1:8" x14ac:dyDescent="0.25">
      <c r="A18" s="32" t="s">
        <v>771</v>
      </c>
      <c r="B18" s="27" t="s">
        <v>270</v>
      </c>
      <c r="C18" s="54" t="s">
        <v>288</v>
      </c>
      <c r="D18" s="27" t="s">
        <v>272</v>
      </c>
      <c r="E18" s="27" t="s">
        <v>273</v>
      </c>
      <c r="F18" s="55" t="str">
        <f>VLOOKUP(Клиенты[[#This Row],[GardenaChannel]],GardenChannel[[GardenChannel]:[Sales manager]],2,0)</f>
        <v>АЛЕКСАНДРОВ ИГОРЬ</v>
      </c>
      <c r="H18" s="27" t="s">
        <v>270</v>
      </c>
    </row>
    <row r="19" spans="1:8" x14ac:dyDescent="0.25">
      <c r="A19" s="32" t="s">
        <v>772</v>
      </c>
      <c r="B19" s="27" t="s">
        <v>270</v>
      </c>
      <c r="C19" s="54" t="s">
        <v>289</v>
      </c>
      <c r="D19" s="27" t="s">
        <v>272</v>
      </c>
      <c r="E19" s="27" t="s">
        <v>273</v>
      </c>
      <c r="F19" s="55" t="str">
        <f>VLOOKUP(Клиенты[[#This Row],[GardenaChannel]],GardenChannel[[GardenChannel]:[Sales manager]],2,0)</f>
        <v>АЛЕКСАНДРОВ ИГОРЬ</v>
      </c>
      <c r="H19" s="27" t="s">
        <v>270</v>
      </c>
    </row>
    <row r="20" spans="1:8" x14ac:dyDescent="0.25">
      <c r="A20" s="32" t="s">
        <v>773</v>
      </c>
      <c r="B20" s="27" t="s">
        <v>270</v>
      </c>
      <c r="C20" s="54" t="s">
        <v>290</v>
      </c>
      <c r="D20" s="27" t="s">
        <v>272</v>
      </c>
      <c r="E20" s="27" t="s">
        <v>273</v>
      </c>
      <c r="F20" s="55" t="str">
        <f>VLOOKUP(Клиенты[[#This Row],[GardenaChannel]],GardenChannel[[GardenChannel]:[Sales manager]],2,0)</f>
        <v>АЛЕКСАНДРОВ ИГОРЬ</v>
      </c>
      <c r="H20" s="27" t="s">
        <v>270</v>
      </c>
    </row>
    <row r="21" spans="1:8" x14ac:dyDescent="0.25">
      <c r="A21" s="32" t="s">
        <v>774</v>
      </c>
      <c r="B21" s="27" t="s">
        <v>270</v>
      </c>
      <c r="C21" s="54" t="s">
        <v>291</v>
      </c>
      <c r="D21" s="27" t="s">
        <v>272</v>
      </c>
      <c r="E21" s="27" t="s">
        <v>273</v>
      </c>
      <c r="F21" s="55" t="str">
        <f>VLOOKUP(Клиенты[[#This Row],[GardenaChannel]],GardenChannel[[GardenChannel]:[Sales manager]],2,0)</f>
        <v>АЛЕКСАНДРОВ ИГОРЬ</v>
      </c>
      <c r="H21" s="27" t="s">
        <v>270</v>
      </c>
    </row>
    <row r="22" spans="1:8" x14ac:dyDescent="0.25">
      <c r="A22" s="32" t="s">
        <v>775</v>
      </c>
      <c r="B22" s="27" t="s">
        <v>270</v>
      </c>
      <c r="C22" s="54" t="s">
        <v>292</v>
      </c>
      <c r="D22" s="27" t="s">
        <v>272</v>
      </c>
      <c r="E22" s="27" t="s">
        <v>273</v>
      </c>
      <c r="F22" s="55" t="str">
        <f>VLOOKUP(Клиенты[[#This Row],[GardenaChannel]],GardenChannel[[GardenChannel]:[Sales manager]],2,0)</f>
        <v>АЛЕКСАНДРОВ ИГОРЬ</v>
      </c>
      <c r="H22" s="27" t="s">
        <v>270</v>
      </c>
    </row>
    <row r="23" spans="1:8" x14ac:dyDescent="0.25">
      <c r="A23" s="32" t="s">
        <v>776</v>
      </c>
      <c r="B23" s="27" t="s">
        <v>270</v>
      </c>
      <c r="C23" s="54" t="s">
        <v>293</v>
      </c>
      <c r="D23" s="27" t="s">
        <v>272</v>
      </c>
      <c r="E23" s="27" t="s">
        <v>273</v>
      </c>
      <c r="F23" s="55" t="str">
        <f>VLOOKUP(Клиенты[[#This Row],[GardenaChannel]],GardenChannel[[GardenChannel]:[Sales manager]],2,0)</f>
        <v>АЛЕКСАНДРОВ ИГОРЬ</v>
      </c>
      <c r="H23" s="27" t="s">
        <v>270</v>
      </c>
    </row>
    <row r="24" spans="1:8" x14ac:dyDescent="0.25">
      <c r="A24" s="32" t="s">
        <v>777</v>
      </c>
      <c r="B24" s="27" t="s">
        <v>270</v>
      </c>
      <c r="C24" s="54" t="s">
        <v>294</v>
      </c>
      <c r="D24" s="27" t="s">
        <v>272</v>
      </c>
      <c r="E24" s="27" t="s">
        <v>273</v>
      </c>
      <c r="F24" s="55" t="str">
        <f>VLOOKUP(Клиенты[[#This Row],[GardenaChannel]],GardenChannel[[GardenChannel]:[Sales manager]],2,0)</f>
        <v>АЛЕКСАНДРОВ ИГОРЬ</v>
      </c>
      <c r="H24" s="27" t="s">
        <v>270</v>
      </c>
    </row>
    <row r="25" spans="1:8" x14ac:dyDescent="0.25">
      <c r="A25" s="32" t="s">
        <v>778</v>
      </c>
      <c r="B25" s="27" t="s">
        <v>270</v>
      </c>
      <c r="C25" s="54" t="s">
        <v>295</v>
      </c>
      <c r="D25" s="27" t="s">
        <v>272</v>
      </c>
      <c r="E25" s="27" t="s">
        <v>273</v>
      </c>
      <c r="F25" s="55" t="str">
        <f>VLOOKUP(Клиенты[[#This Row],[GardenaChannel]],GardenChannel[[GardenChannel]:[Sales manager]],2,0)</f>
        <v>АЛЕКСАНДРОВ ИГОРЬ</v>
      </c>
      <c r="H25" s="27" t="s">
        <v>270</v>
      </c>
    </row>
    <row r="26" spans="1:8" x14ac:dyDescent="0.25">
      <c r="A26" s="32" t="s">
        <v>779</v>
      </c>
      <c r="B26" s="27" t="s">
        <v>270</v>
      </c>
      <c r="C26" s="54" t="s">
        <v>296</v>
      </c>
      <c r="D26" s="27" t="s">
        <v>272</v>
      </c>
      <c r="E26" s="27" t="s">
        <v>273</v>
      </c>
      <c r="F26" s="55" t="str">
        <f>VLOOKUP(Клиенты[[#This Row],[GardenaChannel]],GardenChannel[[GardenChannel]:[Sales manager]],2,0)</f>
        <v>АЛЕКСАНДРОВ ИГОРЬ</v>
      </c>
      <c r="H26" s="27" t="s">
        <v>270</v>
      </c>
    </row>
    <row r="27" spans="1:8" x14ac:dyDescent="0.25">
      <c r="A27" s="32" t="s">
        <v>780</v>
      </c>
      <c r="B27" s="27" t="s">
        <v>270</v>
      </c>
      <c r="C27" s="54" t="s">
        <v>297</v>
      </c>
      <c r="D27" s="27" t="s">
        <v>272</v>
      </c>
      <c r="E27" s="27" t="s">
        <v>273</v>
      </c>
      <c r="F27" s="55" t="str">
        <f>VLOOKUP(Клиенты[[#This Row],[GardenaChannel]],GardenChannel[[GardenChannel]:[Sales manager]],2,0)</f>
        <v>АЛЕКСАНДРОВ ИГОРЬ</v>
      </c>
      <c r="H27" s="27" t="s">
        <v>270</v>
      </c>
    </row>
    <row r="28" spans="1:8" x14ac:dyDescent="0.25">
      <c r="A28" s="32" t="s">
        <v>781</v>
      </c>
      <c r="B28" s="27" t="s">
        <v>270</v>
      </c>
      <c r="C28" s="54" t="s">
        <v>298</v>
      </c>
      <c r="D28" s="27" t="s">
        <v>272</v>
      </c>
      <c r="E28" s="27" t="s">
        <v>273</v>
      </c>
      <c r="F28" s="55" t="str">
        <f>VLOOKUP(Клиенты[[#This Row],[GardenaChannel]],GardenChannel[[GardenChannel]:[Sales manager]],2,0)</f>
        <v>АЛЕКСАНДРОВ ИГОРЬ</v>
      </c>
      <c r="H28" s="27" t="s">
        <v>270</v>
      </c>
    </row>
    <row r="29" spans="1:8" x14ac:dyDescent="0.25">
      <c r="A29" s="32" t="s">
        <v>782</v>
      </c>
      <c r="B29" s="27" t="s">
        <v>270</v>
      </c>
      <c r="C29" s="54" t="s">
        <v>299</v>
      </c>
      <c r="D29" s="27" t="s">
        <v>272</v>
      </c>
      <c r="E29" s="27" t="s">
        <v>273</v>
      </c>
      <c r="F29" s="55" t="str">
        <f>VLOOKUP(Клиенты[[#This Row],[GardenaChannel]],GardenChannel[[GardenChannel]:[Sales manager]],2,0)</f>
        <v>АЛЕКСАНДРОВ ИГОРЬ</v>
      </c>
      <c r="H29" s="27" t="s">
        <v>270</v>
      </c>
    </row>
    <row r="30" spans="1:8" x14ac:dyDescent="0.25">
      <c r="A30" s="32" t="s">
        <v>783</v>
      </c>
      <c r="B30" s="27" t="s">
        <v>270</v>
      </c>
      <c r="C30" s="54" t="s">
        <v>300</v>
      </c>
      <c r="D30" s="27" t="s">
        <v>272</v>
      </c>
      <c r="E30" s="27" t="s">
        <v>273</v>
      </c>
      <c r="F30" s="55" t="str">
        <f>VLOOKUP(Клиенты[[#This Row],[GardenaChannel]],GardenChannel[[GardenChannel]:[Sales manager]],2,0)</f>
        <v>АЛЕКСАНДРОВ ИГОРЬ</v>
      </c>
      <c r="H30" s="27" t="s">
        <v>270</v>
      </c>
    </row>
    <row r="31" spans="1:8" x14ac:dyDescent="0.25">
      <c r="A31" s="32" t="s">
        <v>784</v>
      </c>
      <c r="B31" s="27" t="s">
        <v>270</v>
      </c>
      <c r="C31" s="54" t="s">
        <v>301</v>
      </c>
      <c r="D31" s="27" t="s">
        <v>272</v>
      </c>
      <c r="E31" s="27" t="s">
        <v>273</v>
      </c>
      <c r="F31" s="55" t="str">
        <f>VLOOKUP(Клиенты[[#This Row],[GardenaChannel]],GardenChannel[[GardenChannel]:[Sales manager]],2,0)</f>
        <v>АЛЕКСАНДРОВ ИГОРЬ</v>
      </c>
      <c r="H31" s="27" t="s">
        <v>270</v>
      </c>
    </row>
    <row r="32" spans="1:8" x14ac:dyDescent="0.25">
      <c r="A32" s="32" t="s">
        <v>785</v>
      </c>
      <c r="B32" s="27" t="s">
        <v>270</v>
      </c>
      <c r="C32" s="54" t="s">
        <v>302</v>
      </c>
      <c r="D32" s="27" t="s">
        <v>272</v>
      </c>
      <c r="E32" s="27" t="s">
        <v>273</v>
      </c>
      <c r="F32" s="55" t="str">
        <f>VLOOKUP(Клиенты[[#This Row],[GardenaChannel]],GardenChannel[[GardenChannel]:[Sales manager]],2,0)</f>
        <v>АЛЕКСАНДРОВ ИГОРЬ</v>
      </c>
      <c r="H32" s="27" t="s">
        <v>270</v>
      </c>
    </row>
    <row r="33" spans="1:8" x14ac:dyDescent="0.25">
      <c r="A33" s="32" t="s">
        <v>786</v>
      </c>
      <c r="B33" s="27" t="s">
        <v>270</v>
      </c>
      <c r="C33" s="54" t="s">
        <v>303</v>
      </c>
      <c r="D33" s="27" t="s">
        <v>272</v>
      </c>
      <c r="E33" s="27" t="s">
        <v>273</v>
      </c>
      <c r="F33" s="55" t="str">
        <f>VLOOKUP(Клиенты[[#This Row],[GardenaChannel]],GardenChannel[[GardenChannel]:[Sales manager]],2,0)</f>
        <v>АЛЕКСАНДРОВ ИГОРЬ</v>
      </c>
      <c r="H33" s="27" t="s">
        <v>270</v>
      </c>
    </row>
    <row r="34" spans="1:8" x14ac:dyDescent="0.25">
      <c r="A34" s="32" t="s">
        <v>787</v>
      </c>
      <c r="B34" s="27" t="s">
        <v>270</v>
      </c>
      <c r="C34" s="54" t="s">
        <v>304</v>
      </c>
      <c r="D34" s="27" t="s">
        <v>272</v>
      </c>
      <c r="E34" s="27" t="s">
        <v>273</v>
      </c>
      <c r="F34" s="55" t="str">
        <f>VLOOKUP(Клиенты[[#This Row],[GardenaChannel]],GardenChannel[[GardenChannel]:[Sales manager]],2,0)</f>
        <v>АЛЕКСАНДРОВ ИГОРЬ</v>
      </c>
      <c r="H34" s="27" t="s">
        <v>270</v>
      </c>
    </row>
    <row r="35" spans="1:8" x14ac:dyDescent="0.25">
      <c r="A35" s="32" t="s">
        <v>788</v>
      </c>
      <c r="B35" s="27" t="s">
        <v>270</v>
      </c>
      <c r="C35" s="54" t="s">
        <v>305</v>
      </c>
      <c r="D35" s="27" t="s">
        <v>272</v>
      </c>
      <c r="E35" s="27" t="s">
        <v>273</v>
      </c>
      <c r="F35" s="55" t="str">
        <f>VLOOKUP(Клиенты[[#This Row],[GardenaChannel]],GardenChannel[[GardenChannel]:[Sales manager]],2,0)</f>
        <v>АЛЕКСАНДРОВ ИГОРЬ</v>
      </c>
      <c r="H35" s="27" t="s">
        <v>270</v>
      </c>
    </row>
    <row r="36" spans="1:8" x14ac:dyDescent="0.25">
      <c r="A36" s="32" t="s">
        <v>789</v>
      </c>
      <c r="B36" s="27" t="s">
        <v>270</v>
      </c>
      <c r="C36" s="54" t="s">
        <v>306</v>
      </c>
      <c r="D36" s="27" t="s">
        <v>272</v>
      </c>
      <c r="E36" s="27" t="s">
        <v>273</v>
      </c>
      <c r="F36" s="55" t="str">
        <f>VLOOKUP(Клиенты[[#This Row],[GardenaChannel]],GardenChannel[[GardenChannel]:[Sales manager]],2,0)</f>
        <v>АЛЕКСАНДРОВ ИГОРЬ</v>
      </c>
      <c r="H36" s="27" t="s">
        <v>270</v>
      </c>
    </row>
    <row r="37" spans="1:8" x14ac:dyDescent="0.25">
      <c r="A37" s="32" t="s">
        <v>790</v>
      </c>
      <c r="B37" s="27" t="s">
        <v>270</v>
      </c>
      <c r="C37" s="54" t="s">
        <v>307</v>
      </c>
      <c r="D37" s="27" t="s">
        <v>272</v>
      </c>
      <c r="E37" s="27" t="s">
        <v>273</v>
      </c>
      <c r="F37" s="55" t="str">
        <f>VLOOKUP(Клиенты[[#This Row],[GardenaChannel]],GardenChannel[[GardenChannel]:[Sales manager]],2,0)</f>
        <v>АЛЕКСАНДРОВ ИГОРЬ</v>
      </c>
      <c r="H37" s="27" t="s">
        <v>270</v>
      </c>
    </row>
    <row r="38" spans="1:8" x14ac:dyDescent="0.25">
      <c r="A38" s="32" t="s">
        <v>791</v>
      </c>
      <c r="B38" s="27" t="s">
        <v>270</v>
      </c>
      <c r="C38" s="54" t="s">
        <v>308</v>
      </c>
      <c r="D38" s="27" t="s">
        <v>272</v>
      </c>
      <c r="E38" s="27" t="s">
        <v>273</v>
      </c>
      <c r="F38" s="55" t="str">
        <f>VLOOKUP(Клиенты[[#This Row],[GardenaChannel]],GardenChannel[[GardenChannel]:[Sales manager]],2,0)</f>
        <v>АЛЕКСАНДРОВ ИГОРЬ</v>
      </c>
      <c r="H38" s="27" t="s">
        <v>270</v>
      </c>
    </row>
    <row r="39" spans="1:8" x14ac:dyDescent="0.25">
      <c r="A39" s="32" t="s">
        <v>792</v>
      </c>
      <c r="B39" s="27" t="s">
        <v>270</v>
      </c>
      <c r="C39" s="54" t="s">
        <v>309</v>
      </c>
      <c r="D39" s="27" t="s">
        <v>272</v>
      </c>
      <c r="E39" s="27" t="s">
        <v>310</v>
      </c>
      <c r="F39" s="55" t="str">
        <f>VLOOKUP(Клиенты[[#This Row],[GardenaChannel]],GardenChannel[[GardenChannel]:[Sales manager]],2,0)</f>
        <v>АЛЕКСАНДРОВ ИГОРЬ</v>
      </c>
      <c r="H39" s="27" t="s">
        <v>270</v>
      </c>
    </row>
    <row r="40" spans="1:8" x14ac:dyDescent="0.25">
      <c r="A40" s="32" t="s">
        <v>793</v>
      </c>
      <c r="B40" s="27" t="s">
        <v>270</v>
      </c>
      <c r="C40" s="54" t="s">
        <v>311</v>
      </c>
      <c r="D40" s="27" t="s">
        <v>272</v>
      </c>
      <c r="E40" s="27" t="s">
        <v>273</v>
      </c>
      <c r="F40" s="55" t="str">
        <f>VLOOKUP(Клиенты[[#This Row],[GardenaChannel]],GardenChannel[[GardenChannel]:[Sales manager]],2,0)</f>
        <v>АЛЕКСАНДРОВ ИГОРЬ</v>
      </c>
      <c r="H40" s="27" t="s">
        <v>270</v>
      </c>
    </row>
    <row r="41" spans="1:8" x14ac:dyDescent="0.25">
      <c r="A41" s="32" t="s">
        <v>794</v>
      </c>
      <c r="B41" s="27" t="s">
        <v>270</v>
      </c>
      <c r="C41" s="54" t="s">
        <v>312</v>
      </c>
      <c r="D41" s="27" t="s">
        <v>272</v>
      </c>
      <c r="E41" s="27" t="s">
        <v>286</v>
      </c>
      <c r="F41" s="55" t="str">
        <f>VLOOKUP(Клиенты[[#This Row],[GardenaChannel]],GardenChannel[[GardenChannel]:[Sales manager]],2,0)</f>
        <v>АЛЕКСАНДРОВ ИГОРЬ</v>
      </c>
      <c r="H41" s="27" t="s">
        <v>270</v>
      </c>
    </row>
    <row r="42" spans="1:8" x14ac:dyDescent="0.25">
      <c r="A42" s="32" t="s">
        <v>795</v>
      </c>
      <c r="B42" s="27" t="s">
        <v>270</v>
      </c>
      <c r="C42" s="54" t="s">
        <v>313</v>
      </c>
      <c r="D42" s="27" t="s">
        <v>272</v>
      </c>
      <c r="E42" s="27" t="s">
        <v>273</v>
      </c>
      <c r="F42" s="55" t="str">
        <f>VLOOKUP(Клиенты[[#This Row],[GardenaChannel]],GardenChannel[[GardenChannel]:[Sales manager]],2,0)</f>
        <v>АЛЕКСАНДРОВ ИГОРЬ</v>
      </c>
      <c r="H42" s="27" t="s">
        <v>270</v>
      </c>
    </row>
    <row r="43" spans="1:8" x14ac:dyDescent="0.25">
      <c r="A43" s="32" t="s">
        <v>796</v>
      </c>
      <c r="B43" s="27" t="s">
        <v>270</v>
      </c>
      <c r="C43" s="54" t="s">
        <v>314</v>
      </c>
      <c r="D43" s="27" t="s">
        <v>272</v>
      </c>
      <c r="E43" s="27" t="s">
        <v>273</v>
      </c>
      <c r="F43" s="55" t="str">
        <f>VLOOKUP(Клиенты[[#This Row],[GardenaChannel]],GardenChannel[[GardenChannel]:[Sales manager]],2,0)</f>
        <v>АЛЕКСАНДРОВ ИГОРЬ</v>
      </c>
      <c r="H43" s="27" t="s">
        <v>270</v>
      </c>
    </row>
    <row r="44" spans="1:8" x14ac:dyDescent="0.25">
      <c r="A44" s="32" t="s">
        <v>797</v>
      </c>
      <c r="B44" s="27" t="s">
        <v>270</v>
      </c>
      <c r="C44" s="54" t="s">
        <v>315</v>
      </c>
      <c r="D44" s="27" t="s">
        <v>272</v>
      </c>
      <c r="E44" s="27" t="s">
        <v>310</v>
      </c>
      <c r="F44" s="55" t="str">
        <f>VLOOKUP(Клиенты[[#This Row],[GardenaChannel]],GardenChannel[[GardenChannel]:[Sales manager]],2,0)</f>
        <v>АЛЕКСАНДРОВ ИГОРЬ</v>
      </c>
      <c r="H44" s="27" t="s">
        <v>270</v>
      </c>
    </row>
    <row r="45" spans="1:8" x14ac:dyDescent="0.25">
      <c r="A45" s="32" t="s">
        <v>798</v>
      </c>
      <c r="B45" s="27" t="s">
        <v>270</v>
      </c>
      <c r="C45" s="54" t="s">
        <v>316</v>
      </c>
      <c r="D45" s="27" t="s">
        <v>272</v>
      </c>
      <c r="E45" s="27" t="s">
        <v>273</v>
      </c>
      <c r="F45" s="55" t="str">
        <f>VLOOKUP(Клиенты[[#This Row],[GardenaChannel]],GardenChannel[[GardenChannel]:[Sales manager]],2,0)</f>
        <v>АЛЕКСАНДРОВ ИГОРЬ</v>
      </c>
      <c r="H45" s="27" t="s">
        <v>270</v>
      </c>
    </row>
    <row r="46" spans="1:8" x14ac:dyDescent="0.25">
      <c r="A46" s="32" t="s">
        <v>799</v>
      </c>
      <c r="B46" s="27" t="s">
        <v>270</v>
      </c>
      <c r="C46" s="54" t="s">
        <v>317</v>
      </c>
      <c r="D46" s="27" t="s">
        <v>272</v>
      </c>
      <c r="E46" s="27" t="s">
        <v>273</v>
      </c>
      <c r="F46" s="55" t="str">
        <f>VLOOKUP(Клиенты[[#This Row],[GardenaChannel]],GardenChannel[[GardenChannel]:[Sales manager]],2,0)</f>
        <v>АЛЕКСАНДРОВ ИГОРЬ</v>
      </c>
      <c r="H46" s="27" t="s">
        <v>270</v>
      </c>
    </row>
    <row r="47" spans="1:8" x14ac:dyDescent="0.25">
      <c r="A47" s="32" t="s">
        <v>800</v>
      </c>
      <c r="B47" s="27" t="s">
        <v>270</v>
      </c>
      <c r="C47" s="54" t="s">
        <v>318</v>
      </c>
      <c r="D47" s="27" t="s">
        <v>272</v>
      </c>
      <c r="E47" s="27" t="s">
        <v>273</v>
      </c>
      <c r="F47" s="55" t="str">
        <f>VLOOKUP(Клиенты[[#This Row],[GardenaChannel]],GardenChannel[[GardenChannel]:[Sales manager]],2,0)</f>
        <v>АЛЕКСАНДРОВ ИГОРЬ</v>
      </c>
      <c r="H47" s="27" t="s">
        <v>270</v>
      </c>
    </row>
    <row r="48" spans="1:8" x14ac:dyDescent="0.25">
      <c r="A48" s="32" t="s">
        <v>801</v>
      </c>
      <c r="B48" s="27" t="s">
        <v>270</v>
      </c>
      <c r="C48" s="54" t="s">
        <v>319</v>
      </c>
      <c r="D48" s="27" t="s">
        <v>272</v>
      </c>
      <c r="E48" s="27" t="s">
        <v>273</v>
      </c>
      <c r="F48" s="55" t="str">
        <f>VLOOKUP(Клиенты[[#This Row],[GardenaChannel]],GardenChannel[[GardenChannel]:[Sales manager]],2,0)</f>
        <v>АЛЕКСАНДРОВ ИГОРЬ</v>
      </c>
      <c r="H48" s="27" t="s">
        <v>270</v>
      </c>
    </row>
    <row r="49" spans="1:8" x14ac:dyDescent="0.25">
      <c r="A49" s="32" t="s">
        <v>802</v>
      </c>
      <c r="B49" s="27" t="s">
        <v>270</v>
      </c>
      <c r="C49" s="54" t="s">
        <v>320</v>
      </c>
      <c r="D49" s="27" t="s">
        <v>272</v>
      </c>
      <c r="E49" s="27" t="s">
        <v>273</v>
      </c>
      <c r="F49" s="55" t="str">
        <f>VLOOKUP(Клиенты[[#This Row],[GardenaChannel]],GardenChannel[[GardenChannel]:[Sales manager]],2,0)</f>
        <v>АЛЕКСАНДРОВ ИГОРЬ</v>
      </c>
      <c r="H49" s="27" t="s">
        <v>270</v>
      </c>
    </row>
    <row r="50" spans="1:8" x14ac:dyDescent="0.25">
      <c r="A50" s="32" t="s">
        <v>803</v>
      </c>
      <c r="B50" s="27" t="s">
        <v>270</v>
      </c>
      <c r="C50" s="54" t="s">
        <v>321</v>
      </c>
      <c r="D50" s="27" t="s">
        <v>272</v>
      </c>
      <c r="E50" s="27" t="s">
        <v>273</v>
      </c>
      <c r="F50" s="55" t="str">
        <f>VLOOKUP(Клиенты[[#This Row],[GardenaChannel]],GardenChannel[[GardenChannel]:[Sales manager]],2,0)</f>
        <v>АЛЕКСАНДРОВ ИГОРЬ</v>
      </c>
      <c r="H50" s="27" t="s">
        <v>270</v>
      </c>
    </row>
    <row r="51" spans="1:8" x14ac:dyDescent="0.25">
      <c r="A51" s="32" t="s">
        <v>804</v>
      </c>
      <c r="B51" s="27" t="s">
        <v>270</v>
      </c>
      <c r="C51" s="54" t="s">
        <v>322</v>
      </c>
      <c r="D51" s="27" t="s">
        <v>272</v>
      </c>
      <c r="E51" s="27" t="s">
        <v>273</v>
      </c>
      <c r="F51" s="55" t="str">
        <f>VLOOKUP(Клиенты[[#This Row],[GardenaChannel]],GardenChannel[[GardenChannel]:[Sales manager]],2,0)</f>
        <v>АЛЕКСАНДРОВ ИГОРЬ</v>
      </c>
      <c r="H51" s="27" t="s">
        <v>270</v>
      </c>
    </row>
    <row r="52" spans="1:8" x14ac:dyDescent="0.25">
      <c r="A52" s="32" t="s">
        <v>805</v>
      </c>
      <c r="B52" s="27" t="s">
        <v>270</v>
      </c>
      <c r="C52" s="54" t="s">
        <v>323</v>
      </c>
      <c r="D52" s="27" t="s">
        <v>272</v>
      </c>
      <c r="E52" s="27" t="s">
        <v>286</v>
      </c>
      <c r="F52" s="55" t="str">
        <f>VLOOKUP(Клиенты[[#This Row],[GardenaChannel]],GardenChannel[[GardenChannel]:[Sales manager]],2,0)</f>
        <v>АЛЕКСАНДРОВ ИГОРЬ</v>
      </c>
      <c r="H52" s="27" t="s">
        <v>270</v>
      </c>
    </row>
    <row r="53" spans="1:8" x14ac:dyDescent="0.25">
      <c r="A53" s="32" t="s">
        <v>806</v>
      </c>
      <c r="B53" s="27" t="s">
        <v>270</v>
      </c>
      <c r="C53" s="54" t="s">
        <v>324</v>
      </c>
      <c r="D53" s="27" t="s">
        <v>272</v>
      </c>
      <c r="E53" s="27" t="s">
        <v>273</v>
      </c>
      <c r="F53" s="55" t="str">
        <f>VLOOKUP(Клиенты[[#This Row],[GardenaChannel]],GardenChannel[[GardenChannel]:[Sales manager]],2,0)</f>
        <v>АЛЕКСАНДРОВ ИГОРЬ</v>
      </c>
      <c r="H53" s="27" t="s">
        <v>270</v>
      </c>
    </row>
    <row r="54" spans="1:8" x14ac:dyDescent="0.25">
      <c r="A54" s="32" t="s">
        <v>807</v>
      </c>
      <c r="B54" s="27" t="s">
        <v>270</v>
      </c>
      <c r="C54" s="54" t="s">
        <v>325</v>
      </c>
      <c r="D54" s="27" t="s">
        <v>272</v>
      </c>
      <c r="E54" s="27" t="s">
        <v>273</v>
      </c>
      <c r="F54" s="55" t="str">
        <f>VLOOKUP(Клиенты[[#This Row],[GardenaChannel]],GardenChannel[[GardenChannel]:[Sales manager]],2,0)</f>
        <v>АЛЕКСАНДРОВ ИГОРЬ</v>
      </c>
      <c r="H54" s="27" t="s">
        <v>270</v>
      </c>
    </row>
    <row r="55" spans="1:8" x14ac:dyDescent="0.25">
      <c r="A55" s="32" t="s">
        <v>808</v>
      </c>
      <c r="B55" s="27" t="s">
        <v>270</v>
      </c>
      <c r="C55" s="54" t="s">
        <v>326</v>
      </c>
      <c r="D55" s="27" t="s">
        <v>272</v>
      </c>
      <c r="E55" s="27" t="s">
        <v>273</v>
      </c>
      <c r="F55" s="55" t="str">
        <f>VLOOKUP(Клиенты[[#This Row],[GardenaChannel]],GardenChannel[[GardenChannel]:[Sales manager]],2,0)</f>
        <v>АЛЕКСАНДРОВ ИГОРЬ</v>
      </c>
      <c r="H55" s="27" t="s">
        <v>270</v>
      </c>
    </row>
    <row r="56" spans="1:8" x14ac:dyDescent="0.25">
      <c r="A56" s="32" t="s">
        <v>809</v>
      </c>
      <c r="B56" s="27" t="s">
        <v>327</v>
      </c>
      <c r="C56" s="54" t="s">
        <v>328</v>
      </c>
      <c r="D56" s="27" t="s">
        <v>261</v>
      </c>
      <c r="E56" s="27" t="s">
        <v>329</v>
      </c>
      <c r="F56" s="55" t="str">
        <f>VLOOKUP(Клиенты[[#This Row],[GardenaChannel]],GardenChannel[[GardenChannel]:[Sales manager]],2,0)</f>
        <v>ЧУДИН АЛЕКСЕЙ</v>
      </c>
      <c r="H56" s="27">
        <v>5070</v>
      </c>
    </row>
    <row r="57" spans="1:8" x14ac:dyDescent="0.25">
      <c r="A57" s="32" t="s">
        <v>810</v>
      </c>
      <c r="B57" s="27" t="s">
        <v>327</v>
      </c>
      <c r="C57" s="54" t="s">
        <v>331</v>
      </c>
      <c r="D57" s="27" t="s">
        <v>261</v>
      </c>
      <c r="E57" s="27" t="s">
        <v>332</v>
      </c>
      <c r="F57" s="55" t="str">
        <f>VLOOKUP(Клиенты[[#This Row],[GardenaChannel]],GardenChannel[[GardenChannel]:[Sales manager]],2,0)</f>
        <v>ЧУДИН АЛЕКСЕЙ</v>
      </c>
      <c r="G57" s="27" t="s">
        <v>333</v>
      </c>
      <c r="H57" s="27">
        <v>5307</v>
      </c>
    </row>
    <row r="58" spans="1:8" x14ac:dyDescent="0.25">
      <c r="A58" s="32" t="s">
        <v>811</v>
      </c>
      <c r="B58" s="27" t="s">
        <v>327</v>
      </c>
      <c r="C58" s="54" t="s">
        <v>334</v>
      </c>
      <c r="D58" s="27" t="s">
        <v>261</v>
      </c>
      <c r="E58" s="27" t="s">
        <v>332</v>
      </c>
      <c r="F58" s="55" t="str">
        <f>VLOOKUP(Клиенты[[#This Row],[GardenaChannel]],GardenChannel[[GardenChannel]:[Sales manager]],2,0)</f>
        <v>ЧУДИН АЛЕКСЕЙ</v>
      </c>
      <c r="G58" s="27" t="s">
        <v>333</v>
      </c>
      <c r="H58" s="27">
        <v>5307</v>
      </c>
    </row>
    <row r="59" spans="1:8" x14ac:dyDescent="0.25">
      <c r="A59" s="32" t="s">
        <v>812</v>
      </c>
      <c r="B59" s="27" t="s">
        <v>327</v>
      </c>
      <c r="C59" s="54" t="s">
        <v>335</v>
      </c>
      <c r="D59" s="27" t="s">
        <v>261</v>
      </c>
      <c r="E59" s="27" t="s">
        <v>336</v>
      </c>
      <c r="F59" s="55" t="str">
        <f>VLOOKUP(Клиенты[[#This Row],[GardenaChannel]],GardenChannel[[GardenChannel]:[Sales manager]],2,0)</f>
        <v>ЧУДИН АЛЕКСЕЙ</v>
      </c>
      <c r="G59" s="27" t="s">
        <v>337</v>
      </c>
      <c r="H59" s="27">
        <v>5412</v>
      </c>
    </row>
    <row r="60" spans="1:8" x14ac:dyDescent="0.25">
      <c r="A60" s="32" t="s">
        <v>813</v>
      </c>
      <c r="B60" s="27" t="s">
        <v>327</v>
      </c>
      <c r="C60" s="54" t="s">
        <v>338</v>
      </c>
      <c r="D60" s="27" t="s">
        <v>261</v>
      </c>
      <c r="E60" s="27" t="s">
        <v>332</v>
      </c>
      <c r="F60" s="55" t="str">
        <f>VLOOKUP(Клиенты[[#This Row],[GardenaChannel]],GardenChannel[[GardenChannel]:[Sales manager]],2,0)</f>
        <v>ЧУДИН АЛЕКСЕЙ</v>
      </c>
      <c r="G60" s="27" t="s">
        <v>333</v>
      </c>
      <c r="H60" s="27">
        <v>5307</v>
      </c>
    </row>
    <row r="61" spans="1:8" x14ac:dyDescent="0.25">
      <c r="A61" s="32" t="s">
        <v>814</v>
      </c>
      <c r="B61" s="27" t="s">
        <v>327</v>
      </c>
      <c r="C61" s="54" t="s">
        <v>339</v>
      </c>
      <c r="D61" s="27" t="s">
        <v>261</v>
      </c>
      <c r="E61" s="27" t="s">
        <v>332</v>
      </c>
      <c r="F61" s="55" t="str">
        <f>VLOOKUP(Клиенты[[#This Row],[GardenaChannel]],GardenChannel[[GardenChannel]:[Sales manager]],2,0)</f>
        <v>ЧУДИН АЛЕКСЕЙ</v>
      </c>
      <c r="G61" s="27" t="s">
        <v>333</v>
      </c>
      <c r="H61" s="27">
        <v>5307</v>
      </c>
    </row>
    <row r="62" spans="1:8" x14ac:dyDescent="0.25">
      <c r="A62" s="32" t="s">
        <v>815</v>
      </c>
      <c r="B62" s="27" t="s">
        <v>327</v>
      </c>
      <c r="C62" s="54" t="s">
        <v>340</v>
      </c>
      <c r="D62" s="27" t="s">
        <v>261</v>
      </c>
      <c r="E62" s="27" t="s">
        <v>332</v>
      </c>
      <c r="F62" s="55" t="str">
        <f>VLOOKUP(Клиенты[[#This Row],[GardenaChannel]],GardenChannel[[GardenChannel]:[Sales manager]],2,0)</f>
        <v>ЧУДИН АЛЕКСЕЙ</v>
      </c>
      <c r="G62" s="27" t="s">
        <v>333</v>
      </c>
      <c r="H62" s="27">
        <v>5307</v>
      </c>
    </row>
    <row r="63" spans="1:8" x14ac:dyDescent="0.25">
      <c r="A63" s="32" t="s">
        <v>816</v>
      </c>
      <c r="B63" s="27" t="s">
        <v>327</v>
      </c>
      <c r="C63" s="54" t="s">
        <v>341</v>
      </c>
      <c r="D63" s="27" t="s">
        <v>261</v>
      </c>
      <c r="E63" s="27" t="s">
        <v>332</v>
      </c>
      <c r="F63" s="55" t="str">
        <f>VLOOKUP(Клиенты[[#This Row],[GardenaChannel]],GardenChannel[[GardenChannel]:[Sales manager]],2,0)</f>
        <v>ЧУДИН АЛЕКСЕЙ</v>
      </c>
      <c r="G63" s="27" t="s">
        <v>333</v>
      </c>
      <c r="H63" s="27">
        <v>5307</v>
      </c>
    </row>
    <row r="64" spans="1:8" x14ac:dyDescent="0.25">
      <c r="A64" s="32" t="s">
        <v>817</v>
      </c>
      <c r="B64" s="27" t="s">
        <v>327</v>
      </c>
      <c r="C64" s="54" t="s">
        <v>342</v>
      </c>
      <c r="D64" s="27" t="s">
        <v>261</v>
      </c>
      <c r="E64" s="27" t="s">
        <v>343</v>
      </c>
      <c r="F64" s="55" t="str">
        <f>VLOOKUP(Клиенты[[#This Row],[GardenaChannel]],GardenChannel[[GardenChannel]:[Sales manager]],2,0)</f>
        <v>ЧУДИН АЛЕКСЕЙ</v>
      </c>
      <c r="G64" s="27" t="s">
        <v>344</v>
      </c>
      <c r="H64" s="27">
        <v>5824</v>
      </c>
    </row>
    <row r="65" spans="1:8" x14ac:dyDescent="0.25">
      <c r="A65" s="32" t="s">
        <v>818</v>
      </c>
      <c r="B65" s="27" t="s">
        <v>345</v>
      </c>
      <c r="C65" s="54" t="s">
        <v>346</v>
      </c>
      <c r="D65" s="27" t="s">
        <v>261</v>
      </c>
      <c r="E65" s="27" t="s">
        <v>38</v>
      </c>
      <c r="F65" s="55" t="str">
        <f>VLOOKUP(Клиенты[[#This Row],[GardenaChannel]],GardenChannel[[GardenChannel]:[Sales manager]],2,0)</f>
        <v>НЕБОВ АЛЕКСАНДР</v>
      </c>
      <c r="G65" s="27" t="s">
        <v>348</v>
      </c>
      <c r="H65" s="27">
        <v>5303</v>
      </c>
    </row>
    <row r="66" spans="1:8" x14ac:dyDescent="0.25">
      <c r="A66" s="32" t="s">
        <v>819</v>
      </c>
      <c r="B66" s="27" t="s">
        <v>345</v>
      </c>
      <c r="C66" s="54" t="s">
        <v>349</v>
      </c>
      <c r="D66" s="27" t="s">
        <v>261</v>
      </c>
      <c r="E66" s="27" t="s">
        <v>38</v>
      </c>
      <c r="F66" s="55" t="str">
        <f>VLOOKUP(Клиенты[[#This Row],[GardenaChannel]],GardenChannel[[GardenChannel]:[Sales manager]],2,0)</f>
        <v>НЕБОВ АЛЕКСАНДР</v>
      </c>
      <c r="G66" s="27" t="s">
        <v>348</v>
      </c>
      <c r="H66" s="27">
        <v>5303</v>
      </c>
    </row>
    <row r="67" spans="1:8" x14ac:dyDescent="0.25">
      <c r="A67" s="32" t="s">
        <v>820</v>
      </c>
      <c r="B67" s="27" t="s">
        <v>345</v>
      </c>
      <c r="C67" s="54" t="s">
        <v>350</v>
      </c>
      <c r="D67" s="27" t="s">
        <v>261</v>
      </c>
      <c r="E67" s="27" t="s">
        <v>38</v>
      </c>
      <c r="F67" s="55" t="str">
        <f>VLOOKUP(Клиенты[[#This Row],[GardenaChannel]],GardenChannel[[GardenChannel]:[Sales manager]],2,0)</f>
        <v>НЕБОВ АЛЕКСАНДР</v>
      </c>
      <c r="G67" s="27" t="s">
        <v>348</v>
      </c>
      <c r="H67" s="27">
        <v>5303</v>
      </c>
    </row>
    <row r="68" spans="1:8" x14ac:dyDescent="0.25">
      <c r="A68" s="32" t="s">
        <v>821</v>
      </c>
      <c r="B68" s="27" t="s">
        <v>345</v>
      </c>
      <c r="C68" s="54" t="s">
        <v>351</v>
      </c>
      <c r="D68" s="27" t="s">
        <v>261</v>
      </c>
      <c r="E68" s="27" t="s">
        <v>38</v>
      </c>
      <c r="F68" s="55" t="str">
        <f>VLOOKUP(Клиенты[[#This Row],[GardenaChannel]],GardenChannel[[GardenChannel]:[Sales manager]],2,0)</f>
        <v>НЕБОВ АЛЕКСАНДР</v>
      </c>
      <c r="G68" s="27" t="s">
        <v>348</v>
      </c>
      <c r="H68" s="27">
        <v>5303</v>
      </c>
    </row>
    <row r="69" spans="1:8" x14ac:dyDescent="0.25">
      <c r="A69" s="32" t="s">
        <v>822</v>
      </c>
      <c r="B69" s="27" t="s">
        <v>345</v>
      </c>
      <c r="C69" s="54" t="s">
        <v>352</v>
      </c>
      <c r="D69" s="27" t="s">
        <v>261</v>
      </c>
      <c r="E69" s="27" t="s">
        <v>353</v>
      </c>
      <c r="F69" s="55" t="str">
        <f>VLOOKUP(Клиенты[[#This Row],[GardenaChannel]],GardenChannel[[GardenChannel]:[Sales manager]],2,0)</f>
        <v>НЕБОВ АЛЕКСАНДР</v>
      </c>
      <c r="G69" s="27" t="s">
        <v>354</v>
      </c>
      <c r="H69" s="27">
        <v>5408</v>
      </c>
    </row>
    <row r="70" spans="1:8" x14ac:dyDescent="0.25">
      <c r="A70" s="32" t="s">
        <v>823</v>
      </c>
      <c r="B70" s="27" t="s">
        <v>355</v>
      </c>
      <c r="C70" s="54" t="s">
        <v>356</v>
      </c>
      <c r="D70" s="27" t="s">
        <v>272</v>
      </c>
      <c r="E70" s="27" t="s">
        <v>273</v>
      </c>
      <c r="F70" s="55" t="str">
        <f>VLOOKUP(Клиенты[[#This Row],[GardenaChannel]],GardenChannel[[GardenChannel]:[Sales manager]],2,0)</f>
        <v>ШКИДИН РОМАН</v>
      </c>
      <c r="H70" s="27" t="s">
        <v>355</v>
      </c>
    </row>
    <row r="71" spans="1:8" x14ac:dyDescent="0.25">
      <c r="A71" s="32" t="s">
        <v>824</v>
      </c>
      <c r="B71" s="27" t="s">
        <v>355</v>
      </c>
      <c r="C71" s="54" t="s">
        <v>358</v>
      </c>
      <c r="D71" s="27" t="s">
        <v>272</v>
      </c>
      <c r="E71" s="27" t="s">
        <v>273</v>
      </c>
      <c r="F71" s="55" t="str">
        <f>VLOOKUP(Клиенты[[#This Row],[GardenaChannel]],GardenChannel[[GardenChannel]:[Sales manager]],2,0)</f>
        <v>ШКИДИН РОМАН</v>
      </c>
      <c r="H71" s="27" t="s">
        <v>355</v>
      </c>
    </row>
    <row r="72" spans="1:8" x14ac:dyDescent="0.25">
      <c r="A72" s="32" t="s">
        <v>825</v>
      </c>
      <c r="B72" s="27" t="s">
        <v>355</v>
      </c>
      <c r="C72" s="54" t="s">
        <v>359</v>
      </c>
      <c r="D72" s="27" t="s">
        <v>272</v>
      </c>
      <c r="E72" s="27" t="s">
        <v>273</v>
      </c>
      <c r="F72" s="55" t="str">
        <f>VLOOKUP(Клиенты[[#This Row],[GardenaChannel]],GardenChannel[[GardenChannel]:[Sales manager]],2,0)</f>
        <v>ШКИДИН РОМАН</v>
      </c>
      <c r="H72" s="27" t="s">
        <v>355</v>
      </c>
    </row>
    <row r="73" spans="1:8" x14ac:dyDescent="0.25">
      <c r="A73" s="32" t="s">
        <v>826</v>
      </c>
      <c r="B73" s="27" t="s">
        <v>355</v>
      </c>
      <c r="C73" s="54" t="s">
        <v>360</v>
      </c>
      <c r="D73" s="27" t="s">
        <v>272</v>
      </c>
      <c r="E73" s="27" t="s">
        <v>310</v>
      </c>
      <c r="F73" s="55" t="str">
        <f>VLOOKUP(Клиенты[[#This Row],[GardenaChannel]],GardenChannel[[GardenChannel]:[Sales manager]],2,0)</f>
        <v>ШКИДИН РОМАН</v>
      </c>
      <c r="H73" s="27" t="s">
        <v>355</v>
      </c>
    </row>
    <row r="74" spans="1:8" x14ac:dyDescent="0.25">
      <c r="A74" s="32" t="s">
        <v>827</v>
      </c>
      <c r="B74" s="27" t="s">
        <v>355</v>
      </c>
      <c r="C74" s="54" t="s">
        <v>361</v>
      </c>
      <c r="D74" s="27" t="s">
        <v>272</v>
      </c>
      <c r="E74" s="27" t="s">
        <v>273</v>
      </c>
      <c r="F74" s="55" t="str">
        <f>VLOOKUP(Клиенты[[#This Row],[GardenaChannel]],GardenChannel[[GardenChannel]:[Sales manager]],2,0)</f>
        <v>ШКИДИН РОМАН</v>
      </c>
      <c r="H74" s="27" t="s">
        <v>355</v>
      </c>
    </row>
    <row r="75" spans="1:8" x14ac:dyDescent="0.25">
      <c r="A75" s="32" t="s">
        <v>828</v>
      </c>
      <c r="B75" s="27" t="s">
        <v>355</v>
      </c>
      <c r="C75" s="54" t="s">
        <v>362</v>
      </c>
      <c r="D75" s="27" t="s">
        <v>272</v>
      </c>
      <c r="E75" s="27" t="s">
        <v>273</v>
      </c>
      <c r="F75" s="55" t="str">
        <f>VLOOKUP(Клиенты[[#This Row],[GardenaChannel]],GardenChannel[[GardenChannel]:[Sales manager]],2,0)</f>
        <v>ШКИДИН РОМАН</v>
      </c>
      <c r="H75" s="27" t="s">
        <v>355</v>
      </c>
    </row>
    <row r="76" spans="1:8" x14ac:dyDescent="0.25">
      <c r="A76" s="32" t="s">
        <v>829</v>
      </c>
      <c r="B76" s="27" t="s">
        <v>355</v>
      </c>
      <c r="C76" s="54" t="s">
        <v>363</v>
      </c>
      <c r="D76" s="27" t="s">
        <v>272</v>
      </c>
      <c r="E76" s="27" t="s">
        <v>310</v>
      </c>
      <c r="F76" s="55" t="str">
        <f>VLOOKUP(Клиенты[[#This Row],[GardenaChannel]],GardenChannel[[GardenChannel]:[Sales manager]],2,0)</f>
        <v>ШКИДИН РОМАН</v>
      </c>
      <c r="H76" s="27" t="s">
        <v>355</v>
      </c>
    </row>
    <row r="77" spans="1:8" x14ac:dyDescent="0.25">
      <c r="A77" s="32" t="s">
        <v>830</v>
      </c>
      <c r="B77" s="27" t="s">
        <v>355</v>
      </c>
      <c r="C77" s="54" t="s">
        <v>364</v>
      </c>
      <c r="D77" s="27" t="s">
        <v>272</v>
      </c>
      <c r="E77" s="27" t="s">
        <v>273</v>
      </c>
      <c r="F77" s="55" t="str">
        <f>VLOOKUP(Клиенты[[#This Row],[GardenaChannel]],GardenChannel[[GardenChannel]:[Sales manager]],2,0)</f>
        <v>ШКИДИН РОМАН</v>
      </c>
      <c r="H77" s="27" t="s">
        <v>355</v>
      </c>
    </row>
    <row r="78" spans="1:8" x14ac:dyDescent="0.25">
      <c r="A78" s="32" t="s">
        <v>831</v>
      </c>
      <c r="B78" s="27" t="s">
        <v>355</v>
      </c>
      <c r="C78" s="54" t="s">
        <v>365</v>
      </c>
      <c r="D78" s="27" t="s">
        <v>272</v>
      </c>
      <c r="E78" s="27" t="s">
        <v>273</v>
      </c>
      <c r="F78" s="55" t="str">
        <f>VLOOKUP(Клиенты[[#This Row],[GardenaChannel]],GardenChannel[[GardenChannel]:[Sales manager]],2,0)</f>
        <v>ШКИДИН РОМАН</v>
      </c>
      <c r="H78" s="27" t="s">
        <v>355</v>
      </c>
    </row>
    <row r="79" spans="1:8" x14ac:dyDescent="0.25">
      <c r="A79" s="32" t="s">
        <v>832</v>
      </c>
      <c r="B79" s="27" t="s">
        <v>355</v>
      </c>
      <c r="C79" s="54" t="s">
        <v>366</v>
      </c>
      <c r="D79" s="27" t="s">
        <v>272</v>
      </c>
      <c r="E79" s="27" t="s">
        <v>273</v>
      </c>
      <c r="F79" s="55" t="str">
        <f>VLOOKUP(Клиенты[[#This Row],[GardenaChannel]],GardenChannel[[GardenChannel]:[Sales manager]],2,0)</f>
        <v>ШКИДИН РОМАН</v>
      </c>
      <c r="H79" s="27" t="s">
        <v>355</v>
      </c>
    </row>
    <row r="80" spans="1:8" x14ac:dyDescent="0.25">
      <c r="A80" s="32" t="s">
        <v>833</v>
      </c>
      <c r="B80" s="27" t="s">
        <v>355</v>
      </c>
      <c r="C80" s="54" t="s">
        <v>367</v>
      </c>
      <c r="D80" s="27" t="s">
        <v>272</v>
      </c>
      <c r="E80" s="27" t="s">
        <v>286</v>
      </c>
      <c r="F80" s="55" t="str">
        <f>VLOOKUP(Клиенты[[#This Row],[GardenaChannel]],GardenChannel[[GardenChannel]:[Sales manager]],2,0)</f>
        <v>ШКИДИН РОМАН</v>
      </c>
      <c r="H80" s="27" t="s">
        <v>355</v>
      </c>
    </row>
    <row r="81" spans="1:8" x14ac:dyDescent="0.25">
      <c r="A81" s="32" t="s">
        <v>834</v>
      </c>
      <c r="B81" s="27" t="s">
        <v>355</v>
      </c>
      <c r="C81" s="54" t="s">
        <v>368</v>
      </c>
      <c r="D81" s="27" t="s">
        <v>272</v>
      </c>
      <c r="E81" s="27" t="s">
        <v>273</v>
      </c>
      <c r="F81" s="55" t="str">
        <f>VLOOKUP(Клиенты[[#This Row],[GardenaChannel]],GardenChannel[[GardenChannel]:[Sales manager]],2,0)</f>
        <v>ШКИДИН РОМАН</v>
      </c>
      <c r="H81" s="27" t="s">
        <v>355</v>
      </c>
    </row>
    <row r="82" spans="1:8" x14ac:dyDescent="0.25">
      <c r="A82" s="32" t="s">
        <v>835</v>
      </c>
      <c r="B82" s="27" t="s">
        <v>355</v>
      </c>
      <c r="C82" s="54" t="s">
        <v>369</v>
      </c>
      <c r="D82" s="27" t="s">
        <v>272</v>
      </c>
      <c r="E82" s="27" t="s">
        <v>273</v>
      </c>
      <c r="F82" s="55" t="str">
        <f>VLOOKUP(Клиенты[[#This Row],[GardenaChannel]],GardenChannel[[GardenChannel]:[Sales manager]],2,0)</f>
        <v>ШКИДИН РОМАН</v>
      </c>
      <c r="H82" s="27" t="s">
        <v>355</v>
      </c>
    </row>
    <row r="83" spans="1:8" x14ac:dyDescent="0.25">
      <c r="A83" s="32" t="s">
        <v>836</v>
      </c>
      <c r="B83" s="27" t="s">
        <v>355</v>
      </c>
      <c r="C83" s="54" t="s">
        <v>370</v>
      </c>
      <c r="D83" s="27" t="s">
        <v>272</v>
      </c>
      <c r="E83" s="27" t="s">
        <v>273</v>
      </c>
      <c r="F83" s="55" t="str">
        <f>VLOOKUP(Клиенты[[#This Row],[GardenaChannel]],GardenChannel[[GardenChannel]:[Sales manager]],2,0)</f>
        <v>ШКИДИН РОМАН</v>
      </c>
      <c r="H83" s="27" t="s">
        <v>355</v>
      </c>
    </row>
    <row r="84" spans="1:8" x14ac:dyDescent="0.25">
      <c r="A84" s="32" t="s">
        <v>837</v>
      </c>
      <c r="B84" s="27" t="s">
        <v>355</v>
      </c>
      <c r="C84" s="54" t="s">
        <v>371</v>
      </c>
      <c r="D84" s="27" t="s">
        <v>272</v>
      </c>
      <c r="E84" s="27" t="s">
        <v>273</v>
      </c>
      <c r="F84" s="55" t="str">
        <f>VLOOKUP(Клиенты[[#This Row],[GardenaChannel]],GardenChannel[[GardenChannel]:[Sales manager]],2,0)</f>
        <v>ШКИДИН РОМАН</v>
      </c>
      <c r="H84" s="27" t="s">
        <v>355</v>
      </c>
    </row>
    <row r="85" spans="1:8" x14ac:dyDescent="0.25">
      <c r="A85" s="32" t="s">
        <v>838</v>
      </c>
      <c r="B85" s="27" t="s">
        <v>355</v>
      </c>
      <c r="C85" s="54" t="s">
        <v>372</v>
      </c>
      <c r="D85" s="27" t="s">
        <v>272</v>
      </c>
      <c r="E85" s="27" t="s">
        <v>273</v>
      </c>
      <c r="F85" s="55" t="str">
        <f>VLOOKUP(Клиенты[[#This Row],[GardenaChannel]],GardenChannel[[GardenChannel]:[Sales manager]],2,0)</f>
        <v>ШКИДИН РОМАН</v>
      </c>
      <c r="H85" s="27" t="s">
        <v>355</v>
      </c>
    </row>
    <row r="86" spans="1:8" x14ac:dyDescent="0.25">
      <c r="A86" s="32" t="s">
        <v>839</v>
      </c>
      <c r="B86" s="27" t="s">
        <v>355</v>
      </c>
      <c r="C86" s="54" t="s">
        <v>373</v>
      </c>
      <c r="D86" s="27" t="s">
        <v>272</v>
      </c>
      <c r="E86" s="27" t="s">
        <v>273</v>
      </c>
      <c r="F86" s="55" t="str">
        <f>VLOOKUP(Клиенты[[#This Row],[GardenaChannel]],GardenChannel[[GardenChannel]:[Sales manager]],2,0)</f>
        <v>ШКИДИН РОМАН</v>
      </c>
      <c r="H86" s="27" t="s">
        <v>355</v>
      </c>
    </row>
    <row r="87" spans="1:8" x14ac:dyDescent="0.25">
      <c r="A87" s="32" t="s">
        <v>840</v>
      </c>
      <c r="B87" s="27" t="s">
        <v>355</v>
      </c>
      <c r="C87" s="54" t="s">
        <v>374</v>
      </c>
      <c r="D87" s="27" t="s">
        <v>272</v>
      </c>
      <c r="E87" s="27" t="s">
        <v>273</v>
      </c>
      <c r="F87" s="55" t="str">
        <f>VLOOKUP(Клиенты[[#This Row],[GardenaChannel]],GardenChannel[[GardenChannel]:[Sales manager]],2,0)</f>
        <v>ШКИДИН РОМАН</v>
      </c>
      <c r="H87" s="27" t="s">
        <v>355</v>
      </c>
    </row>
    <row r="88" spans="1:8" x14ac:dyDescent="0.25">
      <c r="A88" s="32" t="s">
        <v>841</v>
      </c>
      <c r="B88" s="27" t="s">
        <v>355</v>
      </c>
      <c r="C88" s="54" t="s">
        <v>375</v>
      </c>
      <c r="D88" s="27" t="s">
        <v>272</v>
      </c>
      <c r="E88" s="27" t="s">
        <v>273</v>
      </c>
      <c r="F88" s="55" t="str">
        <f>VLOOKUP(Клиенты[[#This Row],[GardenaChannel]],GardenChannel[[GardenChannel]:[Sales manager]],2,0)</f>
        <v>ШКИДИН РОМАН</v>
      </c>
      <c r="H88" s="27" t="s">
        <v>355</v>
      </c>
    </row>
    <row r="89" spans="1:8" x14ac:dyDescent="0.25">
      <c r="A89" s="32" t="s">
        <v>842</v>
      </c>
      <c r="B89" s="27" t="s">
        <v>355</v>
      </c>
      <c r="C89" s="54" t="s">
        <v>376</v>
      </c>
      <c r="D89" s="27" t="s">
        <v>272</v>
      </c>
      <c r="E89" s="27" t="s">
        <v>273</v>
      </c>
      <c r="F89" s="55" t="str">
        <f>VLOOKUP(Клиенты[[#This Row],[GardenaChannel]],GardenChannel[[GardenChannel]:[Sales manager]],2,0)</f>
        <v>ШКИДИН РОМАН</v>
      </c>
      <c r="H89" s="27" t="s">
        <v>355</v>
      </c>
    </row>
    <row r="90" spans="1:8" x14ac:dyDescent="0.25">
      <c r="A90" s="32" t="s">
        <v>843</v>
      </c>
      <c r="B90" s="27" t="s">
        <v>355</v>
      </c>
      <c r="C90" s="54" t="s">
        <v>377</v>
      </c>
      <c r="D90" s="27" t="s">
        <v>272</v>
      </c>
      <c r="E90" s="27" t="s">
        <v>273</v>
      </c>
      <c r="F90" s="55" t="str">
        <f>VLOOKUP(Клиенты[[#This Row],[GardenaChannel]],GardenChannel[[GardenChannel]:[Sales manager]],2,0)</f>
        <v>ШКИДИН РОМАН</v>
      </c>
      <c r="H90" s="27" t="s">
        <v>355</v>
      </c>
    </row>
    <row r="91" spans="1:8" x14ac:dyDescent="0.25">
      <c r="A91" s="32" t="s">
        <v>844</v>
      </c>
      <c r="B91" s="27" t="s">
        <v>355</v>
      </c>
      <c r="C91" s="54" t="s">
        <v>378</v>
      </c>
      <c r="D91" s="27" t="s">
        <v>272</v>
      </c>
      <c r="E91" s="27" t="s">
        <v>273</v>
      </c>
      <c r="F91" s="55" t="str">
        <f>VLOOKUP(Клиенты[[#This Row],[GardenaChannel]],GardenChannel[[GardenChannel]:[Sales manager]],2,0)</f>
        <v>ШКИДИН РОМАН</v>
      </c>
      <c r="H91" s="27" t="s">
        <v>355</v>
      </c>
    </row>
    <row r="92" spans="1:8" x14ac:dyDescent="0.25">
      <c r="A92" s="32" t="s">
        <v>845</v>
      </c>
      <c r="B92" s="27" t="s">
        <v>355</v>
      </c>
      <c r="C92" s="54" t="s">
        <v>379</v>
      </c>
      <c r="D92" s="27" t="s">
        <v>272</v>
      </c>
      <c r="E92" s="27" t="s">
        <v>286</v>
      </c>
      <c r="F92" s="55" t="str">
        <f>VLOOKUP(Клиенты[[#This Row],[GardenaChannel]],GardenChannel[[GardenChannel]:[Sales manager]],2,0)</f>
        <v>ШКИДИН РОМАН</v>
      </c>
      <c r="H92" s="27" t="s">
        <v>355</v>
      </c>
    </row>
    <row r="93" spans="1:8" x14ac:dyDescent="0.25">
      <c r="A93" s="32" t="s">
        <v>846</v>
      </c>
      <c r="B93" s="27" t="s">
        <v>355</v>
      </c>
      <c r="C93" s="54" t="s">
        <v>380</v>
      </c>
      <c r="D93" s="27" t="s">
        <v>272</v>
      </c>
      <c r="E93" s="27" t="s">
        <v>273</v>
      </c>
      <c r="F93" s="55" t="str">
        <f>VLOOKUP(Клиенты[[#This Row],[GardenaChannel]],GardenChannel[[GardenChannel]:[Sales manager]],2,0)</f>
        <v>ШКИДИН РОМАН</v>
      </c>
      <c r="H93" s="27" t="s">
        <v>355</v>
      </c>
    </row>
    <row r="94" spans="1:8" x14ac:dyDescent="0.25">
      <c r="A94" s="32" t="s">
        <v>847</v>
      </c>
      <c r="B94" s="27" t="s">
        <v>355</v>
      </c>
      <c r="C94" s="54" t="s">
        <v>381</v>
      </c>
      <c r="D94" s="27" t="s">
        <v>272</v>
      </c>
      <c r="E94" s="27" t="s">
        <v>273</v>
      </c>
      <c r="F94" s="55" t="str">
        <f>VLOOKUP(Клиенты[[#This Row],[GardenaChannel]],GardenChannel[[GardenChannel]:[Sales manager]],2,0)</f>
        <v>ШКИДИН РОМАН</v>
      </c>
      <c r="H94" s="27" t="s">
        <v>355</v>
      </c>
    </row>
    <row r="95" spans="1:8" x14ac:dyDescent="0.25">
      <c r="A95" s="32" t="s">
        <v>848</v>
      </c>
      <c r="B95" s="27" t="s">
        <v>355</v>
      </c>
      <c r="C95" s="54" t="s">
        <v>382</v>
      </c>
      <c r="D95" s="27" t="s">
        <v>272</v>
      </c>
      <c r="E95" s="27" t="s">
        <v>273</v>
      </c>
      <c r="F95" s="55" t="str">
        <f>VLOOKUP(Клиенты[[#This Row],[GardenaChannel]],GardenChannel[[GardenChannel]:[Sales manager]],2,0)</f>
        <v>ШКИДИН РОМАН</v>
      </c>
      <c r="H95" s="27" t="s">
        <v>355</v>
      </c>
    </row>
    <row r="96" spans="1:8" x14ac:dyDescent="0.25">
      <c r="A96" s="32" t="s">
        <v>849</v>
      </c>
      <c r="B96" s="27" t="s">
        <v>355</v>
      </c>
      <c r="C96" s="54" t="s">
        <v>383</v>
      </c>
      <c r="D96" s="27" t="s">
        <v>272</v>
      </c>
      <c r="E96" s="27" t="s">
        <v>273</v>
      </c>
      <c r="F96" s="55" t="str">
        <f>VLOOKUP(Клиенты[[#This Row],[GardenaChannel]],GardenChannel[[GardenChannel]:[Sales manager]],2,0)</f>
        <v>ШКИДИН РОМАН</v>
      </c>
      <c r="H96" s="27" t="s">
        <v>355</v>
      </c>
    </row>
    <row r="97" spans="1:8" x14ac:dyDescent="0.25">
      <c r="A97" s="32" t="s">
        <v>850</v>
      </c>
      <c r="B97" s="27" t="s">
        <v>355</v>
      </c>
      <c r="C97" s="54" t="s">
        <v>384</v>
      </c>
      <c r="D97" s="27" t="s">
        <v>272</v>
      </c>
      <c r="E97" s="27" t="s">
        <v>273</v>
      </c>
      <c r="F97" s="55" t="str">
        <f>VLOOKUP(Клиенты[[#This Row],[GardenaChannel]],GardenChannel[[GardenChannel]:[Sales manager]],2,0)</f>
        <v>ШКИДИН РОМАН</v>
      </c>
      <c r="H97" s="27" t="s">
        <v>355</v>
      </c>
    </row>
    <row r="98" spans="1:8" x14ac:dyDescent="0.25">
      <c r="A98" s="32" t="s">
        <v>851</v>
      </c>
      <c r="B98" s="27" t="s">
        <v>355</v>
      </c>
      <c r="C98" s="54" t="s">
        <v>385</v>
      </c>
      <c r="D98" s="27" t="s">
        <v>272</v>
      </c>
      <c r="E98" s="27" t="s">
        <v>286</v>
      </c>
      <c r="F98" s="55" t="str">
        <f>VLOOKUP(Клиенты[[#This Row],[GardenaChannel]],GardenChannel[[GardenChannel]:[Sales manager]],2,0)</f>
        <v>ШКИДИН РОМАН</v>
      </c>
      <c r="H98" s="27" t="s">
        <v>355</v>
      </c>
    </row>
    <row r="99" spans="1:8" x14ac:dyDescent="0.25">
      <c r="A99" s="32" t="s">
        <v>852</v>
      </c>
      <c r="B99" s="27" t="s">
        <v>355</v>
      </c>
      <c r="C99" s="54" t="s">
        <v>386</v>
      </c>
      <c r="D99" s="27" t="s">
        <v>272</v>
      </c>
      <c r="E99" s="27" t="s">
        <v>273</v>
      </c>
      <c r="F99" s="55" t="str">
        <f>VLOOKUP(Клиенты[[#This Row],[GardenaChannel]],GardenChannel[[GardenChannel]:[Sales manager]],2,0)</f>
        <v>ШКИДИН РОМАН</v>
      </c>
      <c r="H99" s="27" t="s">
        <v>355</v>
      </c>
    </row>
    <row r="100" spans="1:8" x14ac:dyDescent="0.25">
      <c r="A100" s="32" t="s">
        <v>853</v>
      </c>
      <c r="B100" s="27" t="s">
        <v>355</v>
      </c>
      <c r="C100" s="54" t="s">
        <v>387</v>
      </c>
      <c r="D100" s="27" t="s">
        <v>272</v>
      </c>
      <c r="E100" s="27" t="s">
        <v>273</v>
      </c>
      <c r="F100" s="55" t="str">
        <f>VLOOKUP(Клиенты[[#This Row],[GardenaChannel]],GardenChannel[[GardenChannel]:[Sales manager]],2,0)</f>
        <v>ШКИДИН РОМАН</v>
      </c>
      <c r="H100" s="27" t="s">
        <v>355</v>
      </c>
    </row>
    <row r="101" spans="1:8" x14ac:dyDescent="0.25">
      <c r="A101" s="32" t="s">
        <v>854</v>
      </c>
      <c r="B101" s="27" t="s">
        <v>355</v>
      </c>
      <c r="C101" s="54" t="s">
        <v>388</v>
      </c>
      <c r="D101" s="27" t="s">
        <v>272</v>
      </c>
      <c r="E101" s="27" t="s">
        <v>286</v>
      </c>
      <c r="F101" s="55" t="str">
        <f>VLOOKUP(Клиенты[[#This Row],[GardenaChannel]],GardenChannel[[GardenChannel]:[Sales manager]],2,0)</f>
        <v>ШКИДИН РОМАН</v>
      </c>
      <c r="H101" s="27" t="s">
        <v>355</v>
      </c>
    </row>
    <row r="102" spans="1:8" x14ac:dyDescent="0.25">
      <c r="A102" s="32" t="s">
        <v>855</v>
      </c>
      <c r="B102" s="27" t="s">
        <v>355</v>
      </c>
      <c r="C102" s="54" t="s">
        <v>389</v>
      </c>
      <c r="D102" s="27" t="s">
        <v>272</v>
      </c>
      <c r="E102" s="27" t="s">
        <v>286</v>
      </c>
      <c r="F102" s="55" t="str">
        <f>VLOOKUP(Клиенты[[#This Row],[GardenaChannel]],GardenChannel[[GardenChannel]:[Sales manager]],2,0)</f>
        <v>ШКИДИН РОМАН</v>
      </c>
      <c r="H102" s="27" t="s">
        <v>355</v>
      </c>
    </row>
    <row r="103" spans="1:8" x14ac:dyDescent="0.25">
      <c r="A103" s="32" t="s">
        <v>856</v>
      </c>
      <c r="B103" s="27" t="s">
        <v>355</v>
      </c>
      <c r="C103" s="54" t="s">
        <v>390</v>
      </c>
      <c r="D103" s="27" t="s">
        <v>272</v>
      </c>
      <c r="E103" s="27" t="s">
        <v>286</v>
      </c>
      <c r="F103" s="55" t="str">
        <f>VLOOKUP(Клиенты[[#This Row],[GardenaChannel]],GardenChannel[[GardenChannel]:[Sales manager]],2,0)</f>
        <v>ШКИДИН РОМАН</v>
      </c>
      <c r="H103" s="27" t="s">
        <v>355</v>
      </c>
    </row>
    <row r="104" spans="1:8" x14ac:dyDescent="0.25">
      <c r="A104" s="32" t="s">
        <v>857</v>
      </c>
      <c r="B104" s="27" t="s">
        <v>355</v>
      </c>
      <c r="C104" s="54" t="s">
        <v>391</v>
      </c>
      <c r="D104" s="27" t="s">
        <v>272</v>
      </c>
      <c r="E104" s="27" t="s">
        <v>273</v>
      </c>
      <c r="F104" s="55" t="str">
        <f>VLOOKUP(Клиенты[[#This Row],[GardenaChannel]],GardenChannel[[GardenChannel]:[Sales manager]],2,0)</f>
        <v>ШКИДИН РОМАН</v>
      </c>
      <c r="H104" s="27" t="s">
        <v>355</v>
      </c>
    </row>
    <row r="105" spans="1:8" x14ac:dyDescent="0.25">
      <c r="A105" s="32" t="s">
        <v>858</v>
      </c>
      <c r="B105" s="27" t="s">
        <v>355</v>
      </c>
      <c r="C105" s="54" t="s">
        <v>392</v>
      </c>
      <c r="D105" s="27" t="s">
        <v>272</v>
      </c>
      <c r="E105" s="27" t="s">
        <v>273</v>
      </c>
      <c r="F105" s="55" t="str">
        <f>VLOOKUP(Клиенты[[#This Row],[GardenaChannel]],GardenChannel[[GardenChannel]:[Sales manager]],2,0)</f>
        <v>ШКИДИН РОМАН</v>
      </c>
      <c r="H105" s="27" t="s">
        <v>355</v>
      </c>
    </row>
    <row r="106" spans="1:8" x14ac:dyDescent="0.25">
      <c r="A106" s="32" t="s">
        <v>859</v>
      </c>
      <c r="B106" s="27" t="s">
        <v>355</v>
      </c>
      <c r="C106" s="54" t="s">
        <v>393</v>
      </c>
      <c r="D106" s="27" t="s">
        <v>272</v>
      </c>
      <c r="E106" s="27" t="s">
        <v>273</v>
      </c>
      <c r="F106" s="55" t="str">
        <f>VLOOKUP(Клиенты[[#This Row],[GardenaChannel]],GardenChannel[[GardenChannel]:[Sales manager]],2,0)</f>
        <v>ШКИДИН РОМАН</v>
      </c>
      <c r="H106" s="27" t="s">
        <v>355</v>
      </c>
    </row>
    <row r="107" spans="1:8" x14ac:dyDescent="0.25">
      <c r="A107" s="32" t="s">
        <v>860</v>
      </c>
      <c r="B107" s="27" t="s">
        <v>355</v>
      </c>
      <c r="C107" s="54" t="s">
        <v>394</v>
      </c>
      <c r="D107" s="27" t="s">
        <v>272</v>
      </c>
      <c r="E107" s="27" t="s">
        <v>273</v>
      </c>
      <c r="F107" s="55" t="str">
        <f>VLOOKUP(Клиенты[[#This Row],[GardenaChannel]],GardenChannel[[GardenChannel]:[Sales manager]],2,0)</f>
        <v>ШКИДИН РОМАН</v>
      </c>
      <c r="H107" s="27" t="s">
        <v>355</v>
      </c>
    </row>
    <row r="108" spans="1:8" x14ac:dyDescent="0.25">
      <c r="A108" s="32" t="s">
        <v>861</v>
      </c>
      <c r="B108" s="27" t="s">
        <v>355</v>
      </c>
      <c r="C108" s="54" t="s">
        <v>395</v>
      </c>
      <c r="D108" s="27" t="s">
        <v>272</v>
      </c>
      <c r="E108" s="27" t="s">
        <v>273</v>
      </c>
      <c r="F108" s="55" t="str">
        <f>VLOOKUP(Клиенты[[#This Row],[GardenaChannel]],GardenChannel[[GardenChannel]:[Sales manager]],2,0)</f>
        <v>ШКИДИН РОМАН</v>
      </c>
      <c r="H108" s="27" t="s">
        <v>355</v>
      </c>
    </row>
    <row r="109" spans="1:8" x14ac:dyDescent="0.25">
      <c r="A109" s="32" t="s">
        <v>862</v>
      </c>
      <c r="B109" s="27" t="s">
        <v>355</v>
      </c>
      <c r="C109" s="54" t="s">
        <v>396</v>
      </c>
      <c r="D109" s="27" t="s">
        <v>272</v>
      </c>
      <c r="E109" s="27" t="s">
        <v>273</v>
      </c>
      <c r="F109" s="55" t="str">
        <f>VLOOKUP(Клиенты[[#This Row],[GardenaChannel]],GardenChannel[[GardenChannel]:[Sales manager]],2,0)</f>
        <v>ШКИДИН РОМАН</v>
      </c>
      <c r="H109" s="27" t="s">
        <v>355</v>
      </c>
    </row>
    <row r="110" spans="1:8" x14ac:dyDescent="0.25">
      <c r="A110" s="32" t="s">
        <v>863</v>
      </c>
      <c r="B110" s="27" t="s">
        <v>355</v>
      </c>
      <c r="C110" s="54" t="s">
        <v>397</v>
      </c>
      <c r="D110" s="27" t="s">
        <v>272</v>
      </c>
      <c r="E110" s="27" t="s">
        <v>273</v>
      </c>
      <c r="F110" s="55" t="str">
        <f>VLOOKUP(Клиенты[[#This Row],[GardenaChannel]],GardenChannel[[GardenChannel]:[Sales manager]],2,0)</f>
        <v>ШКИДИН РОМАН</v>
      </c>
      <c r="H110" s="27" t="s">
        <v>355</v>
      </c>
    </row>
    <row r="111" spans="1:8" x14ac:dyDescent="0.25">
      <c r="A111" s="32" t="s">
        <v>864</v>
      </c>
      <c r="B111" s="27" t="s">
        <v>355</v>
      </c>
      <c r="C111" s="54" t="s">
        <v>398</v>
      </c>
      <c r="D111" s="27" t="s">
        <v>272</v>
      </c>
      <c r="E111" s="27" t="s">
        <v>273</v>
      </c>
      <c r="F111" s="55" t="str">
        <f>VLOOKUP(Клиенты[[#This Row],[GardenaChannel]],GardenChannel[[GardenChannel]:[Sales manager]],2,0)</f>
        <v>ШКИДИН РОМАН</v>
      </c>
      <c r="H111" s="27" t="s">
        <v>355</v>
      </c>
    </row>
    <row r="112" spans="1:8" x14ac:dyDescent="0.25">
      <c r="A112" s="32" t="s">
        <v>865</v>
      </c>
      <c r="B112" s="27" t="s">
        <v>355</v>
      </c>
      <c r="C112" s="54" t="s">
        <v>399</v>
      </c>
      <c r="D112" s="27" t="s">
        <v>272</v>
      </c>
      <c r="E112" s="27" t="s">
        <v>273</v>
      </c>
      <c r="F112" s="55" t="str">
        <f>VLOOKUP(Клиенты[[#This Row],[GardenaChannel]],GardenChannel[[GardenChannel]:[Sales manager]],2,0)</f>
        <v>ШКИДИН РОМАН</v>
      </c>
      <c r="H112" s="27" t="s">
        <v>355</v>
      </c>
    </row>
    <row r="113" spans="1:8" x14ac:dyDescent="0.25">
      <c r="A113" s="32" t="s">
        <v>866</v>
      </c>
      <c r="B113" s="27" t="s">
        <v>355</v>
      </c>
      <c r="C113" s="54" t="s">
        <v>400</v>
      </c>
      <c r="D113" s="27" t="s">
        <v>272</v>
      </c>
      <c r="E113" s="27" t="s">
        <v>273</v>
      </c>
      <c r="F113" s="55" t="str">
        <f>VLOOKUP(Клиенты[[#This Row],[GardenaChannel]],GardenChannel[[GardenChannel]:[Sales manager]],2,0)</f>
        <v>ШКИДИН РОМАН</v>
      </c>
      <c r="H113" s="27" t="s">
        <v>355</v>
      </c>
    </row>
    <row r="114" spans="1:8" x14ac:dyDescent="0.25">
      <c r="A114" s="32" t="s">
        <v>867</v>
      </c>
      <c r="B114" s="27" t="s">
        <v>355</v>
      </c>
      <c r="C114" s="54" t="s">
        <v>401</v>
      </c>
      <c r="D114" s="27" t="s">
        <v>272</v>
      </c>
      <c r="E114" s="27" t="s">
        <v>273</v>
      </c>
      <c r="F114" s="55" t="str">
        <f>VLOOKUP(Клиенты[[#This Row],[GardenaChannel]],GardenChannel[[GardenChannel]:[Sales manager]],2,0)</f>
        <v>ШКИДИН РОМАН</v>
      </c>
      <c r="H114" s="27" t="s">
        <v>355</v>
      </c>
    </row>
    <row r="115" spans="1:8" x14ac:dyDescent="0.25">
      <c r="A115" s="32" t="s">
        <v>868</v>
      </c>
      <c r="B115" s="27" t="s">
        <v>355</v>
      </c>
      <c r="C115" s="54" t="s">
        <v>402</v>
      </c>
      <c r="D115" s="27" t="s">
        <v>272</v>
      </c>
      <c r="E115" s="27" t="s">
        <v>273</v>
      </c>
      <c r="F115" s="55" t="str">
        <f>VLOOKUP(Клиенты[[#This Row],[GardenaChannel]],GardenChannel[[GardenChannel]:[Sales manager]],2,0)</f>
        <v>ШКИДИН РОМАН</v>
      </c>
      <c r="H115" s="27" t="s">
        <v>355</v>
      </c>
    </row>
    <row r="116" spans="1:8" x14ac:dyDescent="0.25">
      <c r="A116" s="32" t="s">
        <v>869</v>
      </c>
      <c r="B116" s="27" t="s">
        <v>355</v>
      </c>
      <c r="C116" s="54" t="s">
        <v>403</v>
      </c>
      <c r="D116" s="27" t="s">
        <v>272</v>
      </c>
      <c r="E116" s="27" t="s">
        <v>273</v>
      </c>
      <c r="F116" s="55" t="str">
        <f>VLOOKUP(Клиенты[[#This Row],[GardenaChannel]],GardenChannel[[GardenChannel]:[Sales manager]],2,0)</f>
        <v>ШКИДИН РОМАН</v>
      </c>
      <c r="H116" s="27" t="s">
        <v>355</v>
      </c>
    </row>
    <row r="117" spans="1:8" x14ac:dyDescent="0.25">
      <c r="A117" s="32" t="s">
        <v>870</v>
      </c>
      <c r="B117" s="27" t="s">
        <v>355</v>
      </c>
      <c r="C117" s="54" t="s">
        <v>404</v>
      </c>
      <c r="D117" s="27" t="s">
        <v>272</v>
      </c>
      <c r="E117" s="27" t="s">
        <v>273</v>
      </c>
      <c r="F117" s="55" t="str">
        <f>VLOOKUP(Клиенты[[#This Row],[GardenaChannel]],GardenChannel[[GardenChannel]:[Sales manager]],2,0)</f>
        <v>ШКИДИН РОМАН</v>
      </c>
      <c r="H117" s="27" t="s">
        <v>355</v>
      </c>
    </row>
    <row r="118" spans="1:8" x14ac:dyDescent="0.25">
      <c r="A118" s="32" t="s">
        <v>871</v>
      </c>
      <c r="B118" s="27" t="s">
        <v>355</v>
      </c>
      <c r="C118" s="54" t="s">
        <v>405</v>
      </c>
      <c r="D118" s="27" t="s">
        <v>272</v>
      </c>
      <c r="E118" s="27" t="s">
        <v>273</v>
      </c>
      <c r="F118" s="55" t="str">
        <f>VLOOKUP(Клиенты[[#This Row],[GardenaChannel]],GardenChannel[[GardenChannel]:[Sales manager]],2,0)</f>
        <v>ШКИДИН РОМАН</v>
      </c>
      <c r="H118" s="27" t="s">
        <v>355</v>
      </c>
    </row>
    <row r="119" spans="1:8" x14ac:dyDescent="0.25">
      <c r="A119" s="32" t="s">
        <v>872</v>
      </c>
      <c r="B119" s="27" t="s">
        <v>355</v>
      </c>
      <c r="C119" s="54" t="s">
        <v>406</v>
      </c>
      <c r="D119" s="27" t="s">
        <v>272</v>
      </c>
      <c r="E119" s="27" t="s">
        <v>273</v>
      </c>
      <c r="F119" s="55" t="str">
        <f>VLOOKUP(Клиенты[[#This Row],[GardenaChannel]],GardenChannel[[GardenChannel]:[Sales manager]],2,0)</f>
        <v>ШКИДИН РОМАН</v>
      </c>
      <c r="H119" s="27" t="s">
        <v>355</v>
      </c>
    </row>
    <row r="120" spans="1:8" x14ac:dyDescent="0.25">
      <c r="A120" s="32" t="s">
        <v>873</v>
      </c>
      <c r="B120" s="27" t="s">
        <v>355</v>
      </c>
      <c r="C120" s="54" t="s">
        <v>407</v>
      </c>
      <c r="D120" s="27" t="s">
        <v>272</v>
      </c>
      <c r="E120" s="27" t="s">
        <v>273</v>
      </c>
      <c r="F120" s="55" t="str">
        <f>VLOOKUP(Клиенты[[#This Row],[GardenaChannel]],GardenChannel[[GardenChannel]:[Sales manager]],2,0)</f>
        <v>ШКИДИН РОМАН</v>
      </c>
      <c r="H120" s="27" t="s">
        <v>355</v>
      </c>
    </row>
    <row r="121" spans="1:8" x14ac:dyDescent="0.25">
      <c r="A121" s="32" t="s">
        <v>874</v>
      </c>
      <c r="B121" s="27" t="s">
        <v>355</v>
      </c>
      <c r="C121" s="54" t="s">
        <v>408</v>
      </c>
      <c r="D121" s="27" t="s">
        <v>272</v>
      </c>
      <c r="E121" s="27" t="s">
        <v>273</v>
      </c>
      <c r="F121" s="55" t="str">
        <f>VLOOKUP(Клиенты[[#This Row],[GardenaChannel]],GardenChannel[[GardenChannel]:[Sales manager]],2,0)</f>
        <v>ШКИДИН РОМАН</v>
      </c>
      <c r="H121" s="27" t="s">
        <v>355</v>
      </c>
    </row>
    <row r="122" spans="1:8" x14ac:dyDescent="0.25">
      <c r="A122" s="32" t="s">
        <v>875</v>
      </c>
      <c r="B122" s="27" t="s">
        <v>355</v>
      </c>
      <c r="C122" s="54" t="s">
        <v>409</v>
      </c>
      <c r="D122" s="27" t="s">
        <v>272</v>
      </c>
      <c r="E122" s="27" t="s">
        <v>273</v>
      </c>
      <c r="F122" s="55" t="str">
        <f>VLOOKUP(Клиенты[[#This Row],[GardenaChannel]],GardenChannel[[GardenChannel]:[Sales manager]],2,0)</f>
        <v>ШКИДИН РОМАН</v>
      </c>
      <c r="H122" s="27" t="s">
        <v>355</v>
      </c>
    </row>
    <row r="123" spans="1:8" x14ac:dyDescent="0.25">
      <c r="A123" s="32" t="s">
        <v>876</v>
      </c>
      <c r="B123" s="27" t="s">
        <v>355</v>
      </c>
      <c r="C123" s="54" t="s">
        <v>410</v>
      </c>
      <c r="D123" s="27" t="s">
        <v>272</v>
      </c>
      <c r="E123" s="27" t="s">
        <v>273</v>
      </c>
      <c r="F123" s="55" t="str">
        <f>VLOOKUP(Клиенты[[#This Row],[GardenaChannel]],GardenChannel[[GardenChannel]:[Sales manager]],2,0)</f>
        <v>ШКИДИН РОМАН</v>
      </c>
      <c r="H123" s="27" t="s">
        <v>355</v>
      </c>
    </row>
    <row r="124" spans="1:8" x14ac:dyDescent="0.25">
      <c r="A124" s="32" t="s">
        <v>877</v>
      </c>
      <c r="B124" s="27" t="s">
        <v>355</v>
      </c>
      <c r="C124" s="54" t="s">
        <v>411</v>
      </c>
      <c r="D124" s="27" t="s">
        <v>272</v>
      </c>
      <c r="E124" s="27" t="s">
        <v>273</v>
      </c>
      <c r="F124" s="55" t="str">
        <f>VLOOKUP(Клиенты[[#This Row],[GardenaChannel]],GardenChannel[[GardenChannel]:[Sales manager]],2,0)</f>
        <v>ШКИДИН РОМАН</v>
      </c>
      <c r="H124" s="27" t="s">
        <v>355</v>
      </c>
    </row>
    <row r="125" spans="1:8" x14ac:dyDescent="0.25">
      <c r="A125" s="32" t="s">
        <v>878</v>
      </c>
      <c r="B125" s="27" t="s">
        <v>355</v>
      </c>
      <c r="C125" s="54" t="s">
        <v>412</v>
      </c>
      <c r="D125" s="27" t="s">
        <v>272</v>
      </c>
      <c r="E125" s="27" t="s">
        <v>273</v>
      </c>
      <c r="F125" s="55" t="str">
        <f>VLOOKUP(Клиенты[[#This Row],[GardenaChannel]],GardenChannel[[GardenChannel]:[Sales manager]],2,0)</f>
        <v>ШКИДИН РОМАН</v>
      </c>
      <c r="H125" s="27" t="s">
        <v>355</v>
      </c>
    </row>
    <row r="126" spans="1:8" x14ac:dyDescent="0.25">
      <c r="A126" s="32" t="s">
        <v>879</v>
      </c>
      <c r="B126" s="27" t="s">
        <v>355</v>
      </c>
      <c r="C126" s="54" t="s">
        <v>413</v>
      </c>
      <c r="D126" s="27" t="s">
        <v>272</v>
      </c>
      <c r="E126" s="27" t="s">
        <v>273</v>
      </c>
      <c r="F126" s="55" t="str">
        <f>VLOOKUP(Клиенты[[#This Row],[GardenaChannel]],GardenChannel[[GardenChannel]:[Sales manager]],2,0)</f>
        <v>ШКИДИН РОМАН</v>
      </c>
      <c r="H126" s="27" t="s">
        <v>355</v>
      </c>
    </row>
    <row r="127" spans="1:8" x14ac:dyDescent="0.25">
      <c r="A127" s="32" t="s">
        <v>880</v>
      </c>
      <c r="B127" s="27" t="s">
        <v>355</v>
      </c>
      <c r="C127" s="54" t="s">
        <v>414</v>
      </c>
      <c r="D127" s="27" t="s">
        <v>272</v>
      </c>
      <c r="E127" s="27" t="s">
        <v>273</v>
      </c>
      <c r="F127" s="55" t="str">
        <f>VLOOKUP(Клиенты[[#This Row],[GardenaChannel]],GardenChannel[[GardenChannel]:[Sales manager]],2,0)</f>
        <v>ШКИДИН РОМАН</v>
      </c>
      <c r="H127" s="27" t="s">
        <v>355</v>
      </c>
    </row>
    <row r="128" spans="1:8" x14ac:dyDescent="0.25">
      <c r="A128" s="32" t="s">
        <v>881</v>
      </c>
      <c r="B128" s="27" t="s">
        <v>355</v>
      </c>
      <c r="C128" s="54" t="s">
        <v>415</v>
      </c>
      <c r="D128" s="27" t="s">
        <v>272</v>
      </c>
      <c r="E128" s="27" t="s">
        <v>273</v>
      </c>
      <c r="F128" s="55" t="str">
        <f>VLOOKUP(Клиенты[[#This Row],[GardenaChannel]],GardenChannel[[GardenChannel]:[Sales manager]],2,0)</f>
        <v>ШКИДИН РОМАН</v>
      </c>
      <c r="H128" s="27" t="s">
        <v>355</v>
      </c>
    </row>
    <row r="129" spans="1:8" x14ac:dyDescent="0.25">
      <c r="A129" s="32" t="s">
        <v>882</v>
      </c>
      <c r="B129" s="27" t="s">
        <v>355</v>
      </c>
      <c r="C129" s="54" t="s">
        <v>416</v>
      </c>
      <c r="D129" s="27" t="s">
        <v>272</v>
      </c>
      <c r="E129" s="27" t="s">
        <v>273</v>
      </c>
      <c r="F129" s="55" t="str">
        <f>VLOOKUP(Клиенты[[#This Row],[GardenaChannel]],GardenChannel[[GardenChannel]:[Sales manager]],2,0)</f>
        <v>ШКИДИН РОМАН</v>
      </c>
      <c r="H129" s="27" t="s">
        <v>355</v>
      </c>
    </row>
    <row r="130" spans="1:8" x14ac:dyDescent="0.25">
      <c r="A130" s="32" t="s">
        <v>883</v>
      </c>
      <c r="B130" s="27" t="s">
        <v>355</v>
      </c>
      <c r="C130" s="54" t="s">
        <v>417</v>
      </c>
      <c r="D130" s="27" t="s">
        <v>272</v>
      </c>
      <c r="E130" s="27" t="s">
        <v>273</v>
      </c>
      <c r="F130" s="55" t="str">
        <f>VLOOKUP(Клиенты[[#This Row],[GardenaChannel]],GardenChannel[[GardenChannel]:[Sales manager]],2,0)</f>
        <v>ШКИДИН РОМАН</v>
      </c>
      <c r="H130" s="27" t="s">
        <v>355</v>
      </c>
    </row>
    <row r="131" spans="1:8" x14ac:dyDescent="0.25">
      <c r="A131" s="32" t="s">
        <v>884</v>
      </c>
      <c r="B131" s="27" t="s">
        <v>355</v>
      </c>
      <c r="C131" s="54" t="s">
        <v>418</v>
      </c>
      <c r="D131" s="27" t="s">
        <v>272</v>
      </c>
      <c r="E131" s="27" t="s">
        <v>273</v>
      </c>
      <c r="F131" s="55" t="str">
        <f>VLOOKUP(Клиенты[[#This Row],[GardenaChannel]],GardenChannel[[GardenChannel]:[Sales manager]],2,0)</f>
        <v>ШКИДИН РОМАН</v>
      </c>
      <c r="H131" s="27" t="s">
        <v>355</v>
      </c>
    </row>
    <row r="132" spans="1:8" x14ac:dyDescent="0.25">
      <c r="A132" s="32" t="s">
        <v>885</v>
      </c>
      <c r="B132" s="27" t="s">
        <v>355</v>
      </c>
      <c r="C132" s="54" t="s">
        <v>419</v>
      </c>
      <c r="D132" s="27" t="s">
        <v>272</v>
      </c>
      <c r="E132" s="27" t="s">
        <v>286</v>
      </c>
      <c r="F132" s="55" t="str">
        <f>VLOOKUP(Клиенты[[#This Row],[GardenaChannel]],GardenChannel[[GardenChannel]:[Sales manager]],2,0)</f>
        <v>ШКИДИН РОМАН</v>
      </c>
      <c r="H132" s="27" t="s">
        <v>355</v>
      </c>
    </row>
    <row r="133" spans="1:8" x14ac:dyDescent="0.25">
      <c r="A133" s="32" t="s">
        <v>886</v>
      </c>
      <c r="B133" s="27" t="s">
        <v>355</v>
      </c>
      <c r="C133" s="54" t="s">
        <v>420</v>
      </c>
      <c r="D133" s="27" t="s">
        <v>272</v>
      </c>
      <c r="E133" s="27" t="s">
        <v>273</v>
      </c>
      <c r="F133" s="55" t="str">
        <f>VLOOKUP(Клиенты[[#This Row],[GardenaChannel]],GardenChannel[[GardenChannel]:[Sales manager]],2,0)</f>
        <v>ШКИДИН РОМАН</v>
      </c>
      <c r="H133" s="27" t="s">
        <v>355</v>
      </c>
    </row>
    <row r="134" spans="1:8" x14ac:dyDescent="0.25">
      <c r="A134" s="32" t="s">
        <v>887</v>
      </c>
      <c r="B134" s="27" t="s">
        <v>355</v>
      </c>
      <c r="C134" s="54" t="s">
        <v>421</v>
      </c>
      <c r="D134" s="27" t="s">
        <v>272</v>
      </c>
      <c r="E134" s="27" t="s">
        <v>273</v>
      </c>
      <c r="F134" s="55" t="str">
        <f>VLOOKUP(Клиенты[[#This Row],[GardenaChannel]],GardenChannel[[GardenChannel]:[Sales manager]],2,0)</f>
        <v>ШКИДИН РОМАН</v>
      </c>
      <c r="H134" s="27" t="s">
        <v>355</v>
      </c>
    </row>
    <row r="135" spans="1:8" x14ac:dyDescent="0.25">
      <c r="A135" s="32" t="s">
        <v>888</v>
      </c>
      <c r="B135" s="27" t="s">
        <v>355</v>
      </c>
      <c r="C135" s="54" t="s">
        <v>422</v>
      </c>
      <c r="D135" s="27" t="s">
        <v>272</v>
      </c>
      <c r="E135" s="27" t="s">
        <v>286</v>
      </c>
      <c r="F135" s="55" t="str">
        <f>VLOOKUP(Клиенты[[#This Row],[GardenaChannel]],GardenChannel[[GardenChannel]:[Sales manager]],2,0)</f>
        <v>ШКИДИН РОМАН</v>
      </c>
      <c r="H135" s="27" t="s">
        <v>355</v>
      </c>
    </row>
    <row r="136" spans="1:8" x14ac:dyDescent="0.25">
      <c r="A136" s="32" t="s">
        <v>889</v>
      </c>
      <c r="B136" s="27" t="s">
        <v>355</v>
      </c>
      <c r="C136" s="54" t="s">
        <v>423</v>
      </c>
      <c r="D136" s="27" t="s">
        <v>272</v>
      </c>
      <c r="E136" s="27" t="s">
        <v>273</v>
      </c>
      <c r="F136" s="55" t="str">
        <f>VLOOKUP(Клиенты[[#This Row],[GardenaChannel]],GardenChannel[[GardenChannel]:[Sales manager]],2,0)</f>
        <v>ШКИДИН РОМАН</v>
      </c>
      <c r="H136" s="27" t="s">
        <v>355</v>
      </c>
    </row>
    <row r="137" spans="1:8" x14ac:dyDescent="0.25">
      <c r="A137" s="32" t="s">
        <v>890</v>
      </c>
      <c r="B137" s="27" t="s">
        <v>355</v>
      </c>
      <c r="C137" s="54" t="s">
        <v>424</v>
      </c>
      <c r="D137" s="27" t="s">
        <v>272</v>
      </c>
      <c r="E137" s="27" t="s">
        <v>286</v>
      </c>
      <c r="F137" s="55" t="str">
        <f>VLOOKUP(Клиенты[[#This Row],[GardenaChannel]],GardenChannel[[GardenChannel]:[Sales manager]],2,0)</f>
        <v>ШКИДИН РОМАН</v>
      </c>
      <c r="H137" s="27" t="s">
        <v>355</v>
      </c>
    </row>
    <row r="138" spans="1:8" x14ac:dyDescent="0.25">
      <c r="A138" s="32" t="s">
        <v>891</v>
      </c>
      <c r="B138" s="27" t="s">
        <v>355</v>
      </c>
      <c r="C138" s="54" t="s">
        <v>425</v>
      </c>
      <c r="D138" s="27" t="s">
        <v>272</v>
      </c>
      <c r="E138" s="27" t="s">
        <v>273</v>
      </c>
      <c r="F138" s="55" t="str">
        <f>VLOOKUP(Клиенты[[#This Row],[GardenaChannel]],GardenChannel[[GardenChannel]:[Sales manager]],2,0)</f>
        <v>ШКИДИН РОМАН</v>
      </c>
      <c r="H138" s="27" t="s">
        <v>355</v>
      </c>
    </row>
    <row r="139" spans="1:8" x14ac:dyDescent="0.25">
      <c r="A139" s="32" t="s">
        <v>892</v>
      </c>
      <c r="B139" s="27" t="s">
        <v>355</v>
      </c>
      <c r="C139" s="54" t="s">
        <v>426</v>
      </c>
      <c r="D139" s="27" t="s">
        <v>272</v>
      </c>
      <c r="E139" s="27" t="s">
        <v>273</v>
      </c>
      <c r="F139" s="55" t="str">
        <f>VLOOKUP(Клиенты[[#This Row],[GardenaChannel]],GardenChannel[[GardenChannel]:[Sales manager]],2,0)</f>
        <v>ШКИДИН РОМАН</v>
      </c>
      <c r="H139" s="27" t="s">
        <v>355</v>
      </c>
    </row>
    <row r="140" spans="1:8" x14ac:dyDescent="0.25">
      <c r="A140" s="32" t="s">
        <v>893</v>
      </c>
      <c r="B140" s="27" t="s">
        <v>427</v>
      </c>
      <c r="C140" s="54" t="s">
        <v>428</v>
      </c>
      <c r="D140" s="27" t="s">
        <v>261</v>
      </c>
      <c r="E140" s="27" t="s">
        <v>429</v>
      </c>
      <c r="F140" s="55" t="str">
        <f>VLOOKUP(Клиенты[[#This Row],[GardenaChannel]],GardenChannel[[GardenChannel]:[Sales manager]],2,0)</f>
        <v>МОНАСТЫРСКИЙ МИХАИЛ</v>
      </c>
      <c r="G140" s="27" t="s">
        <v>431</v>
      </c>
    </row>
    <row r="141" spans="1:8" x14ac:dyDescent="0.25">
      <c r="A141" s="32" t="s">
        <v>894</v>
      </c>
      <c r="B141" s="27" t="s">
        <v>427</v>
      </c>
      <c r="C141" s="54" t="s">
        <v>432</v>
      </c>
      <c r="D141" s="27" t="s">
        <v>261</v>
      </c>
      <c r="E141" s="27" t="s">
        <v>429</v>
      </c>
      <c r="F141" s="55" t="str">
        <f>VLOOKUP(Клиенты[[#This Row],[GardenaChannel]],GardenChannel[[GardenChannel]:[Sales manager]],2,0)</f>
        <v>МОНАСТЫРСКИЙ МИХАИЛ</v>
      </c>
      <c r="G141" s="27" t="s">
        <v>431</v>
      </c>
    </row>
    <row r="142" spans="1:8" x14ac:dyDescent="0.25">
      <c r="A142" s="32" t="s">
        <v>895</v>
      </c>
      <c r="B142" s="27" t="s">
        <v>433</v>
      </c>
      <c r="C142" s="54" t="s">
        <v>434</v>
      </c>
      <c r="D142" s="27" t="s">
        <v>272</v>
      </c>
      <c r="E142" s="27" t="s">
        <v>310</v>
      </c>
      <c r="F142" s="55" t="str">
        <f>VLOOKUP(Клиенты[[#This Row],[GardenaChannel]],GardenChannel[[GardenChannel]:[Sales manager]],2,0)</f>
        <v>ПОЛУНОВ ДМИТРИЙ</v>
      </c>
      <c r="H142" s="27" t="s">
        <v>433</v>
      </c>
    </row>
    <row r="143" spans="1:8" x14ac:dyDescent="0.25">
      <c r="A143" s="32" t="s">
        <v>896</v>
      </c>
      <c r="B143" s="27" t="s">
        <v>433</v>
      </c>
      <c r="C143" s="54" t="s">
        <v>436</v>
      </c>
      <c r="D143" s="27" t="s">
        <v>272</v>
      </c>
      <c r="E143" s="27" t="s">
        <v>437</v>
      </c>
      <c r="F143" s="55" t="str">
        <f>VLOOKUP(Клиенты[[#This Row],[GardenaChannel]],GardenChannel[[GardenChannel]:[Sales manager]],2,0)</f>
        <v>ПОЛУНОВ ДМИТРИЙ</v>
      </c>
      <c r="G143" s="27" t="s">
        <v>438</v>
      </c>
      <c r="H143" s="27" t="s">
        <v>433</v>
      </c>
    </row>
    <row r="144" spans="1:8" x14ac:dyDescent="0.25">
      <c r="A144" s="32" t="s">
        <v>897</v>
      </c>
      <c r="B144" s="27" t="s">
        <v>439</v>
      </c>
      <c r="C144" s="54" t="s">
        <v>440</v>
      </c>
      <c r="D144" s="27" t="s">
        <v>441</v>
      </c>
      <c r="E144" s="27" t="s">
        <v>441</v>
      </c>
      <c r="F144" s="55" t="str">
        <f>VLOOKUP(Клиенты[[#This Row],[GardenaChannel]],GardenChannel[[GardenChannel]:[Sales manager]],2,0)</f>
        <v>ВЕЛИКОПОЛЬСКИЙ ВЛАДИСЛАВ</v>
      </c>
      <c r="H144" s="27" t="s">
        <v>439</v>
      </c>
    </row>
    <row r="145" spans="1:8" x14ac:dyDescent="0.25">
      <c r="A145" s="32" t="s">
        <v>898</v>
      </c>
      <c r="B145" s="27" t="s">
        <v>439</v>
      </c>
      <c r="C145" s="54" t="s">
        <v>443</v>
      </c>
      <c r="D145" s="27" t="s">
        <v>441</v>
      </c>
      <c r="E145" s="27" t="s">
        <v>441</v>
      </c>
      <c r="F145" s="55" t="str">
        <f>VLOOKUP(Клиенты[[#This Row],[GardenaChannel]],GardenChannel[[GardenChannel]:[Sales manager]],2,0)</f>
        <v>ВЕЛИКОПОЛЬСКИЙ ВЛАДИСЛАВ</v>
      </c>
      <c r="H145" s="27" t="s">
        <v>439</v>
      </c>
    </row>
    <row r="146" spans="1:8" x14ac:dyDescent="0.25">
      <c r="A146" s="32" t="s">
        <v>899</v>
      </c>
      <c r="B146" s="27" t="s">
        <v>439</v>
      </c>
      <c r="C146" s="54" t="s">
        <v>444</v>
      </c>
      <c r="D146" s="27" t="s">
        <v>441</v>
      </c>
      <c r="E146" s="27" t="s">
        <v>441</v>
      </c>
      <c r="F146" s="55" t="str">
        <f>VLOOKUP(Клиенты[[#This Row],[GardenaChannel]],GardenChannel[[GardenChannel]:[Sales manager]],2,0)</f>
        <v>ВЕЛИКОПОЛЬСКИЙ ВЛАДИСЛАВ</v>
      </c>
      <c r="H146" s="27" t="s">
        <v>439</v>
      </c>
    </row>
    <row r="147" spans="1:8" x14ac:dyDescent="0.25">
      <c r="A147" s="32" t="s">
        <v>900</v>
      </c>
      <c r="B147" s="27" t="s">
        <v>439</v>
      </c>
      <c r="C147" s="54" t="s">
        <v>445</v>
      </c>
      <c r="D147" s="27" t="s">
        <v>441</v>
      </c>
      <c r="E147" s="27" t="s">
        <v>441</v>
      </c>
      <c r="F147" s="55" t="str">
        <f>VLOOKUP(Клиенты[[#This Row],[GardenaChannel]],GardenChannel[[GardenChannel]:[Sales manager]],2,0)</f>
        <v>ВЕЛИКОПОЛЬСКИЙ ВЛАДИСЛАВ</v>
      </c>
      <c r="H147" s="27" t="s">
        <v>439</v>
      </c>
    </row>
    <row r="148" spans="1:8" x14ac:dyDescent="0.25">
      <c r="A148" s="32" t="s">
        <v>901</v>
      </c>
      <c r="B148" s="27" t="s">
        <v>439</v>
      </c>
      <c r="C148" s="54" t="s">
        <v>446</v>
      </c>
      <c r="D148" s="27" t="s">
        <v>441</v>
      </c>
      <c r="E148" s="27" t="s">
        <v>447</v>
      </c>
      <c r="F148" s="55" t="str">
        <f>VLOOKUP(Клиенты[[#This Row],[GardenaChannel]],GardenChannel[[GardenChannel]:[Sales manager]],2,0)</f>
        <v>ВЕЛИКОПОЛЬСКИЙ ВЛАДИСЛАВ</v>
      </c>
      <c r="H148" s="27" t="s">
        <v>439</v>
      </c>
    </row>
    <row r="149" spans="1:8" x14ac:dyDescent="0.25">
      <c r="A149" s="32" t="s">
        <v>902</v>
      </c>
      <c r="B149" s="27" t="s">
        <v>439</v>
      </c>
      <c r="C149" s="54" t="s">
        <v>448</v>
      </c>
      <c r="D149" s="27" t="s">
        <v>441</v>
      </c>
      <c r="E149" s="27" t="s">
        <v>441</v>
      </c>
      <c r="F149" s="55" t="str">
        <f>VLOOKUP(Клиенты[[#This Row],[GardenaChannel]],GardenChannel[[GardenChannel]:[Sales manager]],2,0)</f>
        <v>ВЕЛИКОПОЛЬСКИЙ ВЛАДИСЛАВ</v>
      </c>
      <c r="H149" s="27" t="s">
        <v>439</v>
      </c>
    </row>
    <row r="150" spans="1:8" x14ac:dyDescent="0.25">
      <c r="A150" s="32" t="s">
        <v>903</v>
      </c>
      <c r="B150" s="27" t="s">
        <v>449</v>
      </c>
      <c r="C150" s="54" t="s">
        <v>450</v>
      </c>
      <c r="D150" s="27" t="s">
        <v>272</v>
      </c>
      <c r="E150" s="27" t="s">
        <v>451</v>
      </c>
      <c r="F150" s="55" t="str">
        <f>VLOOKUP(Клиенты[[#This Row],[GardenaChannel]],GardenChannel[[GardenChannel]:[Sales manager]],2,0)</f>
        <v>АЛЕКСАНДРОВ ИГОРЬ</v>
      </c>
      <c r="H150" s="27" t="s">
        <v>449</v>
      </c>
    </row>
    <row r="151" spans="1:8" x14ac:dyDescent="0.25">
      <c r="A151" s="32" t="s">
        <v>904</v>
      </c>
      <c r="B151" s="27" t="s">
        <v>452</v>
      </c>
      <c r="C151" s="54" t="s">
        <v>453</v>
      </c>
      <c r="D151" s="27" t="s">
        <v>272</v>
      </c>
      <c r="E151" s="27" t="s">
        <v>437</v>
      </c>
      <c r="F151" s="55" t="str">
        <f>VLOOKUP(Клиенты[[#This Row],[GardenaChannel]],GardenChannel[[GardenChannel]:[Sales manager]],2,0)</f>
        <v>ШКИДИН РОМАН</v>
      </c>
      <c r="H151" s="27" t="s">
        <v>452</v>
      </c>
    </row>
    <row r="152" spans="1:8" x14ac:dyDescent="0.25">
      <c r="A152" s="32" t="s">
        <v>905</v>
      </c>
      <c r="B152" s="27" t="s">
        <v>454</v>
      </c>
      <c r="C152" s="54" t="s">
        <v>455</v>
      </c>
      <c r="D152" s="27" t="s">
        <v>272</v>
      </c>
      <c r="E152" s="27" t="s">
        <v>437</v>
      </c>
      <c r="F152" s="55" t="str">
        <f>VLOOKUP(Клиенты[[#This Row],[GardenaChannel]],GardenChannel[[GardenChannel]:[Sales manager]],2,0)</f>
        <v>ЖУРАВЛЕВ ПАВЕЛ</v>
      </c>
      <c r="H152" s="27" t="s">
        <v>454</v>
      </c>
    </row>
    <row r="153" spans="1:8" x14ac:dyDescent="0.25">
      <c r="A153" s="32" t="s">
        <v>906</v>
      </c>
      <c r="B153" s="27" t="s">
        <v>454</v>
      </c>
      <c r="C153" s="54" t="s">
        <v>457</v>
      </c>
      <c r="D153" s="27" t="s">
        <v>272</v>
      </c>
      <c r="E153" s="27" t="s">
        <v>273</v>
      </c>
      <c r="F153" s="55" t="str">
        <f>VLOOKUP(Клиенты[[#This Row],[GardenaChannel]],GardenChannel[[GardenChannel]:[Sales manager]],2,0)</f>
        <v>ЖУРАВЛЕВ ПАВЕЛ</v>
      </c>
      <c r="H153" s="27" t="s">
        <v>454</v>
      </c>
    </row>
    <row r="154" spans="1:8" x14ac:dyDescent="0.25">
      <c r="A154" s="32" t="s">
        <v>907</v>
      </c>
      <c r="B154" s="27" t="s">
        <v>458</v>
      </c>
      <c r="C154" s="54" t="s">
        <v>459</v>
      </c>
      <c r="D154" s="27" t="s">
        <v>261</v>
      </c>
      <c r="E154" s="27" t="s">
        <v>460</v>
      </c>
      <c r="F154" s="55" t="str">
        <f>VLOOKUP(Клиенты[[#This Row],[GardenaChannel]],GardenChannel[[GardenChannel]:[Sales manager]],2,0)</f>
        <v>БИЛОУС ЕКАТЕРИНА</v>
      </c>
      <c r="H154" s="27">
        <v>1950</v>
      </c>
    </row>
    <row r="155" spans="1:8" x14ac:dyDescent="0.25">
      <c r="A155" s="32" t="s">
        <v>908</v>
      </c>
      <c r="B155" s="27" t="s">
        <v>462</v>
      </c>
      <c r="C155" s="54" t="s">
        <v>463</v>
      </c>
      <c r="D155" s="27" t="s">
        <v>272</v>
      </c>
      <c r="E155" s="27" t="s">
        <v>273</v>
      </c>
      <c r="F155" s="55" t="str">
        <f>VLOOKUP(Клиенты[[#This Row],[GardenaChannel]],GardenChannel[[GardenChannel]:[Sales manager]],2,0)</f>
        <v>ЖУРАВЛЕВ ПАВЕЛ</v>
      </c>
      <c r="H155" s="27" t="s">
        <v>462</v>
      </c>
    </row>
    <row r="156" spans="1:8" x14ac:dyDescent="0.25">
      <c r="A156" s="32" t="s">
        <v>909</v>
      </c>
      <c r="B156" s="27" t="s">
        <v>462</v>
      </c>
      <c r="C156" s="54" t="s">
        <v>464</v>
      </c>
      <c r="D156" s="27" t="s">
        <v>272</v>
      </c>
      <c r="E156" s="27" t="s">
        <v>286</v>
      </c>
      <c r="F156" s="55" t="str">
        <f>VLOOKUP(Клиенты[[#This Row],[GardenaChannel]],GardenChannel[[GardenChannel]:[Sales manager]],2,0)</f>
        <v>ЖУРАВЛЕВ ПАВЕЛ</v>
      </c>
      <c r="H156" s="27" t="s">
        <v>462</v>
      </c>
    </row>
    <row r="157" spans="1:8" x14ac:dyDescent="0.25">
      <c r="A157" s="32" t="s">
        <v>910</v>
      </c>
      <c r="B157" s="27" t="s">
        <v>462</v>
      </c>
      <c r="C157" s="54" t="s">
        <v>465</v>
      </c>
      <c r="D157" s="27" t="s">
        <v>272</v>
      </c>
      <c r="E157" s="27" t="s">
        <v>273</v>
      </c>
      <c r="F157" s="55" t="str">
        <f>VLOOKUP(Клиенты[[#This Row],[GardenaChannel]],GardenChannel[[GardenChannel]:[Sales manager]],2,0)</f>
        <v>ЖУРАВЛЕВ ПАВЕЛ</v>
      </c>
      <c r="H157" s="27" t="s">
        <v>462</v>
      </c>
    </row>
    <row r="158" spans="1:8" x14ac:dyDescent="0.25">
      <c r="A158" s="32" t="s">
        <v>911</v>
      </c>
      <c r="B158" s="27" t="s">
        <v>462</v>
      </c>
      <c r="C158" s="54" t="s">
        <v>466</v>
      </c>
      <c r="D158" s="27" t="s">
        <v>272</v>
      </c>
      <c r="E158" s="27" t="s">
        <v>273</v>
      </c>
      <c r="F158" s="55" t="str">
        <f>VLOOKUP(Клиенты[[#This Row],[GardenaChannel]],GardenChannel[[GardenChannel]:[Sales manager]],2,0)</f>
        <v>ЖУРАВЛЕВ ПАВЕЛ</v>
      </c>
      <c r="H158" s="27" t="s">
        <v>462</v>
      </c>
    </row>
    <row r="159" spans="1:8" x14ac:dyDescent="0.25">
      <c r="A159" s="32" t="s">
        <v>912</v>
      </c>
      <c r="B159" s="27" t="s">
        <v>462</v>
      </c>
      <c r="C159" s="54" t="s">
        <v>467</v>
      </c>
      <c r="D159" s="27" t="s">
        <v>272</v>
      </c>
      <c r="E159" s="27" t="s">
        <v>286</v>
      </c>
      <c r="F159" s="55" t="str">
        <f>VLOOKUP(Клиенты[[#This Row],[GardenaChannel]],GardenChannel[[GardenChannel]:[Sales manager]],2,0)</f>
        <v>ЖУРАВЛЕВ ПАВЕЛ</v>
      </c>
      <c r="H159" s="27" t="s">
        <v>462</v>
      </c>
    </row>
    <row r="160" spans="1:8" x14ac:dyDescent="0.25">
      <c r="A160" s="32" t="s">
        <v>913</v>
      </c>
      <c r="B160" s="27" t="s">
        <v>462</v>
      </c>
      <c r="C160" s="54" t="s">
        <v>468</v>
      </c>
      <c r="D160" s="27" t="s">
        <v>272</v>
      </c>
      <c r="E160" s="27" t="s">
        <v>286</v>
      </c>
      <c r="F160" s="55" t="str">
        <f>VLOOKUP(Клиенты[[#This Row],[GardenaChannel]],GardenChannel[[GardenChannel]:[Sales manager]],2,0)</f>
        <v>ЖУРАВЛЕВ ПАВЕЛ</v>
      </c>
      <c r="H160" s="27" t="s">
        <v>462</v>
      </c>
    </row>
    <row r="161" spans="1:8" x14ac:dyDescent="0.25">
      <c r="A161" s="32" t="s">
        <v>914</v>
      </c>
      <c r="B161" s="27" t="s">
        <v>462</v>
      </c>
      <c r="C161" s="54" t="s">
        <v>469</v>
      </c>
      <c r="D161" s="27" t="s">
        <v>272</v>
      </c>
      <c r="E161" s="27" t="s">
        <v>310</v>
      </c>
      <c r="F161" s="55" t="str">
        <f>VLOOKUP(Клиенты[[#This Row],[GardenaChannel]],GardenChannel[[GardenChannel]:[Sales manager]],2,0)</f>
        <v>ЖУРАВЛЕВ ПАВЕЛ</v>
      </c>
      <c r="H161" s="27" t="s">
        <v>462</v>
      </c>
    </row>
    <row r="162" spans="1:8" x14ac:dyDescent="0.25">
      <c r="A162" s="32" t="s">
        <v>915</v>
      </c>
      <c r="B162" s="27" t="s">
        <v>462</v>
      </c>
      <c r="C162" s="54" t="s">
        <v>470</v>
      </c>
      <c r="D162" s="27" t="s">
        <v>272</v>
      </c>
      <c r="E162" s="27" t="s">
        <v>273</v>
      </c>
      <c r="F162" s="55" t="str">
        <f>VLOOKUP(Клиенты[[#This Row],[GardenaChannel]],GardenChannel[[GardenChannel]:[Sales manager]],2,0)</f>
        <v>ЖУРАВЛЕВ ПАВЕЛ</v>
      </c>
      <c r="H162" s="27" t="s">
        <v>462</v>
      </c>
    </row>
    <row r="163" spans="1:8" x14ac:dyDescent="0.25">
      <c r="A163" s="32" t="s">
        <v>916</v>
      </c>
      <c r="B163" s="27" t="s">
        <v>462</v>
      </c>
      <c r="C163" s="54" t="s">
        <v>471</v>
      </c>
      <c r="D163" s="27" t="s">
        <v>272</v>
      </c>
      <c r="E163" s="27" t="s">
        <v>273</v>
      </c>
      <c r="F163" s="55" t="str">
        <f>VLOOKUP(Клиенты[[#This Row],[GardenaChannel]],GardenChannel[[GardenChannel]:[Sales manager]],2,0)</f>
        <v>ЖУРАВЛЕВ ПАВЕЛ</v>
      </c>
      <c r="H163" s="27" t="s">
        <v>462</v>
      </c>
    </row>
    <row r="164" spans="1:8" x14ac:dyDescent="0.25">
      <c r="A164" s="32" t="s">
        <v>917</v>
      </c>
      <c r="B164" s="27" t="s">
        <v>462</v>
      </c>
      <c r="C164" s="54" t="s">
        <v>472</v>
      </c>
      <c r="D164" s="27" t="s">
        <v>272</v>
      </c>
      <c r="E164" s="27" t="s">
        <v>286</v>
      </c>
      <c r="F164" s="55" t="str">
        <f>VLOOKUP(Клиенты[[#This Row],[GardenaChannel]],GardenChannel[[GardenChannel]:[Sales manager]],2,0)</f>
        <v>ЖУРАВЛЕВ ПАВЕЛ</v>
      </c>
      <c r="H164" s="27" t="s">
        <v>462</v>
      </c>
    </row>
    <row r="165" spans="1:8" x14ac:dyDescent="0.25">
      <c r="A165" s="32" t="s">
        <v>918</v>
      </c>
      <c r="B165" s="27" t="s">
        <v>462</v>
      </c>
      <c r="C165" s="54" t="s">
        <v>473</v>
      </c>
      <c r="D165" s="27" t="s">
        <v>272</v>
      </c>
      <c r="E165" s="27" t="s">
        <v>273</v>
      </c>
      <c r="F165" s="55" t="str">
        <f>VLOOKUP(Клиенты[[#This Row],[GardenaChannel]],GardenChannel[[GardenChannel]:[Sales manager]],2,0)</f>
        <v>ЖУРАВЛЕВ ПАВЕЛ</v>
      </c>
      <c r="H165" s="27" t="s">
        <v>462</v>
      </c>
    </row>
    <row r="166" spans="1:8" x14ac:dyDescent="0.25">
      <c r="A166" s="32" t="s">
        <v>919</v>
      </c>
      <c r="B166" s="27" t="s">
        <v>462</v>
      </c>
      <c r="C166" s="54" t="s">
        <v>474</v>
      </c>
      <c r="D166" s="27" t="s">
        <v>272</v>
      </c>
      <c r="E166" s="27" t="s">
        <v>273</v>
      </c>
      <c r="F166" s="55" t="str">
        <f>VLOOKUP(Клиенты[[#This Row],[GardenaChannel]],GardenChannel[[GardenChannel]:[Sales manager]],2,0)</f>
        <v>ЖУРАВЛЕВ ПАВЕЛ</v>
      </c>
      <c r="H166" s="27" t="s">
        <v>462</v>
      </c>
    </row>
    <row r="167" spans="1:8" x14ac:dyDescent="0.25">
      <c r="A167" s="32" t="s">
        <v>920</v>
      </c>
      <c r="B167" s="27" t="s">
        <v>462</v>
      </c>
      <c r="C167" s="54" t="s">
        <v>475</v>
      </c>
      <c r="D167" s="27" t="s">
        <v>272</v>
      </c>
      <c r="E167" s="27" t="s">
        <v>286</v>
      </c>
      <c r="F167" s="55" t="str">
        <f>VLOOKUP(Клиенты[[#This Row],[GardenaChannel]],GardenChannel[[GardenChannel]:[Sales manager]],2,0)</f>
        <v>ЖУРАВЛЕВ ПАВЕЛ</v>
      </c>
      <c r="H167" s="27" t="s">
        <v>462</v>
      </c>
    </row>
    <row r="168" spans="1:8" x14ac:dyDescent="0.25">
      <c r="A168" s="32" t="s">
        <v>921</v>
      </c>
      <c r="B168" s="27" t="s">
        <v>462</v>
      </c>
      <c r="C168" s="54" t="s">
        <v>476</v>
      </c>
      <c r="D168" s="27" t="s">
        <v>272</v>
      </c>
      <c r="E168" s="27" t="s">
        <v>273</v>
      </c>
      <c r="F168" s="55" t="str">
        <f>VLOOKUP(Клиенты[[#This Row],[GardenaChannel]],GardenChannel[[GardenChannel]:[Sales manager]],2,0)</f>
        <v>ЖУРАВЛЕВ ПАВЕЛ</v>
      </c>
      <c r="H168" s="27" t="s">
        <v>462</v>
      </c>
    </row>
    <row r="169" spans="1:8" x14ac:dyDescent="0.25">
      <c r="A169" s="32" t="s">
        <v>922</v>
      </c>
      <c r="B169" s="27" t="s">
        <v>462</v>
      </c>
      <c r="C169" s="54" t="s">
        <v>477</v>
      </c>
      <c r="D169" s="27" t="s">
        <v>272</v>
      </c>
      <c r="E169" s="27" t="s">
        <v>273</v>
      </c>
      <c r="F169" s="55" t="str">
        <f>VLOOKUP(Клиенты[[#This Row],[GardenaChannel]],GardenChannel[[GardenChannel]:[Sales manager]],2,0)</f>
        <v>ЖУРАВЛЕВ ПАВЕЛ</v>
      </c>
      <c r="H169" s="27" t="s">
        <v>462</v>
      </c>
    </row>
    <row r="170" spans="1:8" x14ac:dyDescent="0.25">
      <c r="A170" s="32" t="s">
        <v>923</v>
      </c>
      <c r="B170" s="27" t="s">
        <v>462</v>
      </c>
      <c r="C170" s="54" t="s">
        <v>478</v>
      </c>
      <c r="D170" s="27" t="s">
        <v>272</v>
      </c>
      <c r="E170" s="27" t="s">
        <v>273</v>
      </c>
      <c r="F170" s="55" t="str">
        <f>VLOOKUP(Клиенты[[#This Row],[GardenaChannel]],GardenChannel[[GardenChannel]:[Sales manager]],2,0)</f>
        <v>ЖУРАВЛЕВ ПАВЕЛ</v>
      </c>
      <c r="H170" s="27" t="s">
        <v>462</v>
      </c>
    </row>
    <row r="171" spans="1:8" x14ac:dyDescent="0.25">
      <c r="A171" s="32" t="s">
        <v>924</v>
      </c>
      <c r="B171" s="27" t="s">
        <v>462</v>
      </c>
      <c r="C171" s="54" t="s">
        <v>479</v>
      </c>
      <c r="D171" s="27" t="s">
        <v>272</v>
      </c>
      <c r="E171" s="27" t="s">
        <v>273</v>
      </c>
      <c r="F171" s="55" t="str">
        <f>VLOOKUP(Клиенты[[#This Row],[GardenaChannel]],GardenChannel[[GardenChannel]:[Sales manager]],2,0)</f>
        <v>ЖУРАВЛЕВ ПАВЕЛ</v>
      </c>
      <c r="H171" s="27" t="s">
        <v>462</v>
      </c>
    </row>
    <row r="172" spans="1:8" x14ac:dyDescent="0.25">
      <c r="A172" s="32" t="s">
        <v>925</v>
      </c>
      <c r="B172" s="27" t="s">
        <v>462</v>
      </c>
      <c r="C172" s="54" t="s">
        <v>480</v>
      </c>
      <c r="D172" s="27" t="s">
        <v>272</v>
      </c>
      <c r="E172" s="27" t="s">
        <v>273</v>
      </c>
      <c r="F172" s="55" t="str">
        <f>VLOOKUP(Клиенты[[#This Row],[GardenaChannel]],GardenChannel[[GardenChannel]:[Sales manager]],2,0)</f>
        <v>ЖУРАВЛЕВ ПАВЕЛ</v>
      </c>
      <c r="H172" s="27" t="s">
        <v>462</v>
      </c>
    </row>
    <row r="173" spans="1:8" x14ac:dyDescent="0.25">
      <c r="A173" s="32" t="s">
        <v>926</v>
      </c>
      <c r="B173" s="27" t="s">
        <v>462</v>
      </c>
      <c r="C173" s="54" t="s">
        <v>481</v>
      </c>
      <c r="D173" s="27" t="s">
        <v>272</v>
      </c>
      <c r="E173" s="27" t="s">
        <v>273</v>
      </c>
      <c r="F173" s="55" t="str">
        <f>VLOOKUP(Клиенты[[#This Row],[GardenaChannel]],GardenChannel[[GardenChannel]:[Sales manager]],2,0)</f>
        <v>ЖУРАВЛЕВ ПАВЕЛ</v>
      </c>
      <c r="H173" s="27" t="s">
        <v>462</v>
      </c>
    </row>
    <row r="174" spans="1:8" x14ac:dyDescent="0.25">
      <c r="A174" s="32" t="s">
        <v>927</v>
      </c>
      <c r="B174" s="27" t="s">
        <v>462</v>
      </c>
      <c r="C174" s="54" t="s">
        <v>482</v>
      </c>
      <c r="D174" s="27" t="s">
        <v>272</v>
      </c>
      <c r="E174" s="27" t="s">
        <v>273</v>
      </c>
      <c r="F174" s="55" t="str">
        <f>VLOOKUP(Клиенты[[#This Row],[GardenaChannel]],GardenChannel[[GardenChannel]:[Sales manager]],2,0)</f>
        <v>ЖУРАВЛЕВ ПАВЕЛ</v>
      </c>
      <c r="H174" s="27" t="s">
        <v>462</v>
      </c>
    </row>
    <row r="175" spans="1:8" x14ac:dyDescent="0.25">
      <c r="A175" s="32" t="s">
        <v>928</v>
      </c>
      <c r="B175" s="27" t="s">
        <v>462</v>
      </c>
      <c r="C175" s="54" t="s">
        <v>483</v>
      </c>
      <c r="D175" s="27" t="s">
        <v>272</v>
      </c>
      <c r="E175" s="27" t="s">
        <v>273</v>
      </c>
      <c r="F175" s="55" t="str">
        <f>VLOOKUP(Клиенты[[#This Row],[GardenaChannel]],GardenChannel[[GardenChannel]:[Sales manager]],2,0)</f>
        <v>ЖУРАВЛЕВ ПАВЕЛ</v>
      </c>
      <c r="H175" s="27" t="s">
        <v>462</v>
      </c>
    </row>
    <row r="176" spans="1:8" x14ac:dyDescent="0.25">
      <c r="A176" s="32" t="s">
        <v>929</v>
      </c>
      <c r="B176" s="27" t="s">
        <v>462</v>
      </c>
      <c r="C176" s="54" t="s">
        <v>484</v>
      </c>
      <c r="D176" s="27" t="s">
        <v>272</v>
      </c>
      <c r="E176" s="27" t="s">
        <v>273</v>
      </c>
      <c r="F176" s="55" t="str">
        <f>VLOOKUP(Клиенты[[#This Row],[GardenaChannel]],GardenChannel[[GardenChannel]:[Sales manager]],2,0)</f>
        <v>ЖУРАВЛЕВ ПАВЕЛ</v>
      </c>
      <c r="H176" s="27" t="s">
        <v>462</v>
      </c>
    </row>
    <row r="177" spans="1:8" x14ac:dyDescent="0.25">
      <c r="A177" s="32" t="s">
        <v>930</v>
      </c>
      <c r="B177" s="27" t="s">
        <v>462</v>
      </c>
      <c r="C177" s="54" t="s">
        <v>485</v>
      </c>
      <c r="D177" s="27" t="s">
        <v>272</v>
      </c>
      <c r="E177" s="27" t="s">
        <v>273</v>
      </c>
      <c r="F177" s="55" t="str">
        <f>VLOOKUP(Клиенты[[#This Row],[GardenaChannel]],GardenChannel[[GardenChannel]:[Sales manager]],2,0)</f>
        <v>ЖУРАВЛЕВ ПАВЕЛ</v>
      </c>
      <c r="H177" s="27" t="s">
        <v>462</v>
      </c>
    </row>
    <row r="178" spans="1:8" x14ac:dyDescent="0.25">
      <c r="A178" s="32" t="s">
        <v>931</v>
      </c>
      <c r="B178" s="27" t="s">
        <v>462</v>
      </c>
      <c r="C178" s="54" t="s">
        <v>486</v>
      </c>
      <c r="D178" s="27" t="s">
        <v>272</v>
      </c>
      <c r="E178" s="27" t="s">
        <v>273</v>
      </c>
      <c r="F178" s="55" t="str">
        <f>VLOOKUP(Клиенты[[#This Row],[GardenaChannel]],GardenChannel[[GardenChannel]:[Sales manager]],2,0)</f>
        <v>ЖУРАВЛЕВ ПАВЕЛ</v>
      </c>
      <c r="H178" s="27" t="s">
        <v>462</v>
      </c>
    </row>
    <row r="179" spans="1:8" x14ac:dyDescent="0.25">
      <c r="A179" s="32" t="s">
        <v>932</v>
      </c>
      <c r="B179" s="27" t="s">
        <v>462</v>
      </c>
      <c r="C179" s="54" t="s">
        <v>487</v>
      </c>
      <c r="D179" s="27" t="s">
        <v>272</v>
      </c>
      <c r="E179" s="27" t="s">
        <v>273</v>
      </c>
      <c r="F179" s="55" t="str">
        <f>VLOOKUP(Клиенты[[#This Row],[GardenaChannel]],GardenChannel[[GardenChannel]:[Sales manager]],2,0)</f>
        <v>ЖУРАВЛЕВ ПАВЕЛ</v>
      </c>
      <c r="H179" s="27" t="s">
        <v>462</v>
      </c>
    </row>
    <row r="180" spans="1:8" x14ac:dyDescent="0.25">
      <c r="A180" s="32" t="s">
        <v>933</v>
      </c>
      <c r="B180" s="27" t="s">
        <v>462</v>
      </c>
      <c r="C180" s="54" t="s">
        <v>488</v>
      </c>
      <c r="D180" s="27" t="s">
        <v>272</v>
      </c>
      <c r="E180" s="27" t="s">
        <v>273</v>
      </c>
      <c r="F180" s="55" t="str">
        <f>VLOOKUP(Клиенты[[#This Row],[GardenaChannel]],GardenChannel[[GardenChannel]:[Sales manager]],2,0)</f>
        <v>ЖУРАВЛЕВ ПАВЕЛ</v>
      </c>
      <c r="H180" s="27" t="s">
        <v>462</v>
      </c>
    </row>
    <row r="181" spans="1:8" x14ac:dyDescent="0.25">
      <c r="A181" s="32" t="s">
        <v>934</v>
      </c>
      <c r="B181" s="27" t="s">
        <v>462</v>
      </c>
      <c r="C181" s="54" t="s">
        <v>489</v>
      </c>
      <c r="D181" s="27" t="s">
        <v>272</v>
      </c>
      <c r="E181" s="27" t="s">
        <v>273</v>
      </c>
      <c r="F181" s="55" t="str">
        <f>VLOOKUP(Клиенты[[#This Row],[GardenaChannel]],GardenChannel[[GardenChannel]:[Sales manager]],2,0)</f>
        <v>ЖУРАВЛЕВ ПАВЕЛ</v>
      </c>
      <c r="H181" s="27" t="s">
        <v>462</v>
      </c>
    </row>
    <row r="182" spans="1:8" x14ac:dyDescent="0.25">
      <c r="A182" s="32" t="s">
        <v>935</v>
      </c>
      <c r="B182" s="27" t="s">
        <v>462</v>
      </c>
      <c r="C182" s="54" t="s">
        <v>490</v>
      </c>
      <c r="D182" s="27" t="s">
        <v>272</v>
      </c>
      <c r="E182" s="27" t="s">
        <v>273</v>
      </c>
      <c r="F182" s="55" t="str">
        <f>VLOOKUP(Клиенты[[#This Row],[GardenaChannel]],GardenChannel[[GardenChannel]:[Sales manager]],2,0)</f>
        <v>ЖУРАВЛЕВ ПАВЕЛ</v>
      </c>
      <c r="H182" s="27" t="s">
        <v>462</v>
      </c>
    </row>
    <row r="183" spans="1:8" x14ac:dyDescent="0.25">
      <c r="A183" s="32" t="s">
        <v>936</v>
      </c>
      <c r="B183" s="27" t="s">
        <v>462</v>
      </c>
      <c r="C183" s="54" t="s">
        <v>491</v>
      </c>
      <c r="D183" s="27" t="s">
        <v>272</v>
      </c>
      <c r="E183" s="27" t="s">
        <v>273</v>
      </c>
      <c r="F183" s="55" t="str">
        <f>VLOOKUP(Клиенты[[#This Row],[GardenaChannel]],GardenChannel[[GardenChannel]:[Sales manager]],2,0)</f>
        <v>ЖУРАВЛЕВ ПАВЕЛ</v>
      </c>
      <c r="H183" s="27" t="s">
        <v>462</v>
      </c>
    </row>
    <row r="184" spans="1:8" x14ac:dyDescent="0.25">
      <c r="A184" s="32" t="s">
        <v>937</v>
      </c>
      <c r="B184" s="27" t="s">
        <v>462</v>
      </c>
      <c r="C184" s="54" t="s">
        <v>492</v>
      </c>
      <c r="D184" s="27" t="s">
        <v>272</v>
      </c>
      <c r="E184" s="27" t="s">
        <v>273</v>
      </c>
      <c r="F184" s="55" t="str">
        <f>VLOOKUP(Клиенты[[#This Row],[GardenaChannel]],GardenChannel[[GardenChannel]:[Sales manager]],2,0)</f>
        <v>ЖУРАВЛЕВ ПАВЕЛ</v>
      </c>
      <c r="H184" s="27" t="s">
        <v>462</v>
      </c>
    </row>
    <row r="185" spans="1:8" x14ac:dyDescent="0.25">
      <c r="A185" s="32" t="s">
        <v>938</v>
      </c>
      <c r="B185" s="27" t="s">
        <v>462</v>
      </c>
      <c r="C185" s="54" t="s">
        <v>493</v>
      </c>
      <c r="D185" s="27" t="s">
        <v>272</v>
      </c>
      <c r="E185" s="27" t="s">
        <v>286</v>
      </c>
      <c r="F185" s="55" t="str">
        <f>VLOOKUP(Клиенты[[#This Row],[GardenaChannel]],GardenChannel[[GardenChannel]:[Sales manager]],2,0)</f>
        <v>ЖУРАВЛЕВ ПАВЕЛ</v>
      </c>
      <c r="H185" s="27" t="s">
        <v>462</v>
      </c>
    </row>
    <row r="186" spans="1:8" x14ac:dyDescent="0.25">
      <c r="A186" s="32" t="s">
        <v>939</v>
      </c>
      <c r="B186" s="27" t="s">
        <v>494</v>
      </c>
      <c r="C186" s="54" t="s">
        <v>495</v>
      </c>
      <c r="D186" s="27" t="s">
        <v>272</v>
      </c>
      <c r="E186" s="27" t="s">
        <v>273</v>
      </c>
      <c r="F186" s="55" t="str">
        <f>VLOOKUP(Клиенты[[#This Row],[GardenaChannel]],GardenChannel[[GardenChannel]:[Sales manager]],2,0)</f>
        <v>ОРЛОВ КИРИЛЛ</v>
      </c>
      <c r="H186" s="27" t="s">
        <v>494</v>
      </c>
    </row>
    <row r="187" spans="1:8" x14ac:dyDescent="0.25">
      <c r="A187" s="32" t="s">
        <v>940</v>
      </c>
      <c r="B187" s="27" t="s">
        <v>494</v>
      </c>
      <c r="C187" s="54" t="s">
        <v>497</v>
      </c>
      <c r="D187" s="27" t="s">
        <v>272</v>
      </c>
      <c r="E187" s="27" t="s">
        <v>273</v>
      </c>
      <c r="F187" s="55" t="str">
        <f>VLOOKUP(Клиенты[[#This Row],[GardenaChannel]],GardenChannel[[GardenChannel]:[Sales manager]],2,0)</f>
        <v>ОРЛОВ КИРИЛЛ</v>
      </c>
      <c r="H187" s="27" t="s">
        <v>494</v>
      </c>
    </row>
    <row r="188" spans="1:8" x14ac:dyDescent="0.25">
      <c r="A188" s="32" t="s">
        <v>941</v>
      </c>
      <c r="B188" s="27" t="s">
        <v>494</v>
      </c>
      <c r="C188" s="54" t="s">
        <v>498</v>
      </c>
      <c r="D188" s="27" t="s">
        <v>272</v>
      </c>
      <c r="E188" s="27" t="s">
        <v>310</v>
      </c>
      <c r="F188" s="55" t="str">
        <f>VLOOKUP(Клиенты[[#This Row],[GardenaChannel]],GardenChannel[[GardenChannel]:[Sales manager]],2,0)</f>
        <v>ОРЛОВ КИРИЛЛ</v>
      </c>
      <c r="H188" s="27" t="s">
        <v>494</v>
      </c>
    </row>
    <row r="189" spans="1:8" x14ac:dyDescent="0.25">
      <c r="A189" s="32" t="s">
        <v>942</v>
      </c>
      <c r="B189" s="27" t="s">
        <v>494</v>
      </c>
      <c r="C189" s="54" t="s">
        <v>499</v>
      </c>
      <c r="D189" s="27" t="s">
        <v>272</v>
      </c>
      <c r="E189" s="27" t="s">
        <v>310</v>
      </c>
      <c r="F189" s="55" t="str">
        <f>VLOOKUP(Клиенты[[#This Row],[GardenaChannel]],GardenChannel[[GardenChannel]:[Sales manager]],2,0)</f>
        <v>ОРЛОВ КИРИЛЛ</v>
      </c>
      <c r="H189" s="27" t="s">
        <v>494</v>
      </c>
    </row>
    <row r="190" spans="1:8" x14ac:dyDescent="0.25">
      <c r="A190" s="32" t="s">
        <v>943</v>
      </c>
      <c r="B190" s="27" t="s">
        <v>494</v>
      </c>
      <c r="C190" s="54" t="s">
        <v>500</v>
      </c>
      <c r="D190" s="27" t="s">
        <v>272</v>
      </c>
      <c r="E190" s="27" t="s">
        <v>273</v>
      </c>
      <c r="F190" s="55" t="str">
        <f>VLOOKUP(Клиенты[[#This Row],[GardenaChannel]],GardenChannel[[GardenChannel]:[Sales manager]],2,0)</f>
        <v>ОРЛОВ КИРИЛЛ</v>
      </c>
      <c r="H190" s="27" t="s">
        <v>494</v>
      </c>
    </row>
    <row r="191" spans="1:8" x14ac:dyDescent="0.25">
      <c r="A191" s="32" t="s">
        <v>944</v>
      </c>
      <c r="B191" s="27" t="s">
        <v>494</v>
      </c>
      <c r="C191" s="54" t="s">
        <v>501</v>
      </c>
      <c r="D191" s="27" t="s">
        <v>272</v>
      </c>
      <c r="E191" s="27" t="s">
        <v>273</v>
      </c>
      <c r="F191" s="55" t="str">
        <f>VLOOKUP(Клиенты[[#This Row],[GardenaChannel]],GardenChannel[[GardenChannel]:[Sales manager]],2,0)</f>
        <v>ОРЛОВ КИРИЛЛ</v>
      </c>
      <c r="H191" s="27" t="s">
        <v>494</v>
      </c>
    </row>
    <row r="192" spans="1:8" x14ac:dyDescent="0.25">
      <c r="A192" s="32" t="s">
        <v>945</v>
      </c>
      <c r="B192" s="27" t="s">
        <v>494</v>
      </c>
      <c r="C192" s="54" t="s">
        <v>502</v>
      </c>
      <c r="D192" s="27" t="s">
        <v>272</v>
      </c>
      <c r="E192" s="27" t="s">
        <v>273</v>
      </c>
      <c r="F192" s="55" t="str">
        <f>VLOOKUP(Клиенты[[#This Row],[GardenaChannel]],GardenChannel[[GardenChannel]:[Sales manager]],2,0)</f>
        <v>ОРЛОВ КИРИЛЛ</v>
      </c>
      <c r="H192" s="27" t="s">
        <v>494</v>
      </c>
    </row>
    <row r="193" spans="1:8" x14ac:dyDescent="0.25">
      <c r="A193" s="32" t="s">
        <v>946</v>
      </c>
      <c r="B193" s="27" t="s">
        <v>494</v>
      </c>
      <c r="C193" s="54" t="s">
        <v>503</v>
      </c>
      <c r="D193" s="27" t="s">
        <v>272</v>
      </c>
      <c r="E193" s="27" t="s">
        <v>273</v>
      </c>
      <c r="F193" s="55" t="str">
        <f>VLOOKUP(Клиенты[[#This Row],[GardenaChannel]],GardenChannel[[GardenChannel]:[Sales manager]],2,0)</f>
        <v>ОРЛОВ КИРИЛЛ</v>
      </c>
      <c r="H193" s="27" t="s">
        <v>494</v>
      </c>
    </row>
    <row r="194" spans="1:8" x14ac:dyDescent="0.25">
      <c r="A194" s="32" t="s">
        <v>947</v>
      </c>
      <c r="B194" s="27" t="s">
        <v>494</v>
      </c>
      <c r="C194" s="54" t="s">
        <v>504</v>
      </c>
      <c r="D194" s="27" t="s">
        <v>272</v>
      </c>
      <c r="E194" s="27" t="s">
        <v>273</v>
      </c>
      <c r="F194" s="55" t="str">
        <f>VLOOKUP(Клиенты[[#This Row],[GardenaChannel]],GardenChannel[[GardenChannel]:[Sales manager]],2,0)</f>
        <v>ОРЛОВ КИРИЛЛ</v>
      </c>
      <c r="H194" s="27" t="s">
        <v>494</v>
      </c>
    </row>
    <row r="195" spans="1:8" x14ac:dyDescent="0.25">
      <c r="A195" s="32" t="s">
        <v>948</v>
      </c>
      <c r="B195" s="27" t="s">
        <v>494</v>
      </c>
      <c r="C195" s="54" t="s">
        <v>505</v>
      </c>
      <c r="D195" s="27" t="s">
        <v>272</v>
      </c>
      <c r="E195" s="27" t="s">
        <v>273</v>
      </c>
      <c r="F195" s="55" t="str">
        <f>VLOOKUP(Клиенты[[#This Row],[GardenaChannel]],GardenChannel[[GardenChannel]:[Sales manager]],2,0)</f>
        <v>ОРЛОВ КИРИЛЛ</v>
      </c>
      <c r="H195" s="27" t="s">
        <v>494</v>
      </c>
    </row>
    <row r="196" spans="1:8" x14ac:dyDescent="0.25">
      <c r="A196" s="32" t="s">
        <v>949</v>
      </c>
      <c r="B196" s="27" t="s">
        <v>494</v>
      </c>
      <c r="C196" s="54" t="s">
        <v>506</v>
      </c>
      <c r="D196" s="27" t="s">
        <v>272</v>
      </c>
      <c r="E196" s="27" t="s">
        <v>273</v>
      </c>
      <c r="F196" s="55" t="str">
        <f>VLOOKUP(Клиенты[[#This Row],[GardenaChannel]],GardenChannel[[GardenChannel]:[Sales manager]],2,0)</f>
        <v>ОРЛОВ КИРИЛЛ</v>
      </c>
      <c r="H196" s="27" t="s">
        <v>494</v>
      </c>
    </row>
    <row r="197" spans="1:8" x14ac:dyDescent="0.25">
      <c r="A197" s="32" t="s">
        <v>950</v>
      </c>
      <c r="B197" s="27" t="s">
        <v>494</v>
      </c>
      <c r="C197" s="54" t="s">
        <v>507</v>
      </c>
      <c r="D197" s="27" t="s">
        <v>272</v>
      </c>
      <c r="E197" s="27" t="s">
        <v>273</v>
      </c>
      <c r="F197" s="55" t="str">
        <f>VLOOKUP(Клиенты[[#This Row],[GardenaChannel]],GardenChannel[[GardenChannel]:[Sales manager]],2,0)</f>
        <v>ОРЛОВ КИРИЛЛ</v>
      </c>
      <c r="H197" s="27" t="s">
        <v>494</v>
      </c>
    </row>
    <row r="198" spans="1:8" x14ac:dyDescent="0.25">
      <c r="A198" s="32" t="s">
        <v>951</v>
      </c>
      <c r="B198" s="27" t="s">
        <v>494</v>
      </c>
      <c r="C198" s="54" t="s">
        <v>508</v>
      </c>
      <c r="D198" s="27" t="s">
        <v>272</v>
      </c>
      <c r="E198" s="27" t="s">
        <v>286</v>
      </c>
      <c r="F198" s="55" t="str">
        <f>VLOOKUP(Клиенты[[#This Row],[GardenaChannel]],GardenChannel[[GardenChannel]:[Sales manager]],2,0)</f>
        <v>ОРЛОВ КИРИЛЛ</v>
      </c>
      <c r="H198" s="27" t="s">
        <v>494</v>
      </c>
    </row>
    <row r="199" spans="1:8" x14ac:dyDescent="0.25">
      <c r="A199" s="32" t="s">
        <v>952</v>
      </c>
      <c r="B199" s="27" t="s">
        <v>494</v>
      </c>
      <c r="C199" s="54" t="s">
        <v>509</v>
      </c>
      <c r="D199" s="27" t="s">
        <v>272</v>
      </c>
      <c r="E199" s="27" t="s">
        <v>273</v>
      </c>
      <c r="F199" s="55" t="str">
        <f>VLOOKUP(Клиенты[[#This Row],[GardenaChannel]],GardenChannel[[GardenChannel]:[Sales manager]],2,0)</f>
        <v>ОРЛОВ КИРИЛЛ</v>
      </c>
      <c r="H199" s="27" t="s">
        <v>494</v>
      </c>
    </row>
    <row r="200" spans="1:8" x14ac:dyDescent="0.25">
      <c r="A200" s="32" t="s">
        <v>953</v>
      </c>
      <c r="B200" s="27" t="s">
        <v>494</v>
      </c>
      <c r="C200" s="54" t="s">
        <v>510</v>
      </c>
      <c r="D200" s="27" t="s">
        <v>272</v>
      </c>
      <c r="E200" s="27" t="s">
        <v>273</v>
      </c>
      <c r="F200" s="55" t="str">
        <f>VLOOKUP(Клиенты[[#This Row],[GardenaChannel]],GardenChannel[[GardenChannel]:[Sales manager]],2,0)</f>
        <v>ОРЛОВ КИРИЛЛ</v>
      </c>
      <c r="H200" s="27" t="s">
        <v>494</v>
      </c>
    </row>
    <row r="201" spans="1:8" x14ac:dyDescent="0.25">
      <c r="A201" s="32" t="s">
        <v>954</v>
      </c>
      <c r="B201" s="27" t="s">
        <v>494</v>
      </c>
      <c r="C201" s="54" t="s">
        <v>511</v>
      </c>
      <c r="D201" s="27" t="s">
        <v>272</v>
      </c>
      <c r="E201" s="27" t="s">
        <v>273</v>
      </c>
      <c r="F201" s="55" t="str">
        <f>VLOOKUP(Клиенты[[#This Row],[GardenaChannel]],GardenChannel[[GardenChannel]:[Sales manager]],2,0)</f>
        <v>ОРЛОВ КИРИЛЛ</v>
      </c>
      <c r="H201" s="27" t="s">
        <v>494</v>
      </c>
    </row>
    <row r="202" spans="1:8" x14ac:dyDescent="0.25">
      <c r="A202" s="32" t="s">
        <v>955</v>
      </c>
      <c r="B202" s="27" t="s">
        <v>494</v>
      </c>
      <c r="C202" s="54" t="s">
        <v>512</v>
      </c>
      <c r="D202" s="27" t="s">
        <v>272</v>
      </c>
      <c r="E202" s="27" t="s">
        <v>273</v>
      </c>
      <c r="F202" s="55" t="str">
        <f>VLOOKUP(Клиенты[[#This Row],[GardenaChannel]],GardenChannel[[GardenChannel]:[Sales manager]],2,0)</f>
        <v>ОРЛОВ КИРИЛЛ</v>
      </c>
      <c r="H202" s="27" t="s">
        <v>494</v>
      </c>
    </row>
    <row r="203" spans="1:8" x14ac:dyDescent="0.25">
      <c r="A203" s="32" t="s">
        <v>956</v>
      </c>
      <c r="B203" s="27" t="s">
        <v>494</v>
      </c>
      <c r="C203" s="54" t="s">
        <v>513</v>
      </c>
      <c r="D203" s="27" t="s">
        <v>272</v>
      </c>
      <c r="E203" s="27" t="s">
        <v>286</v>
      </c>
      <c r="F203" s="55" t="str">
        <f>VLOOKUP(Клиенты[[#This Row],[GardenaChannel]],GardenChannel[[GardenChannel]:[Sales manager]],2,0)</f>
        <v>ОРЛОВ КИРИЛЛ</v>
      </c>
      <c r="H203" s="27" t="s">
        <v>494</v>
      </c>
    </row>
    <row r="204" spans="1:8" x14ac:dyDescent="0.25">
      <c r="A204" s="32" t="s">
        <v>957</v>
      </c>
      <c r="B204" s="27" t="s">
        <v>494</v>
      </c>
      <c r="C204" s="54" t="s">
        <v>514</v>
      </c>
      <c r="D204" s="27" t="s">
        <v>272</v>
      </c>
      <c r="E204" s="27" t="s">
        <v>286</v>
      </c>
      <c r="F204" s="55" t="str">
        <f>VLOOKUP(Клиенты[[#This Row],[GardenaChannel]],GardenChannel[[GardenChannel]:[Sales manager]],2,0)</f>
        <v>ОРЛОВ КИРИЛЛ</v>
      </c>
      <c r="H204" s="27" t="s">
        <v>494</v>
      </c>
    </row>
    <row r="205" spans="1:8" x14ac:dyDescent="0.25">
      <c r="A205" s="32" t="s">
        <v>958</v>
      </c>
      <c r="B205" s="27" t="s">
        <v>494</v>
      </c>
      <c r="C205" s="54" t="s">
        <v>515</v>
      </c>
      <c r="D205" s="27" t="s">
        <v>272</v>
      </c>
      <c r="E205" s="27" t="s">
        <v>273</v>
      </c>
      <c r="F205" s="55" t="str">
        <f>VLOOKUP(Клиенты[[#This Row],[GardenaChannel]],GardenChannel[[GardenChannel]:[Sales manager]],2,0)</f>
        <v>ОРЛОВ КИРИЛЛ</v>
      </c>
      <c r="H205" s="27" t="s">
        <v>494</v>
      </c>
    </row>
    <row r="206" spans="1:8" x14ac:dyDescent="0.25">
      <c r="A206" s="32" t="s">
        <v>959</v>
      </c>
      <c r="B206" s="27" t="s">
        <v>494</v>
      </c>
      <c r="C206" s="54" t="s">
        <v>516</v>
      </c>
      <c r="D206" s="27" t="s">
        <v>272</v>
      </c>
      <c r="E206" s="27" t="s">
        <v>273</v>
      </c>
      <c r="F206" s="55" t="str">
        <f>VLOOKUP(Клиенты[[#This Row],[GardenaChannel]],GardenChannel[[GardenChannel]:[Sales manager]],2,0)</f>
        <v>ОРЛОВ КИРИЛЛ</v>
      </c>
      <c r="H206" s="27" t="s">
        <v>494</v>
      </c>
    </row>
    <row r="207" spans="1:8" x14ac:dyDescent="0.25">
      <c r="A207" s="32" t="s">
        <v>960</v>
      </c>
      <c r="B207" s="27" t="s">
        <v>494</v>
      </c>
      <c r="C207" s="54" t="s">
        <v>517</v>
      </c>
      <c r="D207" s="27" t="s">
        <v>272</v>
      </c>
      <c r="E207" s="27" t="s">
        <v>273</v>
      </c>
      <c r="F207" s="55" t="str">
        <f>VLOOKUP(Клиенты[[#This Row],[GardenaChannel]],GardenChannel[[GardenChannel]:[Sales manager]],2,0)</f>
        <v>ОРЛОВ КИРИЛЛ</v>
      </c>
      <c r="H207" s="27" t="s">
        <v>494</v>
      </c>
    </row>
    <row r="208" spans="1:8" x14ac:dyDescent="0.25">
      <c r="A208" s="32" t="s">
        <v>961</v>
      </c>
      <c r="B208" s="27" t="s">
        <v>494</v>
      </c>
      <c r="C208" s="54" t="s">
        <v>518</v>
      </c>
      <c r="D208" s="27" t="s">
        <v>272</v>
      </c>
      <c r="E208" s="27" t="s">
        <v>273</v>
      </c>
      <c r="F208" s="55" t="str">
        <f>VLOOKUP(Клиенты[[#This Row],[GardenaChannel]],GardenChannel[[GardenChannel]:[Sales manager]],2,0)</f>
        <v>ОРЛОВ КИРИЛЛ</v>
      </c>
      <c r="H208" s="27" t="s">
        <v>494</v>
      </c>
    </row>
    <row r="209" spans="1:8" x14ac:dyDescent="0.25">
      <c r="A209" s="32" t="s">
        <v>962</v>
      </c>
      <c r="B209" s="27" t="s">
        <v>494</v>
      </c>
      <c r="C209" s="54" t="s">
        <v>519</v>
      </c>
      <c r="D209" s="27" t="s">
        <v>272</v>
      </c>
      <c r="E209" s="27" t="s">
        <v>273</v>
      </c>
      <c r="F209" s="55" t="str">
        <f>VLOOKUP(Клиенты[[#This Row],[GardenaChannel]],GardenChannel[[GardenChannel]:[Sales manager]],2,0)</f>
        <v>ОРЛОВ КИРИЛЛ</v>
      </c>
      <c r="H209" s="27" t="s">
        <v>494</v>
      </c>
    </row>
    <row r="210" spans="1:8" x14ac:dyDescent="0.25">
      <c r="A210" s="32" t="s">
        <v>963</v>
      </c>
      <c r="B210" s="27" t="s">
        <v>494</v>
      </c>
      <c r="C210" s="54" t="s">
        <v>520</v>
      </c>
      <c r="D210" s="27" t="s">
        <v>272</v>
      </c>
      <c r="E210" s="27" t="s">
        <v>273</v>
      </c>
      <c r="F210" s="55" t="str">
        <f>VLOOKUP(Клиенты[[#This Row],[GardenaChannel]],GardenChannel[[GardenChannel]:[Sales manager]],2,0)</f>
        <v>ОРЛОВ КИРИЛЛ</v>
      </c>
      <c r="H210" s="27" t="s">
        <v>494</v>
      </c>
    </row>
    <row r="211" spans="1:8" x14ac:dyDescent="0.25">
      <c r="A211" s="32" t="s">
        <v>964</v>
      </c>
      <c r="B211" s="27" t="s">
        <v>494</v>
      </c>
      <c r="C211" s="54" t="s">
        <v>521</v>
      </c>
      <c r="D211" s="27" t="s">
        <v>272</v>
      </c>
      <c r="E211" s="27" t="s">
        <v>273</v>
      </c>
      <c r="F211" s="55" t="str">
        <f>VLOOKUP(Клиенты[[#This Row],[GardenaChannel]],GardenChannel[[GardenChannel]:[Sales manager]],2,0)</f>
        <v>ОРЛОВ КИРИЛЛ</v>
      </c>
      <c r="H211" s="27" t="s">
        <v>494</v>
      </c>
    </row>
    <row r="212" spans="1:8" x14ac:dyDescent="0.25">
      <c r="A212" s="32" t="s">
        <v>965</v>
      </c>
      <c r="B212" s="27" t="s">
        <v>494</v>
      </c>
      <c r="C212" s="54" t="s">
        <v>522</v>
      </c>
      <c r="D212" s="27" t="s">
        <v>272</v>
      </c>
      <c r="E212" s="27" t="s">
        <v>310</v>
      </c>
      <c r="F212" s="55" t="str">
        <f>VLOOKUP(Клиенты[[#This Row],[GardenaChannel]],GardenChannel[[GardenChannel]:[Sales manager]],2,0)</f>
        <v>ОРЛОВ КИРИЛЛ</v>
      </c>
      <c r="H212" s="27" t="s">
        <v>494</v>
      </c>
    </row>
    <row r="213" spans="1:8" x14ac:dyDescent="0.25">
      <c r="A213" s="32" t="s">
        <v>966</v>
      </c>
      <c r="B213" s="27" t="s">
        <v>494</v>
      </c>
      <c r="C213" s="54" t="s">
        <v>523</v>
      </c>
      <c r="D213" s="27" t="s">
        <v>272</v>
      </c>
      <c r="E213" s="27" t="s">
        <v>273</v>
      </c>
      <c r="F213" s="55" t="str">
        <f>VLOOKUP(Клиенты[[#This Row],[GardenaChannel]],GardenChannel[[GardenChannel]:[Sales manager]],2,0)</f>
        <v>ОРЛОВ КИРИЛЛ</v>
      </c>
      <c r="H213" s="27" t="s">
        <v>494</v>
      </c>
    </row>
    <row r="214" spans="1:8" x14ac:dyDescent="0.25">
      <c r="A214" s="32" t="s">
        <v>967</v>
      </c>
      <c r="B214" s="27" t="s">
        <v>494</v>
      </c>
      <c r="C214" s="54" t="s">
        <v>524</v>
      </c>
      <c r="D214" s="27" t="s">
        <v>272</v>
      </c>
      <c r="E214" s="27" t="s">
        <v>273</v>
      </c>
      <c r="F214" s="55" t="str">
        <f>VLOOKUP(Клиенты[[#This Row],[GardenaChannel]],GardenChannel[[GardenChannel]:[Sales manager]],2,0)</f>
        <v>ОРЛОВ КИРИЛЛ</v>
      </c>
      <c r="H214" s="27" t="s">
        <v>494</v>
      </c>
    </row>
    <row r="215" spans="1:8" x14ac:dyDescent="0.25">
      <c r="A215" s="32" t="s">
        <v>968</v>
      </c>
      <c r="B215" s="27" t="s">
        <v>494</v>
      </c>
      <c r="C215" s="54" t="s">
        <v>525</v>
      </c>
      <c r="D215" s="27" t="s">
        <v>272</v>
      </c>
      <c r="E215" s="27" t="s">
        <v>273</v>
      </c>
      <c r="F215" s="55" t="str">
        <f>VLOOKUP(Клиенты[[#This Row],[GardenaChannel]],GardenChannel[[GardenChannel]:[Sales manager]],2,0)</f>
        <v>ОРЛОВ КИРИЛЛ</v>
      </c>
      <c r="H215" s="27" t="s">
        <v>494</v>
      </c>
    </row>
    <row r="216" spans="1:8" x14ac:dyDescent="0.25">
      <c r="A216" s="32" t="s">
        <v>969</v>
      </c>
      <c r="B216" s="27" t="s">
        <v>494</v>
      </c>
      <c r="C216" s="54" t="s">
        <v>526</v>
      </c>
      <c r="D216" s="27" t="s">
        <v>272</v>
      </c>
      <c r="E216" s="27" t="s">
        <v>273</v>
      </c>
      <c r="F216" s="55" t="str">
        <f>VLOOKUP(Клиенты[[#This Row],[GardenaChannel]],GardenChannel[[GardenChannel]:[Sales manager]],2,0)</f>
        <v>ОРЛОВ КИРИЛЛ</v>
      </c>
      <c r="H216" s="27" t="s">
        <v>494</v>
      </c>
    </row>
    <row r="217" spans="1:8" x14ac:dyDescent="0.25">
      <c r="A217" s="32" t="s">
        <v>970</v>
      </c>
      <c r="B217" s="27" t="s">
        <v>494</v>
      </c>
      <c r="C217" s="54" t="s">
        <v>527</v>
      </c>
      <c r="D217" s="27" t="s">
        <v>272</v>
      </c>
      <c r="E217" s="27" t="s">
        <v>273</v>
      </c>
      <c r="F217" s="55" t="str">
        <f>VLOOKUP(Клиенты[[#This Row],[GardenaChannel]],GardenChannel[[GardenChannel]:[Sales manager]],2,0)</f>
        <v>ОРЛОВ КИРИЛЛ</v>
      </c>
      <c r="H217" s="27" t="s">
        <v>494</v>
      </c>
    </row>
    <row r="218" spans="1:8" x14ac:dyDescent="0.25">
      <c r="A218" s="32" t="s">
        <v>971</v>
      </c>
      <c r="B218" s="27" t="s">
        <v>494</v>
      </c>
      <c r="C218" s="54" t="s">
        <v>528</v>
      </c>
      <c r="D218" s="27" t="s">
        <v>272</v>
      </c>
      <c r="E218" s="27" t="s">
        <v>286</v>
      </c>
      <c r="F218" s="55" t="str">
        <f>VLOOKUP(Клиенты[[#This Row],[GardenaChannel]],GardenChannel[[GardenChannel]:[Sales manager]],2,0)</f>
        <v>ОРЛОВ КИРИЛЛ</v>
      </c>
      <c r="H218" s="27" t="s">
        <v>494</v>
      </c>
    </row>
    <row r="219" spans="1:8" x14ac:dyDescent="0.25">
      <c r="A219" s="32" t="s">
        <v>972</v>
      </c>
      <c r="B219" s="27" t="s">
        <v>494</v>
      </c>
      <c r="C219" s="54" t="s">
        <v>529</v>
      </c>
      <c r="D219" s="27" t="s">
        <v>272</v>
      </c>
      <c r="E219" s="27" t="s">
        <v>273</v>
      </c>
      <c r="F219" s="55" t="str">
        <f>VLOOKUP(Клиенты[[#This Row],[GardenaChannel]],GardenChannel[[GardenChannel]:[Sales manager]],2,0)</f>
        <v>ОРЛОВ КИРИЛЛ</v>
      </c>
      <c r="H219" s="27" t="s">
        <v>494</v>
      </c>
    </row>
    <row r="220" spans="1:8" x14ac:dyDescent="0.25">
      <c r="A220" s="32" t="s">
        <v>973</v>
      </c>
      <c r="B220" s="27" t="s">
        <v>494</v>
      </c>
      <c r="C220" s="54" t="s">
        <v>530</v>
      </c>
      <c r="D220" s="27" t="s">
        <v>272</v>
      </c>
      <c r="E220" s="27" t="s">
        <v>273</v>
      </c>
      <c r="F220" s="55" t="str">
        <f>VLOOKUP(Клиенты[[#This Row],[GardenaChannel]],GardenChannel[[GardenChannel]:[Sales manager]],2,0)</f>
        <v>ОРЛОВ КИРИЛЛ</v>
      </c>
      <c r="H220" s="27" t="s">
        <v>494</v>
      </c>
    </row>
    <row r="221" spans="1:8" x14ac:dyDescent="0.25">
      <c r="A221" s="32" t="s">
        <v>974</v>
      </c>
      <c r="B221" s="27" t="s">
        <v>494</v>
      </c>
      <c r="C221" s="54" t="s">
        <v>531</v>
      </c>
      <c r="D221" s="27" t="s">
        <v>272</v>
      </c>
      <c r="E221" s="27" t="s">
        <v>273</v>
      </c>
      <c r="F221" s="55" t="str">
        <f>VLOOKUP(Клиенты[[#This Row],[GardenaChannel]],GardenChannel[[GardenChannel]:[Sales manager]],2,0)</f>
        <v>ОРЛОВ КИРИЛЛ</v>
      </c>
      <c r="H221" s="27" t="s">
        <v>494</v>
      </c>
    </row>
    <row r="222" spans="1:8" x14ac:dyDescent="0.25">
      <c r="A222" s="32" t="s">
        <v>975</v>
      </c>
      <c r="B222" s="27" t="s">
        <v>494</v>
      </c>
      <c r="C222" s="54" t="s">
        <v>532</v>
      </c>
      <c r="D222" s="27" t="s">
        <v>272</v>
      </c>
      <c r="E222" s="27" t="s">
        <v>273</v>
      </c>
      <c r="F222" s="55" t="str">
        <f>VLOOKUP(Клиенты[[#This Row],[GardenaChannel]],GardenChannel[[GardenChannel]:[Sales manager]],2,0)</f>
        <v>ОРЛОВ КИРИЛЛ</v>
      </c>
      <c r="H222" s="27" t="s">
        <v>494</v>
      </c>
    </row>
    <row r="223" spans="1:8" x14ac:dyDescent="0.25">
      <c r="A223" s="32" t="s">
        <v>976</v>
      </c>
      <c r="B223" s="27" t="s">
        <v>494</v>
      </c>
      <c r="C223" s="54" t="s">
        <v>533</v>
      </c>
      <c r="D223" s="27" t="s">
        <v>272</v>
      </c>
      <c r="E223" s="27" t="s">
        <v>273</v>
      </c>
      <c r="F223" s="55" t="str">
        <f>VLOOKUP(Клиенты[[#This Row],[GardenaChannel]],GardenChannel[[GardenChannel]:[Sales manager]],2,0)</f>
        <v>ОРЛОВ КИРИЛЛ</v>
      </c>
      <c r="H223" s="27" t="s">
        <v>494</v>
      </c>
    </row>
    <row r="224" spans="1:8" x14ac:dyDescent="0.25">
      <c r="A224" s="32" t="s">
        <v>977</v>
      </c>
      <c r="B224" s="27" t="s">
        <v>494</v>
      </c>
      <c r="C224" s="54" t="s">
        <v>534</v>
      </c>
      <c r="D224" s="27" t="s">
        <v>272</v>
      </c>
      <c r="E224" s="27" t="s">
        <v>286</v>
      </c>
      <c r="F224" s="55" t="str">
        <f>VLOOKUP(Клиенты[[#This Row],[GardenaChannel]],GardenChannel[[GardenChannel]:[Sales manager]],2,0)</f>
        <v>ОРЛОВ КИРИЛЛ</v>
      </c>
      <c r="H224" s="27" t="s">
        <v>494</v>
      </c>
    </row>
    <row r="225" spans="1:8" x14ac:dyDescent="0.25">
      <c r="A225" s="32" t="s">
        <v>978</v>
      </c>
      <c r="B225" s="27" t="s">
        <v>494</v>
      </c>
      <c r="C225" s="54" t="s">
        <v>535</v>
      </c>
      <c r="D225" s="27" t="s">
        <v>272</v>
      </c>
      <c r="E225" s="27" t="s">
        <v>273</v>
      </c>
      <c r="F225" s="55" t="str">
        <f>VLOOKUP(Клиенты[[#This Row],[GardenaChannel]],GardenChannel[[GardenChannel]:[Sales manager]],2,0)</f>
        <v>ОРЛОВ КИРИЛЛ</v>
      </c>
      <c r="H225" s="27" t="s">
        <v>494</v>
      </c>
    </row>
    <row r="226" spans="1:8" x14ac:dyDescent="0.25">
      <c r="A226" s="32" t="s">
        <v>979</v>
      </c>
      <c r="B226" s="27" t="s">
        <v>494</v>
      </c>
      <c r="C226" s="54" t="s">
        <v>536</v>
      </c>
      <c r="D226" s="27" t="s">
        <v>272</v>
      </c>
      <c r="E226" s="27" t="s">
        <v>273</v>
      </c>
      <c r="F226" s="55" t="str">
        <f>VLOOKUP(Клиенты[[#This Row],[GardenaChannel]],GardenChannel[[GardenChannel]:[Sales manager]],2,0)</f>
        <v>ОРЛОВ КИРИЛЛ</v>
      </c>
      <c r="H226" s="27" t="s">
        <v>494</v>
      </c>
    </row>
    <row r="227" spans="1:8" x14ac:dyDescent="0.25">
      <c r="A227" s="32" t="s">
        <v>980</v>
      </c>
      <c r="B227" s="27" t="s">
        <v>494</v>
      </c>
      <c r="C227" s="54" t="s">
        <v>537</v>
      </c>
      <c r="D227" s="27" t="s">
        <v>272</v>
      </c>
      <c r="E227" s="27" t="s">
        <v>273</v>
      </c>
      <c r="F227" s="55" t="str">
        <f>VLOOKUP(Клиенты[[#This Row],[GardenaChannel]],GardenChannel[[GardenChannel]:[Sales manager]],2,0)</f>
        <v>ОРЛОВ КИРИЛЛ</v>
      </c>
      <c r="H227" s="27" t="s">
        <v>494</v>
      </c>
    </row>
    <row r="228" spans="1:8" x14ac:dyDescent="0.25">
      <c r="A228" s="32" t="s">
        <v>981</v>
      </c>
      <c r="B228" s="27" t="s">
        <v>494</v>
      </c>
      <c r="C228" s="54" t="s">
        <v>538</v>
      </c>
      <c r="D228" s="27" t="s">
        <v>272</v>
      </c>
      <c r="E228" s="27" t="s">
        <v>273</v>
      </c>
      <c r="F228" s="55" t="str">
        <f>VLOOKUP(Клиенты[[#This Row],[GardenaChannel]],GardenChannel[[GardenChannel]:[Sales manager]],2,0)</f>
        <v>ОРЛОВ КИРИЛЛ</v>
      </c>
      <c r="H228" s="27" t="s">
        <v>494</v>
      </c>
    </row>
    <row r="229" spans="1:8" x14ac:dyDescent="0.25">
      <c r="A229" s="32" t="s">
        <v>982</v>
      </c>
      <c r="B229" s="27" t="s">
        <v>494</v>
      </c>
      <c r="C229" s="54" t="s">
        <v>539</v>
      </c>
      <c r="D229" s="27" t="s">
        <v>272</v>
      </c>
      <c r="E229" s="27" t="s">
        <v>273</v>
      </c>
      <c r="F229" s="55" t="str">
        <f>VLOOKUP(Клиенты[[#This Row],[GardenaChannel]],GardenChannel[[GardenChannel]:[Sales manager]],2,0)</f>
        <v>ОРЛОВ КИРИЛЛ</v>
      </c>
      <c r="H229" s="27" t="s">
        <v>494</v>
      </c>
    </row>
    <row r="230" spans="1:8" x14ac:dyDescent="0.25">
      <c r="A230" s="32" t="s">
        <v>983</v>
      </c>
      <c r="B230" s="27" t="s">
        <v>494</v>
      </c>
      <c r="C230" s="54" t="s">
        <v>540</v>
      </c>
      <c r="D230" s="27" t="s">
        <v>272</v>
      </c>
      <c r="E230" s="27" t="s">
        <v>310</v>
      </c>
      <c r="F230" s="55" t="str">
        <f>VLOOKUP(Клиенты[[#This Row],[GardenaChannel]],GardenChannel[[GardenChannel]:[Sales manager]],2,0)</f>
        <v>ОРЛОВ КИРИЛЛ</v>
      </c>
      <c r="H230" s="27" t="s">
        <v>494</v>
      </c>
    </row>
    <row r="231" spans="1:8" x14ac:dyDescent="0.25">
      <c r="A231" s="32" t="s">
        <v>984</v>
      </c>
      <c r="B231" s="27" t="s">
        <v>494</v>
      </c>
      <c r="C231" s="54" t="s">
        <v>541</v>
      </c>
      <c r="D231" s="27" t="s">
        <v>272</v>
      </c>
      <c r="E231" s="27" t="s">
        <v>273</v>
      </c>
      <c r="F231" s="55" t="str">
        <f>VLOOKUP(Клиенты[[#This Row],[GardenaChannel]],GardenChannel[[GardenChannel]:[Sales manager]],2,0)</f>
        <v>ОРЛОВ КИРИЛЛ</v>
      </c>
      <c r="H231" s="27" t="s">
        <v>494</v>
      </c>
    </row>
    <row r="232" spans="1:8" x14ac:dyDescent="0.25">
      <c r="A232" s="32" t="s">
        <v>985</v>
      </c>
      <c r="B232" s="27" t="s">
        <v>494</v>
      </c>
      <c r="C232" s="54" t="s">
        <v>542</v>
      </c>
      <c r="D232" s="27" t="s">
        <v>272</v>
      </c>
      <c r="E232" s="27" t="s">
        <v>286</v>
      </c>
      <c r="F232" s="55" t="str">
        <f>VLOOKUP(Клиенты[[#This Row],[GardenaChannel]],GardenChannel[[GardenChannel]:[Sales manager]],2,0)</f>
        <v>ОРЛОВ КИРИЛЛ</v>
      </c>
      <c r="H232" s="27" t="s">
        <v>494</v>
      </c>
    </row>
    <row r="233" spans="1:8" x14ac:dyDescent="0.25">
      <c r="A233" s="32" t="s">
        <v>986</v>
      </c>
      <c r="B233" s="27" t="s">
        <v>494</v>
      </c>
      <c r="C233" s="54" t="s">
        <v>543</v>
      </c>
      <c r="D233" s="27" t="s">
        <v>272</v>
      </c>
      <c r="E233" s="27" t="s">
        <v>273</v>
      </c>
      <c r="F233" s="55" t="str">
        <f>VLOOKUP(Клиенты[[#This Row],[GardenaChannel]],GardenChannel[[GardenChannel]:[Sales manager]],2,0)</f>
        <v>ОРЛОВ КИРИЛЛ</v>
      </c>
      <c r="H233" s="27" t="s">
        <v>494</v>
      </c>
    </row>
    <row r="234" spans="1:8" x14ac:dyDescent="0.25">
      <c r="A234" s="32" t="s">
        <v>987</v>
      </c>
      <c r="B234" s="27" t="s">
        <v>494</v>
      </c>
      <c r="C234" s="54" t="s">
        <v>544</v>
      </c>
      <c r="D234" s="27" t="s">
        <v>272</v>
      </c>
      <c r="E234" s="27" t="s">
        <v>273</v>
      </c>
      <c r="F234" s="55" t="str">
        <f>VLOOKUP(Клиенты[[#This Row],[GardenaChannel]],GardenChannel[[GardenChannel]:[Sales manager]],2,0)</f>
        <v>ОРЛОВ КИРИЛЛ</v>
      </c>
      <c r="H234" s="27" t="s">
        <v>494</v>
      </c>
    </row>
    <row r="235" spans="1:8" x14ac:dyDescent="0.25">
      <c r="A235" s="32" t="s">
        <v>988</v>
      </c>
      <c r="B235" s="27" t="s">
        <v>494</v>
      </c>
      <c r="C235" s="54" t="s">
        <v>545</v>
      </c>
      <c r="D235" s="27" t="s">
        <v>272</v>
      </c>
      <c r="E235" s="27" t="s">
        <v>286</v>
      </c>
      <c r="F235" s="55" t="str">
        <f>VLOOKUP(Клиенты[[#This Row],[GardenaChannel]],GardenChannel[[GardenChannel]:[Sales manager]],2,0)</f>
        <v>ОРЛОВ КИРИЛЛ</v>
      </c>
      <c r="H235" s="27" t="s">
        <v>494</v>
      </c>
    </row>
    <row r="236" spans="1:8" x14ac:dyDescent="0.25">
      <c r="A236" s="32" t="s">
        <v>989</v>
      </c>
      <c r="B236" s="27" t="s">
        <v>494</v>
      </c>
      <c r="C236" s="54" t="s">
        <v>546</v>
      </c>
      <c r="D236" s="27" t="s">
        <v>272</v>
      </c>
      <c r="E236" s="27" t="s">
        <v>273</v>
      </c>
      <c r="F236" s="55" t="str">
        <f>VLOOKUP(Клиенты[[#This Row],[GardenaChannel]],GardenChannel[[GardenChannel]:[Sales manager]],2,0)</f>
        <v>ОРЛОВ КИРИЛЛ</v>
      </c>
      <c r="H236" s="27" t="s">
        <v>494</v>
      </c>
    </row>
    <row r="237" spans="1:8" x14ac:dyDescent="0.25">
      <c r="A237" s="32" t="s">
        <v>990</v>
      </c>
      <c r="B237" s="27" t="s">
        <v>494</v>
      </c>
      <c r="C237" s="54" t="s">
        <v>547</v>
      </c>
      <c r="D237" s="27" t="s">
        <v>272</v>
      </c>
      <c r="E237" s="27" t="s">
        <v>273</v>
      </c>
      <c r="F237" s="55" t="str">
        <f>VLOOKUP(Клиенты[[#This Row],[GardenaChannel]],GardenChannel[[GardenChannel]:[Sales manager]],2,0)</f>
        <v>ОРЛОВ КИРИЛЛ</v>
      </c>
      <c r="H237" s="27" t="s">
        <v>494</v>
      </c>
    </row>
    <row r="238" spans="1:8" x14ac:dyDescent="0.25">
      <c r="A238" s="32" t="s">
        <v>991</v>
      </c>
      <c r="B238" s="27" t="s">
        <v>494</v>
      </c>
      <c r="C238" s="54" t="s">
        <v>548</v>
      </c>
      <c r="D238" s="27" t="s">
        <v>272</v>
      </c>
      <c r="E238" s="27" t="s">
        <v>310</v>
      </c>
      <c r="F238" s="55" t="str">
        <f>VLOOKUP(Клиенты[[#This Row],[GardenaChannel]],GardenChannel[[GardenChannel]:[Sales manager]],2,0)</f>
        <v>ОРЛОВ КИРИЛЛ</v>
      </c>
      <c r="H238" s="27" t="s">
        <v>494</v>
      </c>
    </row>
    <row r="239" spans="1:8" x14ac:dyDescent="0.25">
      <c r="A239" s="32" t="s">
        <v>992</v>
      </c>
      <c r="B239" s="27" t="s">
        <v>494</v>
      </c>
      <c r="C239" s="54" t="s">
        <v>549</v>
      </c>
      <c r="D239" s="27" t="s">
        <v>272</v>
      </c>
      <c r="E239" s="27" t="s">
        <v>273</v>
      </c>
      <c r="F239" s="55" t="str">
        <f>VLOOKUP(Клиенты[[#This Row],[GardenaChannel]],GardenChannel[[GardenChannel]:[Sales manager]],2,0)</f>
        <v>ОРЛОВ КИРИЛЛ</v>
      </c>
      <c r="H239" s="27" t="s">
        <v>494</v>
      </c>
    </row>
    <row r="240" spans="1:8" x14ac:dyDescent="0.25">
      <c r="A240" s="32" t="s">
        <v>993</v>
      </c>
      <c r="B240" s="27" t="s">
        <v>494</v>
      </c>
      <c r="C240" s="54" t="s">
        <v>550</v>
      </c>
      <c r="D240" s="27" t="s">
        <v>272</v>
      </c>
      <c r="E240" s="27" t="s">
        <v>273</v>
      </c>
      <c r="F240" s="55" t="str">
        <f>VLOOKUP(Клиенты[[#This Row],[GardenaChannel]],GardenChannel[[GardenChannel]:[Sales manager]],2,0)</f>
        <v>ОРЛОВ КИРИЛЛ</v>
      </c>
      <c r="H240" s="27" t="s">
        <v>494</v>
      </c>
    </row>
    <row r="241" spans="1:8" x14ac:dyDescent="0.25">
      <c r="A241" s="32" t="s">
        <v>994</v>
      </c>
      <c r="B241" s="27" t="s">
        <v>494</v>
      </c>
      <c r="C241" s="54" t="s">
        <v>551</v>
      </c>
      <c r="D241" s="27" t="s">
        <v>272</v>
      </c>
      <c r="E241" s="27" t="s">
        <v>273</v>
      </c>
      <c r="F241" s="55" t="str">
        <f>VLOOKUP(Клиенты[[#This Row],[GardenaChannel]],GardenChannel[[GardenChannel]:[Sales manager]],2,0)</f>
        <v>ОРЛОВ КИРИЛЛ</v>
      </c>
      <c r="H241" s="27" t="s">
        <v>494</v>
      </c>
    </row>
    <row r="242" spans="1:8" x14ac:dyDescent="0.25">
      <c r="A242" s="32" t="s">
        <v>995</v>
      </c>
      <c r="B242" s="27" t="s">
        <v>494</v>
      </c>
      <c r="C242" s="54" t="s">
        <v>552</v>
      </c>
      <c r="D242" s="27" t="s">
        <v>272</v>
      </c>
      <c r="E242" s="27" t="s">
        <v>273</v>
      </c>
      <c r="F242" s="55" t="str">
        <f>VLOOKUP(Клиенты[[#This Row],[GardenaChannel]],GardenChannel[[GardenChannel]:[Sales manager]],2,0)</f>
        <v>ОРЛОВ КИРИЛЛ</v>
      </c>
      <c r="H242" s="27" t="s">
        <v>494</v>
      </c>
    </row>
    <row r="243" spans="1:8" x14ac:dyDescent="0.25">
      <c r="A243" s="32" t="s">
        <v>996</v>
      </c>
      <c r="B243" s="27" t="s">
        <v>494</v>
      </c>
      <c r="C243" s="54" t="s">
        <v>553</v>
      </c>
      <c r="D243" s="27" t="s">
        <v>272</v>
      </c>
      <c r="E243" s="27" t="s">
        <v>310</v>
      </c>
      <c r="F243" s="55" t="str">
        <f>VLOOKUP(Клиенты[[#This Row],[GardenaChannel]],GardenChannel[[GardenChannel]:[Sales manager]],2,0)</f>
        <v>ОРЛОВ КИРИЛЛ</v>
      </c>
      <c r="H243" s="27" t="s">
        <v>494</v>
      </c>
    </row>
    <row r="244" spans="1:8" x14ac:dyDescent="0.25">
      <c r="A244" s="32" t="s">
        <v>997</v>
      </c>
      <c r="B244" s="27" t="s">
        <v>494</v>
      </c>
      <c r="C244" s="54" t="s">
        <v>554</v>
      </c>
      <c r="D244" s="27" t="s">
        <v>272</v>
      </c>
      <c r="E244" s="27" t="s">
        <v>273</v>
      </c>
      <c r="F244" s="55" t="str">
        <f>VLOOKUP(Клиенты[[#This Row],[GardenaChannel]],GardenChannel[[GardenChannel]:[Sales manager]],2,0)</f>
        <v>ОРЛОВ КИРИЛЛ</v>
      </c>
      <c r="H244" s="27" t="s">
        <v>494</v>
      </c>
    </row>
    <row r="245" spans="1:8" x14ac:dyDescent="0.25">
      <c r="A245" s="32" t="s">
        <v>998</v>
      </c>
      <c r="B245" s="27" t="s">
        <v>494</v>
      </c>
      <c r="C245" s="54" t="s">
        <v>555</v>
      </c>
      <c r="D245" s="27" t="s">
        <v>272</v>
      </c>
      <c r="E245" s="27" t="s">
        <v>273</v>
      </c>
      <c r="F245" s="55" t="str">
        <f>VLOOKUP(Клиенты[[#This Row],[GardenaChannel]],GardenChannel[[GardenChannel]:[Sales manager]],2,0)</f>
        <v>ОРЛОВ КИРИЛЛ</v>
      </c>
      <c r="H245" s="27" t="s">
        <v>494</v>
      </c>
    </row>
    <row r="246" spans="1:8" x14ac:dyDescent="0.25">
      <c r="A246" s="32" t="s">
        <v>999</v>
      </c>
      <c r="B246" s="27" t="s">
        <v>494</v>
      </c>
      <c r="C246" s="54" t="s">
        <v>556</v>
      </c>
      <c r="D246" s="27" t="s">
        <v>272</v>
      </c>
      <c r="E246" s="27" t="s">
        <v>273</v>
      </c>
      <c r="F246" s="55" t="str">
        <f>VLOOKUP(Клиенты[[#This Row],[GardenaChannel]],GardenChannel[[GardenChannel]:[Sales manager]],2,0)</f>
        <v>ОРЛОВ КИРИЛЛ</v>
      </c>
      <c r="H246" s="27" t="s">
        <v>494</v>
      </c>
    </row>
    <row r="247" spans="1:8" x14ac:dyDescent="0.25">
      <c r="A247" s="32" t="s">
        <v>1000</v>
      </c>
      <c r="B247" s="27" t="s">
        <v>494</v>
      </c>
      <c r="C247" s="54" t="s">
        <v>557</v>
      </c>
      <c r="D247" s="27" t="s">
        <v>272</v>
      </c>
      <c r="E247" s="27" t="s">
        <v>273</v>
      </c>
      <c r="F247" s="55" t="str">
        <f>VLOOKUP(Клиенты[[#This Row],[GardenaChannel]],GardenChannel[[GardenChannel]:[Sales manager]],2,0)</f>
        <v>ОРЛОВ КИРИЛЛ</v>
      </c>
      <c r="H247" s="27" t="s">
        <v>494</v>
      </c>
    </row>
    <row r="248" spans="1:8" x14ac:dyDescent="0.25">
      <c r="A248" s="32" t="s">
        <v>1001</v>
      </c>
      <c r="B248" s="27" t="s">
        <v>494</v>
      </c>
      <c r="C248" s="54" t="s">
        <v>558</v>
      </c>
      <c r="D248" s="27" t="s">
        <v>272</v>
      </c>
      <c r="E248" s="27" t="s">
        <v>273</v>
      </c>
      <c r="F248" s="55" t="str">
        <f>VLOOKUP(Клиенты[[#This Row],[GardenaChannel]],GardenChannel[[GardenChannel]:[Sales manager]],2,0)</f>
        <v>ОРЛОВ КИРИЛЛ</v>
      </c>
      <c r="H248" s="27" t="s">
        <v>494</v>
      </c>
    </row>
    <row r="249" spans="1:8" x14ac:dyDescent="0.25">
      <c r="A249" s="32" t="s">
        <v>1002</v>
      </c>
      <c r="B249" s="27" t="s">
        <v>494</v>
      </c>
      <c r="C249" s="54" t="s">
        <v>559</v>
      </c>
      <c r="D249" s="27" t="s">
        <v>272</v>
      </c>
      <c r="E249" s="27" t="s">
        <v>273</v>
      </c>
      <c r="F249" s="55" t="str">
        <f>VLOOKUP(Клиенты[[#This Row],[GardenaChannel]],GardenChannel[[GardenChannel]:[Sales manager]],2,0)</f>
        <v>ОРЛОВ КИРИЛЛ</v>
      </c>
      <c r="H249" s="27" t="s">
        <v>494</v>
      </c>
    </row>
    <row r="250" spans="1:8" x14ac:dyDescent="0.25">
      <c r="A250" s="32" t="s">
        <v>1003</v>
      </c>
      <c r="B250" s="27" t="s">
        <v>494</v>
      </c>
      <c r="C250" s="54" t="s">
        <v>560</v>
      </c>
      <c r="D250" s="27" t="s">
        <v>272</v>
      </c>
      <c r="E250" s="27" t="s">
        <v>273</v>
      </c>
      <c r="F250" s="55" t="str">
        <f>VLOOKUP(Клиенты[[#This Row],[GardenaChannel]],GardenChannel[[GardenChannel]:[Sales manager]],2,0)</f>
        <v>ОРЛОВ КИРИЛЛ</v>
      </c>
      <c r="H250" s="27" t="s">
        <v>494</v>
      </c>
    </row>
    <row r="251" spans="1:8" x14ac:dyDescent="0.25">
      <c r="A251" s="32" t="s">
        <v>1004</v>
      </c>
      <c r="B251" s="27" t="s">
        <v>494</v>
      </c>
      <c r="C251" s="54" t="s">
        <v>561</v>
      </c>
      <c r="D251" s="27" t="s">
        <v>272</v>
      </c>
      <c r="E251" s="27" t="s">
        <v>273</v>
      </c>
      <c r="F251" s="55" t="str">
        <f>VLOOKUP(Клиенты[[#This Row],[GardenaChannel]],GardenChannel[[GardenChannel]:[Sales manager]],2,0)</f>
        <v>ОРЛОВ КИРИЛЛ</v>
      </c>
      <c r="H251" s="27" t="s">
        <v>494</v>
      </c>
    </row>
    <row r="252" spans="1:8" x14ac:dyDescent="0.25">
      <c r="A252" s="32" t="s">
        <v>1005</v>
      </c>
      <c r="B252" s="27" t="s">
        <v>494</v>
      </c>
      <c r="C252" s="54" t="s">
        <v>562</v>
      </c>
      <c r="D252" s="27" t="s">
        <v>272</v>
      </c>
      <c r="E252" s="27" t="s">
        <v>273</v>
      </c>
      <c r="F252" s="55" t="str">
        <f>VLOOKUP(Клиенты[[#This Row],[GardenaChannel]],GardenChannel[[GardenChannel]:[Sales manager]],2,0)</f>
        <v>ОРЛОВ КИРИЛЛ</v>
      </c>
      <c r="H252" s="27" t="s">
        <v>494</v>
      </c>
    </row>
    <row r="253" spans="1:8" x14ac:dyDescent="0.25">
      <c r="A253" s="32" t="s">
        <v>1006</v>
      </c>
      <c r="B253" s="27" t="s">
        <v>494</v>
      </c>
      <c r="C253" s="54" t="s">
        <v>563</v>
      </c>
      <c r="D253" s="27" t="s">
        <v>272</v>
      </c>
      <c r="E253" s="27" t="s">
        <v>273</v>
      </c>
      <c r="F253" s="55" t="str">
        <f>VLOOKUP(Клиенты[[#This Row],[GardenaChannel]],GardenChannel[[GardenChannel]:[Sales manager]],2,0)</f>
        <v>ОРЛОВ КИРИЛЛ</v>
      </c>
      <c r="H253" s="27" t="s">
        <v>494</v>
      </c>
    </row>
    <row r="254" spans="1:8" x14ac:dyDescent="0.25">
      <c r="A254" s="32" t="s">
        <v>1007</v>
      </c>
      <c r="B254" s="27" t="s">
        <v>494</v>
      </c>
      <c r="C254" s="54" t="s">
        <v>564</v>
      </c>
      <c r="D254" s="27" t="s">
        <v>272</v>
      </c>
      <c r="E254" s="27" t="s">
        <v>273</v>
      </c>
      <c r="F254" s="55" t="str">
        <f>VLOOKUP(Клиенты[[#This Row],[GardenaChannel]],GardenChannel[[GardenChannel]:[Sales manager]],2,0)</f>
        <v>ОРЛОВ КИРИЛЛ</v>
      </c>
      <c r="H254" s="27" t="s">
        <v>494</v>
      </c>
    </row>
    <row r="255" spans="1:8" x14ac:dyDescent="0.25">
      <c r="A255" s="32" t="s">
        <v>1008</v>
      </c>
      <c r="B255" s="27" t="s">
        <v>494</v>
      </c>
      <c r="C255" s="54" t="s">
        <v>565</v>
      </c>
      <c r="D255" s="27" t="s">
        <v>272</v>
      </c>
      <c r="E255" s="27" t="s">
        <v>273</v>
      </c>
      <c r="F255" s="55" t="str">
        <f>VLOOKUP(Клиенты[[#This Row],[GardenaChannel]],GardenChannel[[GardenChannel]:[Sales manager]],2,0)</f>
        <v>ОРЛОВ КИРИЛЛ</v>
      </c>
      <c r="H255" s="27" t="s">
        <v>494</v>
      </c>
    </row>
    <row r="256" spans="1:8" x14ac:dyDescent="0.25">
      <c r="A256" s="32" t="s">
        <v>1009</v>
      </c>
      <c r="B256" s="27" t="s">
        <v>494</v>
      </c>
      <c r="C256" s="54" t="s">
        <v>566</v>
      </c>
      <c r="D256" s="27" t="s">
        <v>272</v>
      </c>
      <c r="E256" s="27" t="s">
        <v>273</v>
      </c>
      <c r="F256" s="55" t="str">
        <f>VLOOKUP(Клиенты[[#This Row],[GardenaChannel]],GardenChannel[[GardenChannel]:[Sales manager]],2,0)</f>
        <v>ОРЛОВ КИРИЛЛ</v>
      </c>
      <c r="H256" s="27" t="s">
        <v>494</v>
      </c>
    </row>
    <row r="257" spans="1:8" x14ac:dyDescent="0.25">
      <c r="A257" s="32" t="s">
        <v>1010</v>
      </c>
      <c r="B257" s="27" t="s">
        <v>494</v>
      </c>
      <c r="C257" s="54" t="s">
        <v>567</v>
      </c>
      <c r="D257" s="27" t="s">
        <v>272</v>
      </c>
      <c r="E257" s="27" t="s">
        <v>273</v>
      </c>
      <c r="F257" s="55" t="str">
        <f>VLOOKUP(Клиенты[[#This Row],[GardenaChannel]],GardenChannel[[GardenChannel]:[Sales manager]],2,0)</f>
        <v>ОРЛОВ КИРИЛЛ</v>
      </c>
      <c r="H257" s="27" t="s">
        <v>494</v>
      </c>
    </row>
    <row r="258" spans="1:8" x14ac:dyDescent="0.25">
      <c r="A258" s="32" t="s">
        <v>1011</v>
      </c>
      <c r="B258" s="27" t="s">
        <v>568</v>
      </c>
      <c r="C258" s="54" t="s">
        <v>569</v>
      </c>
      <c r="D258" s="27" t="s">
        <v>272</v>
      </c>
      <c r="E258" s="27" t="s">
        <v>273</v>
      </c>
      <c r="F258" s="55" t="str">
        <f>VLOOKUP(Клиенты[[#This Row],[GardenaChannel]],GardenChannel[[GardenChannel]:[Sales manager]],2,0)</f>
        <v>КАШКИН ВЛАДИМИР</v>
      </c>
      <c r="H258" s="27" t="s">
        <v>568</v>
      </c>
    </row>
    <row r="259" spans="1:8" x14ac:dyDescent="0.25">
      <c r="A259" s="32" t="s">
        <v>1012</v>
      </c>
      <c r="B259" s="27" t="s">
        <v>568</v>
      </c>
      <c r="C259" s="54" t="s">
        <v>571</v>
      </c>
      <c r="D259" s="27" t="s">
        <v>272</v>
      </c>
      <c r="E259" s="27" t="s">
        <v>273</v>
      </c>
      <c r="F259" s="55" t="str">
        <f>VLOOKUP(Клиенты[[#This Row],[GardenaChannel]],GardenChannel[[GardenChannel]:[Sales manager]],2,0)</f>
        <v>КАШКИН ВЛАДИМИР</v>
      </c>
      <c r="H259" s="27" t="s">
        <v>568</v>
      </c>
    </row>
    <row r="260" spans="1:8" x14ac:dyDescent="0.25">
      <c r="A260" s="32" t="s">
        <v>1013</v>
      </c>
      <c r="B260" s="27" t="s">
        <v>568</v>
      </c>
      <c r="C260" s="54" t="s">
        <v>572</v>
      </c>
      <c r="D260" s="27" t="s">
        <v>272</v>
      </c>
      <c r="E260" s="27" t="s">
        <v>273</v>
      </c>
      <c r="F260" s="55" t="str">
        <f>VLOOKUP(Клиенты[[#This Row],[GardenaChannel]],GardenChannel[[GardenChannel]:[Sales manager]],2,0)</f>
        <v>КАШКИН ВЛАДИМИР</v>
      </c>
      <c r="H260" s="27" t="s">
        <v>568</v>
      </c>
    </row>
    <row r="261" spans="1:8" x14ac:dyDescent="0.25">
      <c r="A261" s="32" t="s">
        <v>1014</v>
      </c>
      <c r="B261" s="27" t="s">
        <v>568</v>
      </c>
      <c r="C261" s="54" t="s">
        <v>573</v>
      </c>
      <c r="D261" s="27" t="s">
        <v>272</v>
      </c>
      <c r="E261" s="27" t="s">
        <v>273</v>
      </c>
      <c r="F261" s="55" t="str">
        <f>VLOOKUP(Клиенты[[#This Row],[GardenaChannel]],GardenChannel[[GardenChannel]:[Sales manager]],2,0)</f>
        <v>КАШКИН ВЛАДИМИР</v>
      </c>
      <c r="H261" s="27" t="s">
        <v>568</v>
      </c>
    </row>
    <row r="262" spans="1:8" x14ac:dyDescent="0.25">
      <c r="A262" s="32" t="s">
        <v>1015</v>
      </c>
      <c r="B262" s="27" t="s">
        <v>568</v>
      </c>
      <c r="C262" s="54" t="s">
        <v>574</v>
      </c>
      <c r="D262" s="27" t="s">
        <v>272</v>
      </c>
      <c r="E262" s="27" t="s">
        <v>273</v>
      </c>
      <c r="F262" s="55" t="str">
        <f>VLOOKUP(Клиенты[[#This Row],[GardenaChannel]],GardenChannel[[GardenChannel]:[Sales manager]],2,0)</f>
        <v>КАШКИН ВЛАДИМИР</v>
      </c>
      <c r="H262" s="27" t="s">
        <v>568</v>
      </c>
    </row>
    <row r="263" spans="1:8" x14ac:dyDescent="0.25">
      <c r="A263" s="32" t="s">
        <v>1016</v>
      </c>
      <c r="B263" s="27" t="s">
        <v>568</v>
      </c>
      <c r="C263" s="54" t="s">
        <v>575</v>
      </c>
      <c r="D263" s="27" t="s">
        <v>272</v>
      </c>
      <c r="E263" s="27" t="s">
        <v>273</v>
      </c>
      <c r="F263" s="55" t="str">
        <f>VLOOKUP(Клиенты[[#This Row],[GardenaChannel]],GardenChannel[[GardenChannel]:[Sales manager]],2,0)</f>
        <v>КАШКИН ВЛАДИМИР</v>
      </c>
      <c r="H263" s="27" t="s">
        <v>568</v>
      </c>
    </row>
    <row r="264" spans="1:8" x14ac:dyDescent="0.25">
      <c r="A264" s="32" t="s">
        <v>1017</v>
      </c>
      <c r="B264" s="27" t="s">
        <v>568</v>
      </c>
      <c r="C264" s="54" t="s">
        <v>576</v>
      </c>
      <c r="D264" s="27" t="s">
        <v>272</v>
      </c>
      <c r="E264" s="27" t="s">
        <v>273</v>
      </c>
      <c r="F264" s="55" t="str">
        <f>VLOOKUP(Клиенты[[#This Row],[GardenaChannel]],GardenChannel[[GardenChannel]:[Sales manager]],2,0)</f>
        <v>КАШКИН ВЛАДИМИР</v>
      </c>
      <c r="H264" s="27" t="s">
        <v>568</v>
      </c>
    </row>
    <row r="265" spans="1:8" x14ac:dyDescent="0.25">
      <c r="A265" s="32" t="s">
        <v>1018</v>
      </c>
      <c r="B265" s="27" t="s">
        <v>568</v>
      </c>
      <c r="C265" s="54" t="s">
        <v>577</v>
      </c>
      <c r="D265" s="27" t="s">
        <v>272</v>
      </c>
      <c r="E265" s="27" t="s">
        <v>273</v>
      </c>
      <c r="F265" s="55" t="str">
        <f>VLOOKUP(Клиенты[[#This Row],[GardenaChannel]],GardenChannel[[GardenChannel]:[Sales manager]],2,0)</f>
        <v>КАШКИН ВЛАДИМИР</v>
      </c>
      <c r="H265" s="27" t="s">
        <v>568</v>
      </c>
    </row>
    <row r="266" spans="1:8" x14ac:dyDescent="0.25">
      <c r="A266" s="32" t="s">
        <v>1019</v>
      </c>
      <c r="B266" s="27" t="s">
        <v>568</v>
      </c>
      <c r="C266" s="54" t="s">
        <v>578</v>
      </c>
      <c r="D266" s="27" t="s">
        <v>272</v>
      </c>
      <c r="E266" s="27" t="s">
        <v>273</v>
      </c>
      <c r="F266" s="55" t="str">
        <f>VLOOKUP(Клиенты[[#This Row],[GardenaChannel]],GardenChannel[[GardenChannel]:[Sales manager]],2,0)</f>
        <v>КАШКИН ВЛАДИМИР</v>
      </c>
      <c r="H266" s="27" t="s">
        <v>568</v>
      </c>
    </row>
    <row r="267" spans="1:8" x14ac:dyDescent="0.25">
      <c r="A267" s="32" t="s">
        <v>1020</v>
      </c>
      <c r="B267" s="27" t="s">
        <v>568</v>
      </c>
      <c r="C267" s="54" t="s">
        <v>579</v>
      </c>
      <c r="D267" s="27" t="s">
        <v>272</v>
      </c>
      <c r="E267" s="27" t="s">
        <v>273</v>
      </c>
      <c r="F267" s="55" t="str">
        <f>VLOOKUP(Клиенты[[#This Row],[GardenaChannel]],GardenChannel[[GardenChannel]:[Sales manager]],2,0)</f>
        <v>КАШКИН ВЛАДИМИР</v>
      </c>
      <c r="H267" s="27" t="s">
        <v>568</v>
      </c>
    </row>
    <row r="268" spans="1:8" x14ac:dyDescent="0.25">
      <c r="A268" s="32" t="s">
        <v>1021</v>
      </c>
      <c r="B268" s="27" t="s">
        <v>568</v>
      </c>
      <c r="C268" s="54" t="s">
        <v>580</v>
      </c>
      <c r="D268" s="27" t="s">
        <v>272</v>
      </c>
      <c r="E268" s="27" t="s">
        <v>273</v>
      </c>
      <c r="F268" s="55" t="str">
        <f>VLOOKUP(Клиенты[[#This Row],[GardenaChannel]],GardenChannel[[GardenChannel]:[Sales manager]],2,0)</f>
        <v>КАШКИН ВЛАДИМИР</v>
      </c>
      <c r="H268" s="27" t="s">
        <v>568</v>
      </c>
    </row>
    <row r="269" spans="1:8" x14ac:dyDescent="0.25">
      <c r="A269" s="32" t="s">
        <v>1022</v>
      </c>
      <c r="B269" s="27" t="s">
        <v>568</v>
      </c>
      <c r="C269" s="54" t="s">
        <v>581</v>
      </c>
      <c r="D269" s="27" t="s">
        <v>272</v>
      </c>
      <c r="E269" s="27" t="s">
        <v>273</v>
      </c>
      <c r="F269" s="55" t="str">
        <f>VLOOKUP(Клиенты[[#This Row],[GardenaChannel]],GardenChannel[[GardenChannel]:[Sales manager]],2,0)</f>
        <v>КАШКИН ВЛАДИМИР</v>
      </c>
      <c r="H269" s="27" t="s">
        <v>568</v>
      </c>
    </row>
    <row r="270" spans="1:8" x14ac:dyDescent="0.25">
      <c r="A270" s="32" t="s">
        <v>1023</v>
      </c>
      <c r="B270" s="27" t="s">
        <v>568</v>
      </c>
      <c r="C270" s="54" t="s">
        <v>582</v>
      </c>
      <c r="D270" s="27" t="s">
        <v>272</v>
      </c>
      <c r="E270" s="27" t="s">
        <v>273</v>
      </c>
      <c r="F270" s="55" t="str">
        <f>VLOOKUP(Клиенты[[#This Row],[GardenaChannel]],GardenChannel[[GardenChannel]:[Sales manager]],2,0)</f>
        <v>КАШКИН ВЛАДИМИР</v>
      </c>
      <c r="H270" s="27" t="s">
        <v>568</v>
      </c>
    </row>
    <row r="271" spans="1:8" x14ac:dyDescent="0.25">
      <c r="A271" s="32" t="s">
        <v>1024</v>
      </c>
      <c r="B271" s="27" t="s">
        <v>568</v>
      </c>
      <c r="C271" s="54" t="s">
        <v>583</v>
      </c>
      <c r="D271" s="27" t="s">
        <v>272</v>
      </c>
      <c r="E271" s="27" t="s">
        <v>286</v>
      </c>
      <c r="F271" s="55" t="str">
        <f>VLOOKUP(Клиенты[[#This Row],[GardenaChannel]],GardenChannel[[GardenChannel]:[Sales manager]],2,0)</f>
        <v>КАШКИН ВЛАДИМИР</v>
      </c>
      <c r="H271" s="27" t="s">
        <v>568</v>
      </c>
    </row>
    <row r="272" spans="1:8" x14ac:dyDescent="0.25">
      <c r="A272" s="32" t="s">
        <v>1025</v>
      </c>
      <c r="B272" s="27" t="s">
        <v>568</v>
      </c>
      <c r="C272" s="54" t="s">
        <v>584</v>
      </c>
      <c r="D272" s="27" t="s">
        <v>272</v>
      </c>
      <c r="E272" s="27" t="s">
        <v>273</v>
      </c>
      <c r="F272" s="55" t="str">
        <f>VLOOKUP(Клиенты[[#This Row],[GardenaChannel]],GardenChannel[[GardenChannel]:[Sales manager]],2,0)</f>
        <v>КАШКИН ВЛАДИМИР</v>
      </c>
      <c r="H272" s="27" t="s">
        <v>568</v>
      </c>
    </row>
    <row r="273" spans="1:8" x14ac:dyDescent="0.25">
      <c r="A273" s="32" t="s">
        <v>1026</v>
      </c>
      <c r="B273" s="27" t="s">
        <v>568</v>
      </c>
      <c r="C273" s="54" t="s">
        <v>585</v>
      </c>
      <c r="D273" s="27" t="s">
        <v>272</v>
      </c>
      <c r="E273" s="27" t="s">
        <v>310</v>
      </c>
      <c r="F273" s="55" t="str">
        <f>VLOOKUP(Клиенты[[#This Row],[GardenaChannel]],GardenChannel[[GardenChannel]:[Sales manager]],2,0)</f>
        <v>КАШКИН ВЛАДИМИР</v>
      </c>
      <c r="H273" s="27" t="s">
        <v>568</v>
      </c>
    </row>
    <row r="274" spans="1:8" x14ac:dyDescent="0.25">
      <c r="A274" s="32" t="s">
        <v>1027</v>
      </c>
      <c r="B274" s="27" t="s">
        <v>568</v>
      </c>
      <c r="C274" s="54" t="s">
        <v>586</v>
      </c>
      <c r="D274" s="27" t="s">
        <v>272</v>
      </c>
      <c r="E274" s="27" t="s">
        <v>273</v>
      </c>
      <c r="F274" s="55" t="str">
        <f>VLOOKUP(Клиенты[[#This Row],[GardenaChannel]],GardenChannel[[GardenChannel]:[Sales manager]],2,0)</f>
        <v>КАШКИН ВЛАДИМИР</v>
      </c>
      <c r="H274" s="27" t="s">
        <v>568</v>
      </c>
    </row>
    <row r="275" spans="1:8" x14ac:dyDescent="0.25">
      <c r="A275" s="32" t="s">
        <v>1028</v>
      </c>
      <c r="B275" s="27" t="s">
        <v>568</v>
      </c>
      <c r="C275" s="54" t="s">
        <v>587</v>
      </c>
      <c r="D275" s="27" t="s">
        <v>272</v>
      </c>
      <c r="E275" s="27" t="s">
        <v>286</v>
      </c>
      <c r="F275" s="55" t="str">
        <f>VLOOKUP(Клиенты[[#This Row],[GardenaChannel]],GardenChannel[[GardenChannel]:[Sales manager]],2,0)</f>
        <v>КАШКИН ВЛАДИМИР</v>
      </c>
      <c r="H275" s="27" t="s">
        <v>568</v>
      </c>
    </row>
    <row r="276" spans="1:8" x14ac:dyDescent="0.25">
      <c r="A276" s="32" t="s">
        <v>1029</v>
      </c>
      <c r="B276" s="27" t="s">
        <v>568</v>
      </c>
      <c r="C276" s="54" t="s">
        <v>588</v>
      </c>
      <c r="D276" s="27" t="s">
        <v>272</v>
      </c>
      <c r="E276" s="27" t="s">
        <v>273</v>
      </c>
      <c r="F276" s="55" t="str">
        <f>VLOOKUP(Клиенты[[#This Row],[GardenaChannel]],GardenChannel[[GardenChannel]:[Sales manager]],2,0)</f>
        <v>КАШКИН ВЛАДИМИР</v>
      </c>
      <c r="H276" s="27" t="s">
        <v>568</v>
      </c>
    </row>
    <row r="277" spans="1:8" x14ac:dyDescent="0.25">
      <c r="A277" s="32" t="s">
        <v>1030</v>
      </c>
      <c r="B277" s="27" t="s">
        <v>568</v>
      </c>
      <c r="C277" s="54" t="s">
        <v>589</v>
      </c>
      <c r="D277" s="27" t="s">
        <v>272</v>
      </c>
      <c r="E277" s="27" t="s">
        <v>286</v>
      </c>
      <c r="F277" s="55" t="str">
        <f>VLOOKUP(Клиенты[[#This Row],[GardenaChannel]],GardenChannel[[GardenChannel]:[Sales manager]],2,0)</f>
        <v>КАШКИН ВЛАДИМИР</v>
      </c>
      <c r="H277" s="27" t="s">
        <v>568</v>
      </c>
    </row>
    <row r="278" spans="1:8" x14ac:dyDescent="0.25">
      <c r="A278" s="32" t="s">
        <v>1031</v>
      </c>
      <c r="B278" s="27" t="s">
        <v>568</v>
      </c>
      <c r="C278" s="54" t="s">
        <v>590</v>
      </c>
      <c r="D278" s="27" t="s">
        <v>272</v>
      </c>
      <c r="E278" s="27" t="s">
        <v>273</v>
      </c>
      <c r="F278" s="55" t="str">
        <f>VLOOKUP(Клиенты[[#This Row],[GardenaChannel]],GardenChannel[[GardenChannel]:[Sales manager]],2,0)</f>
        <v>КАШКИН ВЛАДИМИР</v>
      </c>
      <c r="H278" s="27" t="s">
        <v>568</v>
      </c>
    </row>
    <row r="279" spans="1:8" x14ac:dyDescent="0.25">
      <c r="A279" s="32" t="s">
        <v>1032</v>
      </c>
      <c r="B279" s="27" t="s">
        <v>568</v>
      </c>
      <c r="C279" s="54" t="s">
        <v>591</v>
      </c>
      <c r="D279" s="27" t="s">
        <v>272</v>
      </c>
      <c r="E279" s="27" t="s">
        <v>286</v>
      </c>
      <c r="F279" s="55" t="str">
        <f>VLOOKUP(Клиенты[[#This Row],[GardenaChannel]],GardenChannel[[GardenChannel]:[Sales manager]],2,0)</f>
        <v>КАШКИН ВЛАДИМИР</v>
      </c>
      <c r="H279" s="27" t="s">
        <v>568</v>
      </c>
    </row>
    <row r="280" spans="1:8" x14ac:dyDescent="0.25">
      <c r="A280" s="32" t="s">
        <v>1033</v>
      </c>
      <c r="B280" s="27" t="s">
        <v>568</v>
      </c>
      <c r="C280" s="54" t="s">
        <v>592</v>
      </c>
      <c r="D280" s="27" t="s">
        <v>272</v>
      </c>
      <c r="E280" s="27" t="s">
        <v>273</v>
      </c>
      <c r="F280" s="55" t="str">
        <f>VLOOKUP(Клиенты[[#This Row],[GardenaChannel]],GardenChannel[[GardenChannel]:[Sales manager]],2,0)</f>
        <v>КАШКИН ВЛАДИМИР</v>
      </c>
      <c r="H280" s="27" t="s">
        <v>568</v>
      </c>
    </row>
    <row r="281" spans="1:8" x14ac:dyDescent="0.25">
      <c r="A281" s="32" t="s">
        <v>1034</v>
      </c>
      <c r="B281" s="27" t="s">
        <v>568</v>
      </c>
      <c r="C281" s="54" t="s">
        <v>593</v>
      </c>
      <c r="D281" s="27" t="s">
        <v>272</v>
      </c>
      <c r="E281" s="27" t="s">
        <v>286</v>
      </c>
      <c r="F281" s="55" t="str">
        <f>VLOOKUP(Клиенты[[#This Row],[GardenaChannel]],GardenChannel[[GardenChannel]:[Sales manager]],2,0)</f>
        <v>КАШКИН ВЛАДИМИР</v>
      </c>
      <c r="H281" s="27" t="s">
        <v>568</v>
      </c>
    </row>
    <row r="282" spans="1:8" x14ac:dyDescent="0.25">
      <c r="A282" s="32" t="s">
        <v>1035</v>
      </c>
      <c r="B282" s="27" t="s">
        <v>568</v>
      </c>
      <c r="C282" s="54" t="s">
        <v>594</v>
      </c>
      <c r="D282" s="27" t="s">
        <v>272</v>
      </c>
      <c r="E282" s="27" t="s">
        <v>286</v>
      </c>
      <c r="F282" s="55" t="str">
        <f>VLOOKUP(Клиенты[[#This Row],[GardenaChannel]],GardenChannel[[GardenChannel]:[Sales manager]],2,0)</f>
        <v>КАШКИН ВЛАДИМИР</v>
      </c>
      <c r="H282" s="27" t="s">
        <v>568</v>
      </c>
    </row>
    <row r="283" spans="1:8" x14ac:dyDescent="0.25">
      <c r="A283" s="32" t="s">
        <v>1036</v>
      </c>
      <c r="B283" s="27" t="s">
        <v>568</v>
      </c>
      <c r="C283" s="54" t="s">
        <v>595</v>
      </c>
      <c r="D283" s="27" t="s">
        <v>272</v>
      </c>
      <c r="E283" s="27" t="s">
        <v>273</v>
      </c>
      <c r="F283" s="55" t="str">
        <f>VLOOKUP(Клиенты[[#This Row],[GardenaChannel]],GardenChannel[[GardenChannel]:[Sales manager]],2,0)</f>
        <v>КАШКИН ВЛАДИМИР</v>
      </c>
      <c r="H283" s="27" t="s">
        <v>568</v>
      </c>
    </row>
    <row r="284" spans="1:8" x14ac:dyDescent="0.25">
      <c r="A284" s="32" t="s">
        <v>1037</v>
      </c>
      <c r="B284" s="27" t="s">
        <v>568</v>
      </c>
      <c r="C284" s="54" t="s">
        <v>596</v>
      </c>
      <c r="D284" s="27" t="s">
        <v>272</v>
      </c>
      <c r="E284" s="27" t="s">
        <v>310</v>
      </c>
      <c r="F284" s="55" t="str">
        <f>VLOOKUP(Клиенты[[#This Row],[GardenaChannel]],GardenChannel[[GardenChannel]:[Sales manager]],2,0)</f>
        <v>КАШКИН ВЛАДИМИР</v>
      </c>
      <c r="H284" s="27" t="s">
        <v>568</v>
      </c>
    </row>
    <row r="285" spans="1:8" x14ac:dyDescent="0.25">
      <c r="A285" s="32" t="s">
        <v>1038</v>
      </c>
      <c r="B285" s="27" t="s">
        <v>568</v>
      </c>
      <c r="C285" s="54" t="s">
        <v>597</v>
      </c>
      <c r="D285" s="27" t="s">
        <v>272</v>
      </c>
      <c r="E285" s="27" t="s">
        <v>273</v>
      </c>
      <c r="F285" s="55" t="str">
        <f>VLOOKUP(Клиенты[[#This Row],[GardenaChannel]],GardenChannel[[GardenChannel]:[Sales manager]],2,0)</f>
        <v>КАШКИН ВЛАДИМИР</v>
      </c>
      <c r="H285" s="27" t="s">
        <v>568</v>
      </c>
    </row>
    <row r="286" spans="1:8" x14ac:dyDescent="0.25">
      <c r="A286" s="32" t="s">
        <v>1039</v>
      </c>
      <c r="B286" s="27" t="s">
        <v>568</v>
      </c>
      <c r="C286" s="54" t="s">
        <v>598</v>
      </c>
      <c r="D286" s="27" t="s">
        <v>272</v>
      </c>
      <c r="E286" s="27" t="s">
        <v>273</v>
      </c>
      <c r="F286" s="55" t="str">
        <f>VLOOKUP(Клиенты[[#This Row],[GardenaChannel]],GardenChannel[[GardenChannel]:[Sales manager]],2,0)</f>
        <v>КАШКИН ВЛАДИМИР</v>
      </c>
      <c r="H286" s="27" t="s">
        <v>568</v>
      </c>
    </row>
    <row r="287" spans="1:8" x14ac:dyDescent="0.25">
      <c r="A287" s="32" t="s">
        <v>1040</v>
      </c>
      <c r="B287" s="27" t="s">
        <v>568</v>
      </c>
      <c r="C287" s="54" t="s">
        <v>599</v>
      </c>
      <c r="D287" s="27" t="s">
        <v>272</v>
      </c>
      <c r="E287" s="27" t="s">
        <v>310</v>
      </c>
      <c r="F287" s="55" t="str">
        <f>VLOOKUP(Клиенты[[#This Row],[GardenaChannel]],GardenChannel[[GardenChannel]:[Sales manager]],2,0)</f>
        <v>КАШКИН ВЛАДИМИР</v>
      </c>
      <c r="H287" s="27" t="s">
        <v>568</v>
      </c>
    </row>
    <row r="288" spans="1:8" x14ac:dyDescent="0.25">
      <c r="A288" s="32" t="s">
        <v>1041</v>
      </c>
      <c r="B288" s="27" t="s">
        <v>568</v>
      </c>
      <c r="C288" s="54" t="s">
        <v>600</v>
      </c>
      <c r="D288" s="27" t="s">
        <v>272</v>
      </c>
      <c r="E288" s="27" t="s">
        <v>310</v>
      </c>
      <c r="F288" s="55" t="str">
        <f>VLOOKUP(Клиенты[[#This Row],[GardenaChannel]],GardenChannel[[GardenChannel]:[Sales manager]],2,0)</f>
        <v>КАШКИН ВЛАДИМИР</v>
      </c>
      <c r="H288" s="27" t="s">
        <v>568</v>
      </c>
    </row>
    <row r="289" spans="1:8" x14ac:dyDescent="0.25">
      <c r="A289" s="32" t="s">
        <v>1042</v>
      </c>
      <c r="B289" s="27" t="s">
        <v>568</v>
      </c>
      <c r="C289" s="54" t="s">
        <v>601</v>
      </c>
      <c r="D289" s="27" t="s">
        <v>272</v>
      </c>
      <c r="E289" s="27" t="s">
        <v>273</v>
      </c>
      <c r="F289" s="55" t="str">
        <f>VLOOKUP(Клиенты[[#This Row],[GardenaChannel]],GardenChannel[[GardenChannel]:[Sales manager]],2,0)</f>
        <v>КАШКИН ВЛАДИМИР</v>
      </c>
      <c r="H289" s="27" t="s">
        <v>568</v>
      </c>
    </row>
    <row r="290" spans="1:8" x14ac:dyDescent="0.25">
      <c r="A290" s="32" t="s">
        <v>1043</v>
      </c>
      <c r="B290" s="27" t="s">
        <v>568</v>
      </c>
      <c r="C290" s="54" t="s">
        <v>602</v>
      </c>
      <c r="D290" s="27" t="s">
        <v>272</v>
      </c>
      <c r="E290" s="27" t="s">
        <v>273</v>
      </c>
      <c r="F290" s="55" t="str">
        <f>VLOOKUP(Клиенты[[#This Row],[GardenaChannel]],GardenChannel[[GardenChannel]:[Sales manager]],2,0)</f>
        <v>КАШКИН ВЛАДИМИР</v>
      </c>
      <c r="H290" s="27" t="s">
        <v>568</v>
      </c>
    </row>
    <row r="291" spans="1:8" x14ac:dyDescent="0.25">
      <c r="A291" s="32" t="s">
        <v>1044</v>
      </c>
      <c r="B291" s="27" t="s">
        <v>568</v>
      </c>
      <c r="C291" s="54" t="s">
        <v>603</v>
      </c>
      <c r="D291" s="27" t="s">
        <v>272</v>
      </c>
      <c r="E291" s="27" t="s">
        <v>286</v>
      </c>
      <c r="F291" s="55" t="str">
        <f>VLOOKUP(Клиенты[[#This Row],[GardenaChannel]],GardenChannel[[GardenChannel]:[Sales manager]],2,0)</f>
        <v>КАШКИН ВЛАДИМИР</v>
      </c>
      <c r="H291" s="27" t="s">
        <v>568</v>
      </c>
    </row>
    <row r="292" spans="1:8" x14ac:dyDescent="0.25">
      <c r="A292" s="32" t="s">
        <v>1045</v>
      </c>
      <c r="B292" s="27" t="s">
        <v>568</v>
      </c>
      <c r="C292" s="54" t="s">
        <v>604</v>
      </c>
      <c r="D292" s="27" t="s">
        <v>272</v>
      </c>
      <c r="E292" s="27" t="s">
        <v>273</v>
      </c>
      <c r="F292" s="55" t="str">
        <f>VLOOKUP(Клиенты[[#This Row],[GardenaChannel]],GardenChannel[[GardenChannel]:[Sales manager]],2,0)</f>
        <v>КАШКИН ВЛАДИМИР</v>
      </c>
      <c r="H292" s="27" t="s">
        <v>568</v>
      </c>
    </row>
    <row r="293" spans="1:8" x14ac:dyDescent="0.25">
      <c r="A293" s="32" t="s">
        <v>1046</v>
      </c>
      <c r="B293" s="27" t="s">
        <v>568</v>
      </c>
      <c r="C293" s="54" t="s">
        <v>605</v>
      </c>
      <c r="D293" s="27" t="s">
        <v>272</v>
      </c>
      <c r="E293" s="27" t="s">
        <v>273</v>
      </c>
      <c r="F293" s="55" t="str">
        <f>VLOOKUP(Клиенты[[#This Row],[GardenaChannel]],GardenChannel[[GardenChannel]:[Sales manager]],2,0)</f>
        <v>КАШКИН ВЛАДИМИР</v>
      </c>
      <c r="H293" s="27" t="s">
        <v>568</v>
      </c>
    </row>
    <row r="294" spans="1:8" x14ac:dyDescent="0.25">
      <c r="A294" s="32" t="s">
        <v>1047</v>
      </c>
      <c r="B294" s="27" t="s">
        <v>568</v>
      </c>
      <c r="C294" s="54" t="s">
        <v>606</v>
      </c>
      <c r="D294" s="27" t="s">
        <v>272</v>
      </c>
      <c r="E294" s="27" t="s">
        <v>273</v>
      </c>
      <c r="F294" s="55" t="str">
        <f>VLOOKUP(Клиенты[[#This Row],[GardenaChannel]],GardenChannel[[GardenChannel]:[Sales manager]],2,0)</f>
        <v>КАШКИН ВЛАДИМИР</v>
      </c>
      <c r="H294" s="27" t="s">
        <v>568</v>
      </c>
    </row>
    <row r="295" spans="1:8" x14ac:dyDescent="0.25">
      <c r="A295" s="32" t="s">
        <v>1048</v>
      </c>
      <c r="B295" s="27" t="s">
        <v>568</v>
      </c>
      <c r="C295" s="54" t="s">
        <v>607</v>
      </c>
      <c r="D295" s="27" t="s">
        <v>272</v>
      </c>
      <c r="E295" s="27" t="s">
        <v>273</v>
      </c>
      <c r="F295" s="55" t="str">
        <f>VLOOKUP(Клиенты[[#This Row],[GardenaChannel]],GardenChannel[[GardenChannel]:[Sales manager]],2,0)</f>
        <v>КАШКИН ВЛАДИМИР</v>
      </c>
      <c r="H295" s="27" t="s">
        <v>568</v>
      </c>
    </row>
    <row r="296" spans="1:8" x14ac:dyDescent="0.25">
      <c r="A296" s="32" t="s">
        <v>1049</v>
      </c>
      <c r="B296" s="27" t="s">
        <v>568</v>
      </c>
      <c r="C296" s="54" t="s">
        <v>608</v>
      </c>
      <c r="D296" s="27" t="s">
        <v>272</v>
      </c>
      <c r="E296" s="27" t="s">
        <v>273</v>
      </c>
      <c r="F296" s="55" t="str">
        <f>VLOOKUP(Клиенты[[#This Row],[GardenaChannel]],GardenChannel[[GardenChannel]:[Sales manager]],2,0)</f>
        <v>КАШКИН ВЛАДИМИР</v>
      </c>
      <c r="H296" s="27" t="s">
        <v>568</v>
      </c>
    </row>
    <row r="297" spans="1:8" x14ac:dyDescent="0.25">
      <c r="A297" s="32" t="s">
        <v>1050</v>
      </c>
      <c r="B297" s="27" t="s">
        <v>568</v>
      </c>
      <c r="C297" s="54" t="s">
        <v>609</v>
      </c>
      <c r="D297" s="27" t="s">
        <v>272</v>
      </c>
      <c r="E297" s="27" t="s">
        <v>273</v>
      </c>
      <c r="F297" s="55" t="str">
        <f>VLOOKUP(Клиенты[[#This Row],[GardenaChannel]],GardenChannel[[GardenChannel]:[Sales manager]],2,0)</f>
        <v>КАШКИН ВЛАДИМИР</v>
      </c>
      <c r="H297" s="27" t="s">
        <v>568</v>
      </c>
    </row>
    <row r="298" spans="1:8" x14ac:dyDescent="0.25">
      <c r="A298" s="32" t="s">
        <v>1051</v>
      </c>
      <c r="B298" s="27" t="s">
        <v>568</v>
      </c>
      <c r="C298" s="54" t="s">
        <v>610</v>
      </c>
      <c r="D298" s="27" t="s">
        <v>272</v>
      </c>
      <c r="E298" s="27" t="s">
        <v>273</v>
      </c>
      <c r="F298" s="55" t="str">
        <f>VLOOKUP(Клиенты[[#This Row],[GardenaChannel]],GardenChannel[[GardenChannel]:[Sales manager]],2,0)</f>
        <v>КАШКИН ВЛАДИМИР</v>
      </c>
      <c r="H298" s="27" t="s">
        <v>568</v>
      </c>
    </row>
    <row r="299" spans="1:8" x14ac:dyDescent="0.25">
      <c r="A299" s="32" t="s">
        <v>1052</v>
      </c>
      <c r="B299" s="27" t="s">
        <v>568</v>
      </c>
      <c r="C299" s="54" t="s">
        <v>611</v>
      </c>
      <c r="D299" s="27" t="s">
        <v>272</v>
      </c>
      <c r="E299" s="27" t="s">
        <v>273</v>
      </c>
      <c r="F299" s="55" t="str">
        <f>VLOOKUP(Клиенты[[#This Row],[GardenaChannel]],GardenChannel[[GardenChannel]:[Sales manager]],2,0)</f>
        <v>КАШКИН ВЛАДИМИР</v>
      </c>
      <c r="H299" s="27" t="s">
        <v>568</v>
      </c>
    </row>
    <row r="300" spans="1:8" x14ac:dyDescent="0.25">
      <c r="A300" s="32" t="s">
        <v>1053</v>
      </c>
      <c r="B300" s="27" t="s">
        <v>568</v>
      </c>
      <c r="C300" s="54" t="s">
        <v>612</v>
      </c>
      <c r="D300" s="27" t="s">
        <v>272</v>
      </c>
      <c r="E300" s="27" t="s">
        <v>273</v>
      </c>
      <c r="F300" s="55" t="str">
        <f>VLOOKUP(Клиенты[[#This Row],[GardenaChannel]],GardenChannel[[GardenChannel]:[Sales manager]],2,0)</f>
        <v>КАШКИН ВЛАДИМИР</v>
      </c>
      <c r="H300" s="27" t="s">
        <v>568</v>
      </c>
    </row>
    <row r="301" spans="1:8" x14ac:dyDescent="0.25">
      <c r="A301" s="32" t="s">
        <v>1054</v>
      </c>
      <c r="B301" s="27" t="s">
        <v>568</v>
      </c>
      <c r="C301" s="54" t="s">
        <v>613</v>
      </c>
      <c r="D301" s="27" t="s">
        <v>272</v>
      </c>
      <c r="E301" s="27" t="s">
        <v>273</v>
      </c>
      <c r="F301" s="55" t="str">
        <f>VLOOKUP(Клиенты[[#This Row],[GardenaChannel]],GardenChannel[[GardenChannel]:[Sales manager]],2,0)</f>
        <v>КАШКИН ВЛАДИМИР</v>
      </c>
      <c r="H301" s="27" t="s">
        <v>568</v>
      </c>
    </row>
    <row r="302" spans="1:8" x14ac:dyDescent="0.25">
      <c r="A302" s="32" t="s">
        <v>1055</v>
      </c>
      <c r="B302" s="27" t="s">
        <v>568</v>
      </c>
      <c r="C302" s="54" t="s">
        <v>614</v>
      </c>
      <c r="D302" s="27" t="s">
        <v>272</v>
      </c>
      <c r="E302" s="27" t="s">
        <v>310</v>
      </c>
      <c r="F302" s="55" t="str">
        <f>VLOOKUP(Клиенты[[#This Row],[GardenaChannel]],GardenChannel[[GardenChannel]:[Sales manager]],2,0)</f>
        <v>КАШКИН ВЛАДИМИР</v>
      </c>
      <c r="H302" s="27" t="s">
        <v>568</v>
      </c>
    </row>
    <row r="303" spans="1:8" x14ac:dyDescent="0.25">
      <c r="A303" s="32" t="s">
        <v>1056</v>
      </c>
      <c r="B303" s="27" t="s">
        <v>568</v>
      </c>
      <c r="C303" s="54" t="s">
        <v>615</v>
      </c>
      <c r="D303" s="27" t="s">
        <v>272</v>
      </c>
      <c r="E303" s="27" t="s">
        <v>273</v>
      </c>
      <c r="F303" s="55" t="str">
        <f>VLOOKUP(Клиенты[[#This Row],[GardenaChannel]],GardenChannel[[GardenChannel]:[Sales manager]],2,0)</f>
        <v>КАШКИН ВЛАДИМИР</v>
      </c>
      <c r="H303" s="27" t="s">
        <v>568</v>
      </c>
    </row>
    <row r="304" spans="1:8" x14ac:dyDescent="0.25">
      <c r="A304" s="32" t="s">
        <v>1057</v>
      </c>
      <c r="B304" s="27" t="s">
        <v>568</v>
      </c>
      <c r="C304" s="54" t="s">
        <v>616</v>
      </c>
      <c r="D304" s="27" t="s">
        <v>272</v>
      </c>
      <c r="E304" s="27" t="s">
        <v>273</v>
      </c>
      <c r="F304" s="55" t="str">
        <f>VLOOKUP(Клиенты[[#This Row],[GardenaChannel]],GardenChannel[[GardenChannel]:[Sales manager]],2,0)</f>
        <v>КАШКИН ВЛАДИМИР</v>
      </c>
      <c r="H304" s="27" t="s">
        <v>568</v>
      </c>
    </row>
    <row r="305" spans="1:8" x14ac:dyDescent="0.25">
      <c r="A305" s="32" t="s">
        <v>1058</v>
      </c>
      <c r="B305" s="27" t="s">
        <v>617</v>
      </c>
      <c r="C305" s="54" t="s">
        <v>618</v>
      </c>
      <c r="D305" s="27" t="s">
        <v>272</v>
      </c>
      <c r="E305" s="27" t="s">
        <v>273</v>
      </c>
      <c r="F305" s="55" t="str">
        <f>VLOOKUP(Клиенты[[#This Row],[GardenaChannel]],GardenChannel[[GardenChannel]:[Sales manager]],2,0)</f>
        <v>КОРНИЛИН ИЛЬЯ</v>
      </c>
      <c r="H305" s="27" t="s">
        <v>617</v>
      </c>
    </row>
    <row r="306" spans="1:8" x14ac:dyDescent="0.25">
      <c r="A306" s="32" t="s">
        <v>1059</v>
      </c>
      <c r="B306" s="27" t="s">
        <v>617</v>
      </c>
      <c r="C306" s="54" t="s">
        <v>620</v>
      </c>
      <c r="D306" s="27" t="s">
        <v>272</v>
      </c>
      <c r="E306" s="27" t="s">
        <v>273</v>
      </c>
      <c r="F306" s="55" t="str">
        <f>VLOOKUP(Клиенты[[#This Row],[GardenaChannel]],GardenChannel[[GardenChannel]:[Sales manager]],2,0)</f>
        <v>КОРНИЛИН ИЛЬЯ</v>
      </c>
      <c r="H306" s="27" t="s">
        <v>617</v>
      </c>
    </row>
    <row r="307" spans="1:8" x14ac:dyDescent="0.25">
      <c r="A307" s="32" t="s">
        <v>1060</v>
      </c>
      <c r="B307" s="27" t="s">
        <v>617</v>
      </c>
      <c r="C307" s="54" t="s">
        <v>621</v>
      </c>
      <c r="D307" s="27" t="s">
        <v>272</v>
      </c>
      <c r="E307" s="27" t="s">
        <v>273</v>
      </c>
      <c r="F307" s="55" t="str">
        <f>VLOOKUP(Клиенты[[#This Row],[GardenaChannel]],GardenChannel[[GardenChannel]:[Sales manager]],2,0)</f>
        <v>КОРНИЛИН ИЛЬЯ</v>
      </c>
      <c r="H307" s="27" t="s">
        <v>617</v>
      </c>
    </row>
    <row r="308" spans="1:8" x14ac:dyDescent="0.25">
      <c r="A308" s="32" t="s">
        <v>1061</v>
      </c>
      <c r="B308" s="27" t="s">
        <v>617</v>
      </c>
      <c r="C308" s="54" t="s">
        <v>622</v>
      </c>
      <c r="D308" s="27" t="s">
        <v>272</v>
      </c>
      <c r="E308" s="27" t="s">
        <v>273</v>
      </c>
      <c r="F308" s="55" t="str">
        <f>VLOOKUP(Клиенты[[#This Row],[GardenaChannel]],GardenChannel[[GardenChannel]:[Sales manager]],2,0)</f>
        <v>КОРНИЛИН ИЛЬЯ</v>
      </c>
      <c r="H308" s="27" t="s">
        <v>617</v>
      </c>
    </row>
    <row r="309" spans="1:8" x14ac:dyDescent="0.25">
      <c r="A309" s="32" t="s">
        <v>1062</v>
      </c>
      <c r="B309" s="27" t="s">
        <v>617</v>
      </c>
      <c r="C309" s="54" t="s">
        <v>623</v>
      </c>
      <c r="D309" s="27" t="s">
        <v>272</v>
      </c>
      <c r="E309" s="27" t="s">
        <v>273</v>
      </c>
      <c r="F309" s="55" t="str">
        <f>VLOOKUP(Клиенты[[#This Row],[GardenaChannel]],GardenChannel[[GardenChannel]:[Sales manager]],2,0)</f>
        <v>КОРНИЛИН ИЛЬЯ</v>
      </c>
      <c r="H309" s="27" t="s">
        <v>617</v>
      </c>
    </row>
    <row r="310" spans="1:8" x14ac:dyDescent="0.25">
      <c r="A310" s="32" t="s">
        <v>1063</v>
      </c>
      <c r="B310" s="27" t="s">
        <v>617</v>
      </c>
      <c r="C310" s="54" t="s">
        <v>624</v>
      </c>
      <c r="D310" s="27" t="s">
        <v>272</v>
      </c>
      <c r="E310" s="27" t="s">
        <v>286</v>
      </c>
      <c r="F310" s="55" t="str">
        <f>VLOOKUP(Клиенты[[#This Row],[GardenaChannel]],GardenChannel[[GardenChannel]:[Sales manager]],2,0)</f>
        <v>КОРНИЛИН ИЛЬЯ</v>
      </c>
      <c r="H310" s="27" t="s">
        <v>617</v>
      </c>
    </row>
    <row r="311" spans="1:8" x14ac:dyDescent="0.25">
      <c r="A311" s="32" t="s">
        <v>1064</v>
      </c>
      <c r="B311" s="27" t="s">
        <v>617</v>
      </c>
      <c r="C311" s="54" t="s">
        <v>625</v>
      </c>
      <c r="D311" s="27" t="s">
        <v>272</v>
      </c>
      <c r="E311" s="27" t="s">
        <v>286</v>
      </c>
      <c r="F311" s="55" t="str">
        <f>VLOOKUP(Клиенты[[#This Row],[GardenaChannel]],GardenChannel[[GardenChannel]:[Sales manager]],2,0)</f>
        <v>КОРНИЛИН ИЛЬЯ</v>
      </c>
      <c r="H311" s="27" t="s">
        <v>617</v>
      </c>
    </row>
    <row r="312" spans="1:8" x14ac:dyDescent="0.25">
      <c r="A312" s="32" t="s">
        <v>1065</v>
      </c>
      <c r="B312" s="27" t="s">
        <v>617</v>
      </c>
      <c r="C312" s="54" t="s">
        <v>626</v>
      </c>
      <c r="D312" s="27" t="s">
        <v>272</v>
      </c>
      <c r="E312" s="27" t="s">
        <v>273</v>
      </c>
      <c r="F312" s="55" t="str">
        <f>VLOOKUP(Клиенты[[#This Row],[GardenaChannel]],GardenChannel[[GardenChannel]:[Sales manager]],2,0)</f>
        <v>КОРНИЛИН ИЛЬЯ</v>
      </c>
      <c r="H312" s="27" t="s">
        <v>617</v>
      </c>
    </row>
    <row r="313" spans="1:8" x14ac:dyDescent="0.25">
      <c r="A313" s="32" t="s">
        <v>1066</v>
      </c>
      <c r="B313" s="27" t="s">
        <v>617</v>
      </c>
      <c r="C313" s="54" t="s">
        <v>627</v>
      </c>
      <c r="D313" s="27" t="s">
        <v>272</v>
      </c>
      <c r="E313" s="27" t="s">
        <v>273</v>
      </c>
      <c r="F313" s="55" t="str">
        <f>VLOOKUP(Клиенты[[#This Row],[GardenaChannel]],GardenChannel[[GardenChannel]:[Sales manager]],2,0)</f>
        <v>КОРНИЛИН ИЛЬЯ</v>
      </c>
      <c r="H313" s="27" t="s">
        <v>617</v>
      </c>
    </row>
    <row r="314" spans="1:8" x14ac:dyDescent="0.25">
      <c r="A314" s="32" t="s">
        <v>1067</v>
      </c>
      <c r="B314" s="27" t="s">
        <v>617</v>
      </c>
      <c r="C314" s="54" t="s">
        <v>628</v>
      </c>
      <c r="D314" s="27" t="s">
        <v>272</v>
      </c>
      <c r="E314" s="27" t="s">
        <v>286</v>
      </c>
      <c r="F314" s="55" t="str">
        <f>VLOOKUP(Клиенты[[#This Row],[GardenaChannel]],GardenChannel[[GardenChannel]:[Sales manager]],2,0)</f>
        <v>КОРНИЛИН ИЛЬЯ</v>
      </c>
      <c r="H314" s="27" t="s">
        <v>617</v>
      </c>
    </row>
    <row r="315" spans="1:8" x14ac:dyDescent="0.25">
      <c r="A315" s="32" t="s">
        <v>1068</v>
      </c>
      <c r="B315" s="27" t="s">
        <v>617</v>
      </c>
      <c r="C315" s="54" t="s">
        <v>629</v>
      </c>
      <c r="D315" s="27" t="s">
        <v>272</v>
      </c>
      <c r="E315" s="27" t="s">
        <v>310</v>
      </c>
      <c r="F315" s="55" t="str">
        <f>VLOOKUP(Клиенты[[#This Row],[GardenaChannel]],GardenChannel[[GardenChannel]:[Sales manager]],2,0)</f>
        <v>КОРНИЛИН ИЛЬЯ</v>
      </c>
      <c r="H315" s="27" t="s">
        <v>617</v>
      </c>
    </row>
    <row r="316" spans="1:8" x14ac:dyDescent="0.25">
      <c r="A316" s="32" t="s">
        <v>1069</v>
      </c>
      <c r="B316" s="27" t="s">
        <v>617</v>
      </c>
      <c r="C316" s="54" t="s">
        <v>630</v>
      </c>
      <c r="D316" s="27" t="s">
        <v>272</v>
      </c>
      <c r="E316" s="27" t="s">
        <v>286</v>
      </c>
      <c r="F316" s="55" t="str">
        <f>VLOOKUP(Клиенты[[#This Row],[GardenaChannel]],GardenChannel[[GardenChannel]:[Sales manager]],2,0)</f>
        <v>КОРНИЛИН ИЛЬЯ</v>
      </c>
      <c r="H316" s="27" t="s">
        <v>617</v>
      </c>
    </row>
    <row r="317" spans="1:8" x14ac:dyDescent="0.25">
      <c r="A317" s="32" t="s">
        <v>1070</v>
      </c>
      <c r="B317" s="27" t="s">
        <v>617</v>
      </c>
      <c r="C317" s="54" t="s">
        <v>631</v>
      </c>
      <c r="D317" s="27" t="s">
        <v>272</v>
      </c>
      <c r="E317" s="27" t="s">
        <v>273</v>
      </c>
      <c r="F317" s="55" t="str">
        <f>VLOOKUP(Клиенты[[#This Row],[GardenaChannel]],GardenChannel[[GardenChannel]:[Sales manager]],2,0)</f>
        <v>КОРНИЛИН ИЛЬЯ</v>
      </c>
      <c r="H317" s="27" t="s">
        <v>617</v>
      </c>
    </row>
    <row r="318" spans="1:8" x14ac:dyDescent="0.25">
      <c r="A318" s="32" t="s">
        <v>1071</v>
      </c>
      <c r="B318" s="27" t="s">
        <v>617</v>
      </c>
      <c r="C318" s="54" t="s">
        <v>632</v>
      </c>
      <c r="D318" s="27" t="s">
        <v>272</v>
      </c>
      <c r="E318" s="27" t="s">
        <v>273</v>
      </c>
      <c r="F318" s="55" t="str">
        <f>VLOOKUP(Клиенты[[#This Row],[GardenaChannel]],GardenChannel[[GardenChannel]:[Sales manager]],2,0)</f>
        <v>КОРНИЛИН ИЛЬЯ</v>
      </c>
      <c r="H318" s="27" t="s">
        <v>617</v>
      </c>
    </row>
    <row r="319" spans="1:8" x14ac:dyDescent="0.25">
      <c r="A319" s="32" t="s">
        <v>1072</v>
      </c>
      <c r="B319" s="27" t="s">
        <v>617</v>
      </c>
      <c r="C319" s="54" t="s">
        <v>633</v>
      </c>
      <c r="D319" s="27" t="s">
        <v>272</v>
      </c>
      <c r="E319" s="27" t="s">
        <v>310</v>
      </c>
      <c r="F319" s="55" t="str">
        <f>VLOOKUP(Клиенты[[#This Row],[GardenaChannel]],GardenChannel[[GardenChannel]:[Sales manager]],2,0)</f>
        <v>КОРНИЛИН ИЛЬЯ</v>
      </c>
      <c r="H319" s="27" t="s">
        <v>617</v>
      </c>
    </row>
    <row r="320" spans="1:8" x14ac:dyDescent="0.25">
      <c r="A320" s="32" t="s">
        <v>1073</v>
      </c>
      <c r="B320" s="27" t="s">
        <v>617</v>
      </c>
      <c r="C320" s="54" t="s">
        <v>634</v>
      </c>
      <c r="D320" s="27" t="s">
        <v>272</v>
      </c>
      <c r="E320" s="27" t="s">
        <v>286</v>
      </c>
      <c r="F320" s="55" t="str">
        <f>VLOOKUP(Клиенты[[#This Row],[GardenaChannel]],GardenChannel[[GardenChannel]:[Sales manager]],2,0)</f>
        <v>КОРНИЛИН ИЛЬЯ</v>
      </c>
      <c r="H320" s="27" t="s">
        <v>617</v>
      </c>
    </row>
    <row r="321" spans="1:8" x14ac:dyDescent="0.25">
      <c r="A321" s="32" t="s">
        <v>1074</v>
      </c>
      <c r="B321" s="27" t="s">
        <v>617</v>
      </c>
      <c r="C321" s="54" t="s">
        <v>635</v>
      </c>
      <c r="D321" s="27" t="s">
        <v>272</v>
      </c>
      <c r="E321" s="27" t="s">
        <v>310</v>
      </c>
      <c r="F321" s="55" t="str">
        <f>VLOOKUP(Клиенты[[#This Row],[GardenaChannel]],GardenChannel[[GardenChannel]:[Sales manager]],2,0)</f>
        <v>КОРНИЛИН ИЛЬЯ</v>
      </c>
      <c r="H321" s="27" t="s">
        <v>617</v>
      </c>
    </row>
    <row r="322" spans="1:8" x14ac:dyDescent="0.25">
      <c r="A322" s="32" t="s">
        <v>1075</v>
      </c>
      <c r="B322" s="27" t="s">
        <v>617</v>
      </c>
      <c r="C322" s="54" t="s">
        <v>636</v>
      </c>
      <c r="D322" s="27" t="s">
        <v>272</v>
      </c>
      <c r="E322" s="27" t="s">
        <v>273</v>
      </c>
      <c r="F322" s="55" t="str">
        <f>VLOOKUP(Клиенты[[#This Row],[GardenaChannel]],GardenChannel[[GardenChannel]:[Sales manager]],2,0)</f>
        <v>КОРНИЛИН ИЛЬЯ</v>
      </c>
      <c r="H322" s="27" t="s">
        <v>617</v>
      </c>
    </row>
    <row r="323" spans="1:8" x14ac:dyDescent="0.25">
      <c r="A323" s="32" t="s">
        <v>1076</v>
      </c>
      <c r="B323" s="27" t="s">
        <v>617</v>
      </c>
      <c r="C323" s="54" t="s">
        <v>637</v>
      </c>
      <c r="D323" s="27" t="s">
        <v>272</v>
      </c>
      <c r="E323" s="27" t="s">
        <v>273</v>
      </c>
      <c r="F323" s="55" t="str">
        <f>VLOOKUP(Клиенты[[#This Row],[GardenaChannel]],GardenChannel[[GardenChannel]:[Sales manager]],2,0)</f>
        <v>КОРНИЛИН ИЛЬЯ</v>
      </c>
      <c r="H323" s="27" t="s">
        <v>617</v>
      </c>
    </row>
    <row r="324" spans="1:8" x14ac:dyDescent="0.25">
      <c r="A324" s="32" t="s">
        <v>1077</v>
      </c>
      <c r="B324" s="27" t="s">
        <v>617</v>
      </c>
      <c r="C324" s="54" t="s">
        <v>638</v>
      </c>
      <c r="D324" s="27" t="s">
        <v>272</v>
      </c>
      <c r="E324" s="27" t="s">
        <v>273</v>
      </c>
      <c r="F324" s="55" t="str">
        <f>VLOOKUP(Клиенты[[#This Row],[GardenaChannel]],GardenChannel[[GardenChannel]:[Sales manager]],2,0)</f>
        <v>КОРНИЛИН ИЛЬЯ</v>
      </c>
      <c r="H324" s="27" t="s">
        <v>617</v>
      </c>
    </row>
    <row r="325" spans="1:8" x14ac:dyDescent="0.25">
      <c r="A325" s="32" t="s">
        <v>1078</v>
      </c>
      <c r="B325" s="27" t="s">
        <v>617</v>
      </c>
      <c r="C325" s="54" t="s">
        <v>639</v>
      </c>
      <c r="D325" s="27" t="s">
        <v>272</v>
      </c>
      <c r="E325" s="27" t="s">
        <v>273</v>
      </c>
      <c r="F325" s="55" t="str">
        <f>VLOOKUP(Клиенты[[#This Row],[GardenaChannel]],GardenChannel[[GardenChannel]:[Sales manager]],2,0)</f>
        <v>КОРНИЛИН ИЛЬЯ</v>
      </c>
      <c r="H325" s="27" t="s">
        <v>617</v>
      </c>
    </row>
    <row r="326" spans="1:8" x14ac:dyDescent="0.25">
      <c r="A326" s="32" t="s">
        <v>1079</v>
      </c>
      <c r="B326" s="27" t="s">
        <v>617</v>
      </c>
      <c r="C326" s="54" t="s">
        <v>640</v>
      </c>
      <c r="D326" s="27" t="s">
        <v>272</v>
      </c>
      <c r="E326" s="27" t="s">
        <v>273</v>
      </c>
      <c r="F326" s="55" t="str">
        <f>VLOOKUP(Клиенты[[#This Row],[GardenaChannel]],GardenChannel[[GardenChannel]:[Sales manager]],2,0)</f>
        <v>КОРНИЛИН ИЛЬЯ</v>
      </c>
      <c r="H326" s="27" t="s">
        <v>617</v>
      </c>
    </row>
    <row r="327" spans="1:8" x14ac:dyDescent="0.25">
      <c r="A327" s="32" t="s">
        <v>1080</v>
      </c>
      <c r="B327" s="27" t="s">
        <v>617</v>
      </c>
      <c r="C327" s="54" t="s">
        <v>641</v>
      </c>
      <c r="D327" s="27" t="s">
        <v>272</v>
      </c>
      <c r="E327" s="27" t="s">
        <v>273</v>
      </c>
      <c r="F327" s="55" t="str">
        <f>VLOOKUP(Клиенты[[#This Row],[GardenaChannel]],GardenChannel[[GardenChannel]:[Sales manager]],2,0)</f>
        <v>КОРНИЛИН ИЛЬЯ</v>
      </c>
      <c r="H327" s="27" t="s">
        <v>617</v>
      </c>
    </row>
    <row r="328" spans="1:8" x14ac:dyDescent="0.25">
      <c r="A328" s="32" t="s">
        <v>1081</v>
      </c>
      <c r="B328" s="27" t="s">
        <v>617</v>
      </c>
      <c r="C328" s="54" t="s">
        <v>642</v>
      </c>
      <c r="D328" s="27" t="s">
        <v>272</v>
      </c>
      <c r="E328" s="27" t="s">
        <v>310</v>
      </c>
      <c r="F328" s="55" t="str">
        <f>VLOOKUP(Клиенты[[#This Row],[GardenaChannel]],GardenChannel[[GardenChannel]:[Sales manager]],2,0)</f>
        <v>КОРНИЛИН ИЛЬЯ</v>
      </c>
      <c r="H328" s="27" t="s">
        <v>617</v>
      </c>
    </row>
    <row r="329" spans="1:8" x14ac:dyDescent="0.25">
      <c r="A329" s="32" t="s">
        <v>1082</v>
      </c>
      <c r="B329" s="27" t="s">
        <v>617</v>
      </c>
      <c r="C329" s="54" t="s">
        <v>643</v>
      </c>
      <c r="D329" s="27" t="s">
        <v>272</v>
      </c>
      <c r="E329" s="27" t="s">
        <v>273</v>
      </c>
      <c r="F329" s="55" t="str">
        <f>VLOOKUP(Клиенты[[#This Row],[GardenaChannel]],GardenChannel[[GardenChannel]:[Sales manager]],2,0)</f>
        <v>КОРНИЛИН ИЛЬЯ</v>
      </c>
      <c r="H329" s="27" t="s">
        <v>617</v>
      </c>
    </row>
    <row r="330" spans="1:8" x14ac:dyDescent="0.25">
      <c r="A330" s="32" t="s">
        <v>1083</v>
      </c>
      <c r="B330" s="27" t="s">
        <v>617</v>
      </c>
      <c r="C330" s="54" t="s">
        <v>644</v>
      </c>
      <c r="D330" s="27" t="s">
        <v>272</v>
      </c>
      <c r="E330" s="27" t="s">
        <v>273</v>
      </c>
      <c r="F330" s="55" t="str">
        <f>VLOOKUP(Клиенты[[#This Row],[GardenaChannel]],GardenChannel[[GardenChannel]:[Sales manager]],2,0)</f>
        <v>КОРНИЛИН ИЛЬЯ</v>
      </c>
      <c r="H330" s="27" t="s">
        <v>617</v>
      </c>
    </row>
    <row r="331" spans="1:8" x14ac:dyDescent="0.25">
      <c r="A331" s="32" t="s">
        <v>1084</v>
      </c>
      <c r="B331" s="27" t="s">
        <v>617</v>
      </c>
      <c r="C331" s="54" t="s">
        <v>645</v>
      </c>
      <c r="D331" s="27" t="s">
        <v>272</v>
      </c>
      <c r="E331" s="27" t="s">
        <v>273</v>
      </c>
      <c r="F331" s="55" t="str">
        <f>VLOOKUP(Клиенты[[#This Row],[GardenaChannel]],GardenChannel[[GardenChannel]:[Sales manager]],2,0)</f>
        <v>КОРНИЛИН ИЛЬЯ</v>
      </c>
      <c r="H331" s="27" t="s">
        <v>617</v>
      </c>
    </row>
    <row r="332" spans="1:8" x14ac:dyDescent="0.25">
      <c r="A332" s="32" t="s">
        <v>1085</v>
      </c>
      <c r="B332" s="27" t="s">
        <v>617</v>
      </c>
      <c r="C332" s="54" t="s">
        <v>646</v>
      </c>
      <c r="D332" s="27" t="s">
        <v>272</v>
      </c>
      <c r="E332" s="27" t="s">
        <v>273</v>
      </c>
      <c r="F332" s="55" t="str">
        <f>VLOOKUP(Клиенты[[#This Row],[GardenaChannel]],GardenChannel[[GardenChannel]:[Sales manager]],2,0)</f>
        <v>КОРНИЛИН ИЛЬЯ</v>
      </c>
      <c r="H332" s="27" t="s">
        <v>617</v>
      </c>
    </row>
    <row r="333" spans="1:8" x14ac:dyDescent="0.25">
      <c r="A333" s="32" t="s">
        <v>1086</v>
      </c>
      <c r="B333" s="27" t="s">
        <v>617</v>
      </c>
      <c r="C333" s="54" t="s">
        <v>647</v>
      </c>
      <c r="D333" s="27" t="s">
        <v>272</v>
      </c>
      <c r="E333" s="27" t="s">
        <v>273</v>
      </c>
      <c r="F333" s="55" t="str">
        <f>VLOOKUP(Клиенты[[#This Row],[GardenaChannel]],GardenChannel[[GardenChannel]:[Sales manager]],2,0)</f>
        <v>КОРНИЛИН ИЛЬЯ</v>
      </c>
      <c r="H333" s="27" t="s">
        <v>617</v>
      </c>
    </row>
    <row r="334" spans="1:8" x14ac:dyDescent="0.25">
      <c r="A334" s="32" t="s">
        <v>1087</v>
      </c>
      <c r="B334" s="27" t="s">
        <v>617</v>
      </c>
      <c r="C334" s="54" t="s">
        <v>648</v>
      </c>
      <c r="D334" s="27" t="s">
        <v>272</v>
      </c>
      <c r="E334" s="27" t="s">
        <v>273</v>
      </c>
      <c r="F334" s="55" t="str">
        <f>VLOOKUP(Клиенты[[#This Row],[GardenaChannel]],GardenChannel[[GardenChannel]:[Sales manager]],2,0)</f>
        <v>КОРНИЛИН ИЛЬЯ</v>
      </c>
      <c r="H334" s="27" t="s">
        <v>617</v>
      </c>
    </row>
    <row r="335" spans="1:8" x14ac:dyDescent="0.25">
      <c r="A335" s="32" t="s">
        <v>1088</v>
      </c>
      <c r="B335" s="27" t="s">
        <v>617</v>
      </c>
      <c r="C335" s="54" t="s">
        <v>649</v>
      </c>
      <c r="D335" s="27" t="s">
        <v>272</v>
      </c>
      <c r="E335" s="27" t="s">
        <v>273</v>
      </c>
      <c r="F335" s="55" t="str">
        <f>VLOOKUP(Клиенты[[#This Row],[GardenaChannel]],GardenChannel[[GardenChannel]:[Sales manager]],2,0)</f>
        <v>КОРНИЛИН ИЛЬЯ</v>
      </c>
      <c r="H335" s="27" t="s">
        <v>617</v>
      </c>
    </row>
    <row r="336" spans="1:8" x14ac:dyDescent="0.25">
      <c r="A336" s="32" t="s">
        <v>1089</v>
      </c>
      <c r="B336" s="27" t="s">
        <v>617</v>
      </c>
      <c r="C336" s="54" t="s">
        <v>650</v>
      </c>
      <c r="D336" s="27" t="s">
        <v>272</v>
      </c>
      <c r="E336" s="27" t="s">
        <v>273</v>
      </c>
      <c r="F336" s="55" t="str">
        <f>VLOOKUP(Клиенты[[#This Row],[GardenaChannel]],GardenChannel[[GardenChannel]:[Sales manager]],2,0)</f>
        <v>КОРНИЛИН ИЛЬЯ</v>
      </c>
      <c r="H336" s="27" t="s">
        <v>617</v>
      </c>
    </row>
    <row r="337" spans="1:8" x14ac:dyDescent="0.25">
      <c r="A337" s="32" t="s">
        <v>1090</v>
      </c>
      <c r="B337" s="27" t="s">
        <v>617</v>
      </c>
      <c r="C337" s="54" t="s">
        <v>651</v>
      </c>
      <c r="D337" s="27" t="s">
        <v>272</v>
      </c>
      <c r="E337" s="27" t="s">
        <v>273</v>
      </c>
      <c r="F337" s="55" t="str">
        <f>VLOOKUP(Клиенты[[#This Row],[GardenaChannel]],GardenChannel[[GardenChannel]:[Sales manager]],2,0)</f>
        <v>КОРНИЛИН ИЛЬЯ</v>
      </c>
      <c r="H337" s="27" t="s">
        <v>617</v>
      </c>
    </row>
    <row r="338" spans="1:8" x14ac:dyDescent="0.25">
      <c r="A338" s="32" t="s">
        <v>1091</v>
      </c>
      <c r="B338" s="27" t="s">
        <v>617</v>
      </c>
      <c r="C338" s="54" t="s">
        <v>652</v>
      </c>
      <c r="D338" s="27" t="s">
        <v>272</v>
      </c>
      <c r="E338" s="27" t="s">
        <v>273</v>
      </c>
      <c r="F338" s="55" t="str">
        <f>VLOOKUP(Клиенты[[#This Row],[GardenaChannel]],GardenChannel[[GardenChannel]:[Sales manager]],2,0)</f>
        <v>КОРНИЛИН ИЛЬЯ</v>
      </c>
      <c r="H338" s="27" t="s">
        <v>617</v>
      </c>
    </row>
    <row r="339" spans="1:8" x14ac:dyDescent="0.25">
      <c r="A339" s="32" t="s">
        <v>1092</v>
      </c>
      <c r="B339" s="27" t="s">
        <v>617</v>
      </c>
      <c r="C339" s="54" t="s">
        <v>653</v>
      </c>
      <c r="D339" s="27" t="s">
        <v>272</v>
      </c>
      <c r="E339" s="27" t="s">
        <v>286</v>
      </c>
      <c r="F339" s="55" t="str">
        <f>VLOOKUP(Клиенты[[#This Row],[GardenaChannel]],GardenChannel[[GardenChannel]:[Sales manager]],2,0)</f>
        <v>КОРНИЛИН ИЛЬЯ</v>
      </c>
      <c r="H339" s="27" t="s">
        <v>617</v>
      </c>
    </row>
    <row r="340" spans="1:8" x14ac:dyDescent="0.25">
      <c r="A340" s="32" t="s">
        <v>1093</v>
      </c>
      <c r="B340" s="27" t="s">
        <v>617</v>
      </c>
      <c r="C340" s="54" t="s">
        <v>654</v>
      </c>
      <c r="D340" s="27" t="s">
        <v>272</v>
      </c>
      <c r="E340" s="27" t="s">
        <v>273</v>
      </c>
      <c r="F340" s="55" t="str">
        <f>VLOOKUP(Клиенты[[#This Row],[GardenaChannel]],GardenChannel[[GardenChannel]:[Sales manager]],2,0)</f>
        <v>КОРНИЛИН ИЛЬЯ</v>
      </c>
      <c r="H340" s="27" t="s">
        <v>617</v>
      </c>
    </row>
    <row r="341" spans="1:8" x14ac:dyDescent="0.25">
      <c r="A341" s="32" t="s">
        <v>1094</v>
      </c>
      <c r="B341" s="27" t="s">
        <v>617</v>
      </c>
      <c r="C341" s="54" t="s">
        <v>655</v>
      </c>
      <c r="D341" s="27" t="s">
        <v>272</v>
      </c>
      <c r="E341" s="27" t="s">
        <v>273</v>
      </c>
      <c r="F341" s="55" t="str">
        <f>VLOOKUP(Клиенты[[#This Row],[GardenaChannel]],GardenChannel[[GardenChannel]:[Sales manager]],2,0)</f>
        <v>КОРНИЛИН ИЛЬЯ</v>
      </c>
      <c r="H341" s="27" t="s">
        <v>617</v>
      </c>
    </row>
    <row r="342" spans="1:8" x14ac:dyDescent="0.25">
      <c r="A342" s="32" t="s">
        <v>1095</v>
      </c>
      <c r="B342" s="27" t="s">
        <v>617</v>
      </c>
      <c r="C342" s="54" t="s">
        <v>656</v>
      </c>
      <c r="D342" s="27" t="s">
        <v>272</v>
      </c>
      <c r="E342" s="27" t="s">
        <v>286</v>
      </c>
      <c r="F342" s="55" t="str">
        <f>VLOOKUP(Клиенты[[#This Row],[GardenaChannel]],GardenChannel[[GardenChannel]:[Sales manager]],2,0)</f>
        <v>КОРНИЛИН ИЛЬЯ</v>
      </c>
      <c r="H342" s="27" t="s">
        <v>617</v>
      </c>
    </row>
    <row r="343" spans="1:8" x14ac:dyDescent="0.25">
      <c r="A343" s="32" t="s">
        <v>1096</v>
      </c>
      <c r="B343" s="27" t="s">
        <v>617</v>
      </c>
      <c r="C343" s="54" t="s">
        <v>657</v>
      </c>
      <c r="D343" s="27" t="s">
        <v>272</v>
      </c>
      <c r="E343" s="27" t="s">
        <v>273</v>
      </c>
      <c r="F343" s="55" t="str">
        <f>VLOOKUP(Клиенты[[#This Row],[GardenaChannel]],GardenChannel[[GardenChannel]:[Sales manager]],2,0)</f>
        <v>КОРНИЛИН ИЛЬЯ</v>
      </c>
      <c r="H343" s="27" t="s">
        <v>617</v>
      </c>
    </row>
    <row r="344" spans="1:8" x14ac:dyDescent="0.25">
      <c r="A344" s="32" t="s">
        <v>1097</v>
      </c>
      <c r="B344" s="27" t="s">
        <v>617</v>
      </c>
      <c r="C344" s="54" t="s">
        <v>658</v>
      </c>
      <c r="D344" s="27" t="s">
        <v>272</v>
      </c>
      <c r="E344" s="27" t="s">
        <v>273</v>
      </c>
      <c r="F344" s="55" t="str">
        <f>VLOOKUP(Клиенты[[#This Row],[GardenaChannel]],GardenChannel[[GardenChannel]:[Sales manager]],2,0)</f>
        <v>КОРНИЛИН ИЛЬЯ</v>
      </c>
      <c r="H344" s="27" t="s">
        <v>617</v>
      </c>
    </row>
    <row r="345" spans="1:8" x14ac:dyDescent="0.25">
      <c r="A345" s="32" t="s">
        <v>1098</v>
      </c>
      <c r="B345" s="27" t="s">
        <v>617</v>
      </c>
      <c r="C345" s="54" t="s">
        <v>659</v>
      </c>
      <c r="D345" s="27" t="s">
        <v>272</v>
      </c>
      <c r="E345" s="27" t="s">
        <v>273</v>
      </c>
      <c r="F345" s="55" t="str">
        <f>VLOOKUP(Клиенты[[#This Row],[GardenaChannel]],GardenChannel[[GardenChannel]:[Sales manager]],2,0)</f>
        <v>КОРНИЛИН ИЛЬЯ</v>
      </c>
      <c r="H345" s="27" t="s">
        <v>617</v>
      </c>
    </row>
    <row r="346" spans="1:8" x14ac:dyDescent="0.25">
      <c r="A346" s="32" t="s">
        <v>1099</v>
      </c>
      <c r="B346" s="27" t="s">
        <v>617</v>
      </c>
      <c r="C346" s="54" t="s">
        <v>660</v>
      </c>
      <c r="D346" s="27" t="s">
        <v>272</v>
      </c>
      <c r="E346" s="27" t="s">
        <v>273</v>
      </c>
      <c r="F346" s="55" t="str">
        <f>VLOOKUP(Клиенты[[#This Row],[GardenaChannel]],GardenChannel[[GardenChannel]:[Sales manager]],2,0)</f>
        <v>КОРНИЛИН ИЛЬЯ</v>
      </c>
      <c r="H346" s="27" t="s">
        <v>617</v>
      </c>
    </row>
    <row r="347" spans="1:8" x14ac:dyDescent="0.25">
      <c r="A347" s="32" t="s">
        <v>1100</v>
      </c>
      <c r="B347" s="27" t="s">
        <v>617</v>
      </c>
      <c r="C347" s="54" t="s">
        <v>661</v>
      </c>
      <c r="D347" s="27" t="s">
        <v>272</v>
      </c>
      <c r="E347" s="27" t="s">
        <v>273</v>
      </c>
      <c r="F347" s="55" t="str">
        <f>VLOOKUP(Клиенты[[#This Row],[GardenaChannel]],GardenChannel[[GardenChannel]:[Sales manager]],2,0)</f>
        <v>КОРНИЛИН ИЛЬЯ</v>
      </c>
      <c r="H347" s="27" t="s">
        <v>617</v>
      </c>
    </row>
    <row r="348" spans="1:8" x14ac:dyDescent="0.25">
      <c r="A348" s="32" t="s">
        <v>1101</v>
      </c>
      <c r="B348" s="27" t="s">
        <v>617</v>
      </c>
      <c r="C348" s="54" t="s">
        <v>662</v>
      </c>
      <c r="D348" s="27" t="s">
        <v>272</v>
      </c>
      <c r="E348" s="27" t="s">
        <v>273</v>
      </c>
      <c r="F348" s="55" t="str">
        <f>VLOOKUP(Клиенты[[#This Row],[GardenaChannel]],GardenChannel[[GardenChannel]:[Sales manager]],2,0)</f>
        <v>КОРНИЛИН ИЛЬЯ</v>
      </c>
      <c r="H348" s="27" t="s">
        <v>617</v>
      </c>
    </row>
    <row r="349" spans="1:8" x14ac:dyDescent="0.25">
      <c r="A349" s="32" t="s">
        <v>1102</v>
      </c>
      <c r="B349" s="27" t="s">
        <v>617</v>
      </c>
      <c r="C349" s="54" t="s">
        <v>663</v>
      </c>
      <c r="D349" s="27" t="s">
        <v>272</v>
      </c>
      <c r="E349" s="27" t="s">
        <v>273</v>
      </c>
      <c r="F349" s="55" t="str">
        <f>VLOOKUP(Клиенты[[#This Row],[GardenaChannel]],GardenChannel[[GardenChannel]:[Sales manager]],2,0)</f>
        <v>КОРНИЛИН ИЛЬЯ</v>
      </c>
      <c r="H349" s="27" t="s">
        <v>617</v>
      </c>
    </row>
    <row r="350" spans="1:8" x14ac:dyDescent="0.25">
      <c r="A350" s="32" t="s">
        <v>1103</v>
      </c>
      <c r="B350" s="27" t="s">
        <v>617</v>
      </c>
      <c r="C350" s="54" t="s">
        <v>664</v>
      </c>
      <c r="D350" s="27" t="s">
        <v>272</v>
      </c>
      <c r="E350" s="27" t="s">
        <v>286</v>
      </c>
      <c r="F350" s="55" t="str">
        <f>VLOOKUP(Клиенты[[#This Row],[GardenaChannel]],GardenChannel[[GardenChannel]:[Sales manager]],2,0)</f>
        <v>КОРНИЛИН ИЛЬЯ</v>
      </c>
      <c r="H350" s="27" t="s">
        <v>617</v>
      </c>
    </row>
    <row r="351" spans="1:8" x14ac:dyDescent="0.25">
      <c r="A351" s="32" t="s">
        <v>1104</v>
      </c>
      <c r="B351" s="27" t="s">
        <v>617</v>
      </c>
      <c r="C351" s="54" t="s">
        <v>665</v>
      </c>
      <c r="D351" s="27" t="s">
        <v>272</v>
      </c>
      <c r="E351" s="27" t="s">
        <v>273</v>
      </c>
      <c r="F351" s="55" t="str">
        <f>VLOOKUP(Клиенты[[#This Row],[GardenaChannel]],GardenChannel[[GardenChannel]:[Sales manager]],2,0)</f>
        <v>КОРНИЛИН ИЛЬЯ</v>
      </c>
      <c r="H351" s="27" t="s">
        <v>617</v>
      </c>
    </row>
    <row r="352" spans="1:8" x14ac:dyDescent="0.25">
      <c r="A352" s="32" t="s">
        <v>1105</v>
      </c>
      <c r="B352" s="27" t="s">
        <v>617</v>
      </c>
      <c r="C352" s="54" t="s">
        <v>666</v>
      </c>
      <c r="D352" s="27" t="s">
        <v>272</v>
      </c>
      <c r="E352" s="27" t="s">
        <v>286</v>
      </c>
      <c r="F352" s="55" t="str">
        <f>VLOOKUP(Клиенты[[#This Row],[GardenaChannel]],GardenChannel[[GardenChannel]:[Sales manager]],2,0)</f>
        <v>КОРНИЛИН ИЛЬЯ</v>
      </c>
      <c r="H352" s="27" t="s">
        <v>617</v>
      </c>
    </row>
    <row r="353" spans="1:8" x14ac:dyDescent="0.25">
      <c r="A353" s="32" t="s">
        <v>1106</v>
      </c>
      <c r="B353" s="27" t="s">
        <v>617</v>
      </c>
      <c r="C353" s="54" t="s">
        <v>667</v>
      </c>
      <c r="D353" s="27" t="s">
        <v>272</v>
      </c>
      <c r="E353" s="27" t="s">
        <v>273</v>
      </c>
      <c r="F353" s="55" t="str">
        <f>VLOOKUP(Клиенты[[#This Row],[GardenaChannel]],GardenChannel[[GardenChannel]:[Sales manager]],2,0)</f>
        <v>КОРНИЛИН ИЛЬЯ</v>
      </c>
      <c r="H353" s="27" t="s">
        <v>617</v>
      </c>
    </row>
    <row r="354" spans="1:8" x14ac:dyDescent="0.25">
      <c r="A354" s="32" t="s">
        <v>1107</v>
      </c>
      <c r="B354" s="27" t="s">
        <v>617</v>
      </c>
      <c r="C354" s="54" t="s">
        <v>668</v>
      </c>
      <c r="D354" s="27" t="s">
        <v>272</v>
      </c>
      <c r="E354" s="27" t="s">
        <v>273</v>
      </c>
      <c r="F354" s="55" t="str">
        <f>VLOOKUP(Клиенты[[#This Row],[GardenaChannel]],GardenChannel[[GardenChannel]:[Sales manager]],2,0)</f>
        <v>КОРНИЛИН ИЛЬЯ</v>
      </c>
      <c r="H354" s="27" t="s">
        <v>617</v>
      </c>
    </row>
    <row r="355" spans="1:8" x14ac:dyDescent="0.25">
      <c r="A355" s="32" t="s">
        <v>1108</v>
      </c>
      <c r="B355" s="27" t="s">
        <v>617</v>
      </c>
      <c r="C355" s="54" t="s">
        <v>669</v>
      </c>
      <c r="D355" s="27" t="s">
        <v>272</v>
      </c>
      <c r="E355" s="27" t="s">
        <v>286</v>
      </c>
      <c r="F355" s="55" t="str">
        <f>VLOOKUP(Клиенты[[#This Row],[GardenaChannel]],GardenChannel[[GardenChannel]:[Sales manager]],2,0)</f>
        <v>КОРНИЛИН ИЛЬЯ</v>
      </c>
      <c r="H355" s="27" t="s">
        <v>617</v>
      </c>
    </row>
    <row r="356" spans="1:8" x14ac:dyDescent="0.25">
      <c r="A356" s="32" t="s">
        <v>1109</v>
      </c>
      <c r="B356" s="27" t="s">
        <v>617</v>
      </c>
      <c r="C356" s="54" t="s">
        <v>670</v>
      </c>
      <c r="D356" s="27" t="s">
        <v>272</v>
      </c>
      <c r="E356" s="27" t="s">
        <v>273</v>
      </c>
      <c r="F356" s="55" t="str">
        <f>VLOOKUP(Клиенты[[#This Row],[GardenaChannel]],GardenChannel[[GardenChannel]:[Sales manager]],2,0)</f>
        <v>КОРНИЛИН ИЛЬЯ</v>
      </c>
      <c r="H356" s="27" t="s">
        <v>617</v>
      </c>
    </row>
    <row r="357" spans="1:8" x14ac:dyDescent="0.25">
      <c r="A357" s="32" t="s">
        <v>1110</v>
      </c>
      <c r="B357" s="27" t="s">
        <v>617</v>
      </c>
      <c r="C357" s="54" t="s">
        <v>671</v>
      </c>
      <c r="D357" s="27" t="s">
        <v>272</v>
      </c>
      <c r="E357" s="27" t="s">
        <v>310</v>
      </c>
      <c r="F357" s="55" t="str">
        <f>VLOOKUP(Клиенты[[#This Row],[GardenaChannel]],GardenChannel[[GardenChannel]:[Sales manager]],2,0)</f>
        <v>КОРНИЛИН ИЛЬЯ</v>
      </c>
      <c r="H357" s="27" t="s">
        <v>617</v>
      </c>
    </row>
    <row r="358" spans="1:8" x14ac:dyDescent="0.25">
      <c r="A358" s="32" t="s">
        <v>1111</v>
      </c>
      <c r="B358" s="27" t="s">
        <v>617</v>
      </c>
      <c r="C358" s="54" t="s">
        <v>672</v>
      </c>
      <c r="D358" s="27" t="s">
        <v>272</v>
      </c>
      <c r="E358" s="27" t="s">
        <v>273</v>
      </c>
      <c r="F358" s="55" t="str">
        <f>VLOOKUP(Клиенты[[#This Row],[GardenaChannel]],GardenChannel[[GardenChannel]:[Sales manager]],2,0)</f>
        <v>КОРНИЛИН ИЛЬЯ</v>
      </c>
      <c r="H358" s="27" t="s">
        <v>617</v>
      </c>
    </row>
    <row r="359" spans="1:8" x14ac:dyDescent="0.25">
      <c r="A359" s="32" t="s">
        <v>1112</v>
      </c>
      <c r="B359" s="27" t="s">
        <v>617</v>
      </c>
      <c r="C359" s="54" t="s">
        <v>673</v>
      </c>
      <c r="D359" s="27" t="s">
        <v>272</v>
      </c>
      <c r="E359" s="27" t="s">
        <v>273</v>
      </c>
      <c r="F359" s="55" t="str">
        <f>VLOOKUP(Клиенты[[#This Row],[GardenaChannel]],GardenChannel[[GardenChannel]:[Sales manager]],2,0)</f>
        <v>КОРНИЛИН ИЛЬЯ</v>
      </c>
      <c r="H359" s="27" t="s">
        <v>617</v>
      </c>
    </row>
    <row r="360" spans="1:8" x14ac:dyDescent="0.25">
      <c r="A360" s="32" t="s">
        <v>1113</v>
      </c>
      <c r="B360" s="27" t="s">
        <v>617</v>
      </c>
      <c r="C360" s="54" t="s">
        <v>674</v>
      </c>
      <c r="D360" s="27" t="s">
        <v>272</v>
      </c>
      <c r="E360" s="27" t="s">
        <v>273</v>
      </c>
      <c r="F360" s="55" t="str">
        <f>VLOOKUP(Клиенты[[#This Row],[GardenaChannel]],GardenChannel[[GardenChannel]:[Sales manager]],2,0)</f>
        <v>КОРНИЛИН ИЛЬЯ</v>
      </c>
      <c r="H360" s="27" t="s">
        <v>617</v>
      </c>
    </row>
    <row r="361" spans="1:8" x14ac:dyDescent="0.25">
      <c r="A361" s="32" t="s">
        <v>1114</v>
      </c>
      <c r="B361" s="27" t="s">
        <v>617</v>
      </c>
      <c r="C361" s="54" t="s">
        <v>675</v>
      </c>
      <c r="D361" s="27" t="s">
        <v>272</v>
      </c>
      <c r="E361" s="27" t="s">
        <v>273</v>
      </c>
      <c r="F361" s="55" t="str">
        <f>VLOOKUP(Клиенты[[#This Row],[GardenaChannel]],GardenChannel[[GardenChannel]:[Sales manager]],2,0)</f>
        <v>КОРНИЛИН ИЛЬЯ</v>
      </c>
      <c r="H361" s="27" t="s">
        <v>617</v>
      </c>
    </row>
    <row r="362" spans="1:8" x14ac:dyDescent="0.25">
      <c r="A362" s="32" t="s">
        <v>1115</v>
      </c>
      <c r="B362" s="27" t="s">
        <v>617</v>
      </c>
      <c r="C362" s="54" t="s">
        <v>676</v>
      </c>
      <c r="D362" s="27" t="s">
        <v>272</v>
      </c>
      <c r="E362" s="27" t="s">
        <v>273</v>
      </c>
      <c r="F362" s="55" t="str">
        <f>VLOOKUP(Клиенты[[#This Row],[GardenaChannel]],GardenChannel[[GardenChannel]:[Sales manager]],2,0)</f>
        <v>КОРНИЛИН ИЛЬЯ</v>
      </c>
      <c r="H362" s="27" t="s">
        <v>617</v>
      </c>
    </row>
    <row r="363" spans="1:8" x14ac:dyDescent="0.25">
      <c r="A363" s="32" t="s">
        <v>1116</v>
      </c>
      <c r="B363" s="27" t="s">
        <v>617</v>
      </c>
      <c r="C363" s="54" t="s">
        <v>677</v>
      </c>
      <c r="D363" s="27" t="s">
        <v>272</v>
      </c>
      <c r="E363" s="27" t="s">
        <v>273</v>
      </c>
      <c r="F363" s="55" t="str">
        <f>VLOOKUP(Клиенты[[#This Row],[GardenaChannel]],GardenChannel[[GardenChannel]:[Sales manager]],2,0)</f>
        <v>КОРНИЛИН ИЛЬЯ</v>
      </c>
      <c r="H363" s="27" t="s">
        <v>617</v>
      </c>
    </row>
    <row r="364" spans="1:8" x14ac:dyDescent="0.25">
      <c r="A364" s="32" t="s">
        <v>1117</v>
      </c>
      <c r="B364" s="27" t="s">
        <v>617</v>
      </c>
      <c r="C364" s="54" t="s">
        <v>678</v>
      </c>
      <c r="D364" s="27" t="s">
        <v>272</v>
      </c>
      <c r="E364" s="27" t="s">
        <v>273</v>
      </c>
      <c r="F364" s="55" t="str">
        <f>VLOOKUP(Клиенты[[#This Row],[GardenaChannel]],GardenChannel[[GardenChannel]:[Sales manager]],2,0)</f>
        <v>КОРНИЛИН ИЛЬЯ</v>
      </c>
      <c r="H364" s="27" t="s">
        <v>617</v>
      </c>
    </row>
    <row r="365" spans="1:8" x14ac:dyDescent="0.25">
      <c r="A365" s="32" t="s">
        <v>1118</v>
      </c>
      <c r="B365" s="27" t="s">
        <v>617</v>
      </c>
      <c r="C365" s="54" t="s">
        <v>679</v>
      </c>
      <c r="D365" s="27" t="s">
        <v>272</v>
      </c>
      <c r="E365" s="27" t="s">
        <v>273</v>
      </c>
      <c r="F365" s="55" t="str">
        <f>VLOOKUP(Клиенты[[#This Row],[GardenaChannel]],GardenChannel[[GardenChannel]:[Sales manager]],2,0)</f>
        <v>КОРНИЛИН ИЛЬЯ</v>
      </c>
      <c r="H365" s="27" t="s">
        <v>617</v>
      </c>
    </row>
    <row r="366" spans="1:8" x14ac:dyDescent="0.25">
      <c r="A366" s="32" t="s">
        <v>1119</v>
      </c>
      <c r="B366" s="27" t="s">
        <v>617</v>
      </c>
      <c r="C366" s="54" t="s">
        <v>680</v>
      </c>
      <c r="D366" s="27" t="s">
        <v>272</v>
      </c>
      <c r="E366" s="27" t="s">
        <v>273</v>
      </c>
      <c r="F366" s="55" t="str">
        <f>VLOOKUP(Клиенты[[#This Row],[GardenaChannel]],GardenChannel[[GardenChannel]:[Sales manager]],2,0)</f>
        <v>КОРНИЛИН ИЛЬЯ</v>
      </c>
      <c r="H366" s="27" t="s">
        <v>617</v>
      </c>
    </row>
    <row r="367" spans="1:8" x14ac:dyDescent="0.25">
      <c r="A367" s="32" t="s">
        <v>1120</v>
      </c>
      <c r="B367" s="27" t="s">
        <v>617</v>
      </c>
      <c r="C367" s="54" t="s">
        <v>681</v>
      </c>
      <c r="D367" s="27" t="s">
        <v>272</v>
      </c>
      <c r="E367" s="27" t="s">
        <v>273</v>
      </c>
      <c r="F367" s="55" t="str">
        <f>VLOOKUP(Клиенты[[#This Row],[GardenaChannel]],GardenChannel[[GardenChannel]:[Sales manager]],2,0)</f>
        <v>КОРНИЛИН ИЛЬЯ</v>
      </c>
      <c r="H367" s="27" t="s">
        <v>617</v>
      </c>
    </row>
    <row r="368" spans="1:8" x14ac:dyDescent="0.25">
      <c r="A368" s="32" t="s">
        <v>1121</v>
      </c>
      <c r="B368" s="27" t="s">
        <v>617</v>
      </c>
      <c r="C368" s="54" t="s">
        <v>682</v>
      </c>
      <c r="D368" s="27" t="s">
        <v>272</v>
      </c>
      <c r="E368" s="27" t="s">
        <v>273</v>
      </c>
      <c r="F368" s="55" t="str">
        <f>VLOOKUP(Клиенты[[#This Row],[GardenaChannel]],GardenChannel[[GardenChannel]:[Sales manager]],2,0)</f>
        <v>КОРНИЛИН ИЛЬЯ</v>
      </c>
      <c r="H368" s="27" t="s">
        <v>617</v>
      </c>
    </row>
    <row r="369" spans="1:8" x14ac:dyDescent="0.25">
      <c r="A369" s="32" t="s">
        <v>1122</v>
      </c>
      <c r="B369" s="27" t="s">
        <v>617</v>
      </c>
      <c r="C369" s="54" t="s">
        <v>683</v>
      </c>
      <c r="D369" s="27" t="s">
        <v>272</v>
      </c>
      <c r="E369" s="27" t="s">
        <v>273</v>
      </c>
      <c r="F369" s="55" t="str">
        <f>VLOOKUP(Клиенты[[#This Row],[GardenaChannel]],GardenChannel[[GardenChannel]:[Sales manager]],2,0)</f>
        <v>КОРНИЛИН ИЛЬЯ</v>
      </c>
      <c r="H369" s="27" t="s">
        <v>617</v>
      </c>
    </row>
    <row r="370" spans="1:8" x14ac:dyDescent="0.25">
      <c r="A370" s="32" t="s">
        <v>1123</v>
      </c>
      <c r="B370" s="27" t="s">
        <v>617</v>
      </c>
      <c r="C370" s="54" t="s">
        <v>684</v>
      </c>
      <c r="D370" s="27" t="s">
        <v>272</v>
      </c>
      <c r="E370" s="27" t="s">
        <v>273</v>
      </c>
      <c r="F370" s="55" t="str">
        <f>VLOOKUP(Клиенты[[#This Row],[GardenaChannel]],GardenChannel[[GardenChannel]:[Sales manager]],2,0)</f>
        <v>КОРНИЛИН ИЛЬЯ</v>
      </c>
      <c r="H370" s="27" t="s">
        <v>617</v>
      </c>
    </row>
    <row r="371" spans="1:8" x14ac:dyDescent="0.25">
      <c r="A371" s="32" t="s">
        <v>1124</v>
      </c>
      <c r="B371" s="27" t="s">
        <v>617</v>
      </c>
      <c r="C371" s="54" t="s">
        <v>685</v>
      </c>
      <c r="D371" s="27" t="s">
        <v>272</v>
      </c>
      <c r="E371" s="27" t="s">
        <v>273</v>
      </c>
      <c r="F371" s="55" t="str">
        <f>VLOOKUP(Клиенты[[#This Row],[GardenaChannel]],GardenChannel[[GardenChannel]:[Sales manager]],2,0)</f>
        <v>КОРНИЛИН ИЛЬЯ</v>
      </c>
      <c r="H371" s="27" t="s">
        <v>617</v>
      </c>
    </row>
    <row r="372" spans="1:8" x14ac:dyDescent="0.25">
      <c r="A372" s="32" t="s">
        <v>1125</v>
      </c>
      <c r="B372" s="27" t="s">
        <v>617</v>
      </c>
      <c r="C372" s="54" t="s">
        <v>686</v>
      </c>
      <c r="D372" s="27" t="s">
        <v>272</v>
      </c>
      <c r="E372" s="27" t="s">
        <v>273</v>
      </c>
      <c r="F372" s="55" t="str">
        <f>VLOOKUP(Клиенты[[#This Row],[GardenaChannel]],GardenChannel[[GardenChannel]:[Sales manager]],2,0)</f>
        <v>КОРНИЛИН ИЛЬЯ</v>
      </c>
      <c r="H372" s="27" t="s">
        <v>617</v>
      </c>
    </row>
    <row r="373" spans="1:8" x14ac:dyDescent="0.25">
      <c r="A373" s="32" t="s">
        <v>1126</v>
      </c>
      <c r="B373" s="27" t="s">
        <v>50</v>
      </c>
      <c r="C373" s="54" t="s">
        <v>687</v>
      </c>
      <c r="D373" s="27" t="s">
        <v>272</v>
      </c>
      <c r="E373" s="27" t="s">
        <v>273</v>
      </c>
      <c r="F373" s="55" t="str">
        <f>VLOOKUP(Клиенты[[#This Row],[GardenaChannel]],GardenChannel[[GardenChannel]:[Sales manager]],2,0)</f>
        <v>ПОЛУНОВ ДМИТРИЙ</v>
      </c>
      <c r="H373" s="27" t="s">
        <v>50</v>
      </c>
    </row>
    <row r="374" spans="1:8" x14ac:dyDescent="0.25">
      <c r="A374" s="32" t="s">
        <v>1127</v>
      </c>
      <c r="B374" s="27" t="s">
        <v>50</v>
      </c>
      <c r="C374" s="54" t="s">
        <v>688</v>
      </c>
      <c r="D374" s="27" t="s">
        <v>272</v>
      </c>
      <c r="E374" s="27" t="s">
        <v>273</v>
      </c>
      <c r="F374" s="55" t="str">
        <f>VLOOKUP(Клиенты[[#This Row],[GardenaChannel]],GardenChannel[[GardenChannel]:[Sales manager]],2,0)</f>
        <v>ПОЛУНОВ ДМИТРИЙ</v>
      </c>
      <c r="H374" s="27" t="s">
        <v>50</v>
      </c>
    </row>
    <row r="375" spans="1:8" x14ac:dyDescent="0.25">
      <c r="A375" s="32" t="s">
        <v>1128</v>
      </c>
      <c r="B375" s="27" t="s">
        <v>50</v>
      </c>
      <c r="C375" s="54" t="s">
        <v>689</v>
      </c>
      <c r="D375" s="27" t="s">
        <v>272</v>
      </c>
      <c r="E375" s="27" t="s">
        <v>273</v>
      </c>
      <c r="F375" s="55" t="str">
        <f>VLOOKUP(Клиенты[[#This Row],[GardenaChannel]],GardenChannel[[GardenChannel]:[Sales manager]],2,0)</f>
        <v>ПОЛУНОВ ДМИТРИЙ</v>
      </c>
      <c r="H375" s="27" t="s">
        <v>50</v>
      </c>
    </row>
    <row r="376" spans="1:8" x14ac:dyDescent="0.25">
      <c r="A376" s="32" t="s">
        <v>1129</v>
      </c>
      <c r="B376" s="27" t="s">
        <v>50</v>
      </c>
      <c r="C376" s="54" t="s">
        <v>690</v>
      </c>
      <c r="D376" s="27" t="s">
        <v>272</v>
      </c>
      <c r="E376" s="27" t="s">
        <v>273</v>
      </c>
      <c r="F376" s="55" t="str">
        <f>VLOOKUP(Клиенты[[#This Row],[GardenaChannel]],GardenChannel[[GardenChannel]:[Sales manager]],2,0)</f>
        <v>ПОЛУНОВ ДМИТРИЙ</v>
      </c>
      <c r="H376" s="27" t="s">
        <v>50</v>
      </c>
    </row>
    <row r="377" spans="1:8" x14ac:dyDescent="0.25">
      <c r="A377" s="32" t="s">
        <v>1130</v>
      </c>
      <c r="B377" s="27" t="s">
        <v>50</v>
      </c>
      <c r="C377" s="54" t="s">
        <v>691</v>
      </c>
      <c r="D377" s="27" t="s">
        <v>272</v>
      </c>
      <c r="E377" s="27" t="s">
        <v>273</v>
      </c>
      <c r="F377" s="55" t="str">
        <f>VLOOKUP(Клиенты[[#This Row],[GardenaChannel]],GardenChannel[[GardenChannel]:[Sales manager]],2,0)</f>
        <v>ПОЛУНОВ ДМИТРИЙ</v>
      </c>
      <c r="H377" s="27" t="s">
        <v>50</v>
      </c>
    </row>
    <row r="378" spans="1:8" x14ac:dyDescent="0.25">
      <c r="A378" s="32" t="s">
        <v>1131</v>
      </c>
      <c r="B378" s="27" t="s">
        <v>50</v>
      </c>
      <c r="C378" s="54" t="s">
        <v>692</v>
      </c>
      <c r="D378" s="27" t="s">
        <v>272</v>
      </c>
      <c r="E378" s="27" t="s">
        <v>273</v>
      </c>
      <c r="F378" s="55" t="str">
        <f>VLOOKUP(Клиенты[[#This Row],[GardenaChannel]],GardenChannel[[GardenChannel]:[Sales manager]],2,0)</f>
        <v>ПОЛУНОВ ДМИТРИЙ</v>
      </c>
      <c r="H378" s="27" t="s">
        <v>50</v>
      </c>
    </row>
    <row r="379" spans="1:8" x14ac:dyDescent="0.25">
      <c r="A379" s="32" t="s">
        <v>1132</v>
      </c>
      <c r="B379" s="27" t="s">
        <v>50</v>
      </c>
      <c r="C379" s="54" t="s">
        <v>693</v>
      </c>
      <c r="D379" s="27" t="s">
        <v>272</v>
      </c>
      <c r="E379" s="27" t="s">
        <v>273</v>
      </c>
      <c r="F379" s="55" t="str">
        <f>VLOOKUP(Клиенты[[#This Row],[GardenaChannel]],GardenChannel[[GardenChannel]:[Sales manager]],2,0)</f>
        <v>ПОЛУНОВ ДМИТРИЙ</v>
      </c>
      <c r="H379" s="27" t="s">
        <v>50</v>
      </c>
    </row>
    <row r="380" spans="1:8" x14ac:dyDescent="0.25">
      <c r="A380" s="32" t="s">
        <v>1133</v>
      </c>
      <c r="B380" s="27" t="s">
        <v>50</v>
      </c>
      <c r="C380" s="54" t="s">
        <v>694</v>
      </c>
      <c r="D380" s="27" t="s">
        <v>272</v>
      </c>
      <c r="E380" s="27" t="s">
        <v>273</v>
      </c>
      <c r="F380" s="55" t="str">
        <f>VLOOKUP(Клиенты[[#This Row],[GardenaChannel]],GardenChannel[[GardenChannel]:[Sales manager]],2,0)</f>
        <v>ПОЛУНОВ ДМИТРИЙ</v>
      </c>
      <c r="H380" s="27" t="s">
        <v>50</v>
      </c>
    </row>
    <row r="381" spans="1:8" x14ac:dyDescent="0.25">
      <c r="A381" s="32" t="s">
        <v>1134</v>
      </c>
      <c r="B381" s="27" t="s">
        <v>50</v>
      </c>
      <c r="C381" s="54" t="s">
        <v>695</v>
      </c>
      <c r="D381" s="27" t="s">
        <v>272</v>
      </c>
      <c r="E381" s="27" t="s">
        <v>273</v>
      </c>
      <c r="F381" s="55" t="str">
        <f>VLOOKUP(Клиенты[[#This Row],[GardenaChannel]],GardenChannel[[GardenChannel]:[Sales manager]],2,0)</f>
        <v>ПОЛУНОВ ДМИТРИЙ</v>
      </c>
      <c r="H381" s="27" t="s">
        <v>50</v>
      </c>
    </row>
    <row r="382" spans="1:8" x14ac:dyDescent="0.25">
      <c r="A382" s="32" t="s">
        <v>1135</v>
      </c>
      <c r="B382" s="27" t="s">
        <v>50</v>
      </c>
      <c r="C382" s="54" t="s">
        <v>696</v>
      </c>
      <c r="D382" s="27" t="s">
        <v>272</v>
      </c>
      <c r="E382" s="27" t="s">
        <v>273</v>
      </c>
      <c r="F382" s="55" t="str">
        <f>VLOOKUP(Клиенты[[#This Row],[GardenaChannel]],GardenChannel[[GardenChannel]:[Sales manager]],2,0)</f>
        <v>ПОЛУНОВ ДМИТРИЙ</v>
      </c>
      <c r="H382" s="27" t="s">
        <v>50</v>
      </c>
    </row>
    <row r="383" spans="1:8" x14ac:dyDescent="0.25">
      <c r="A383" s="32" t="s">
        <v>1136</v>
      </c>
      <c r="B383" s="27" t="s">
        <v>50</v>
      </c>
      <c r="C383" s="54" t="s">
        <v>697</v>
      </c>
      <c r="D383" s="27" t="s">
        <v>272</v>
      </c>
      <c r="E383" s="27" t="s">
        <v>286</v>
      </c>
      <c r="F383" s="55" t="str">
        <f>VLOOKUP(Клиенты[[#This Row],[GardenaChannel]],GardenChannel[[GardenChannel]:[Sales manager]],2,0)</f>
        <v>ПОЛУНОВ ДМИТРИЙ</v>
      </c>
      <c r="H383" s="27" t="s">
        <v>50</v>
      </c>
    </row>
    <row r="384" spans="1:8" x14ac:dyDescent="0.25">
      <c r="A384" s="32" t="s">
        <v>1137</v>
      </c>
      <c r="B384" s="27" t="s">
        <v>50</v>
      </c>
      <c r="C384" s="54" t="s">
        <v>698</v>
      </c>
      <c r="D384" s="27" t="s">
        <v>272</v>
      </c>
      <c r="E384" s="27" t="s">
        <v>273</v>
      </c>
      <c r="F384" s="55" t="str">
        <f>VLOOKUP(Клиенты[[#This Row],[GardenaChannel]],GardenChannel[[GardenChannel]:[Sales manager]],2,0)</f>
        <v>ПОЛУНОВ ДМИТРИЙ</v>
      </c>
      <c r="H384" s="27" t="s">
        <v>50</v>
      </c>
    </row>
    <row r="385" spans="1:8" x14ac:dyDescent="0.25">
      <c r="A385" s="32" t="s">
        <v>1138</v>
      </c>
      <c r="B385" s="27" t="s">
        <v>50</v>
      </c>
      <c r="C385" s="54" t="s">
        <v>699</v>
      </c>
      <c r="D385" s="27" t="s">
        <v>272</v>
      </c>
      <c r="E385" s="27" t="s">
        <v>273</v>
      </c>
      <c r="F385" s="55" t="str">
        <f>VLOOKUP(Клиенты[[#This Row],[GardenaChannel]],GardenChannel[[GardenChannel]:[Sales manager]],2,0)</f>
        <v>ПОЛУНОВ ДМИТРИЙ</v>
      </c>
      <c r="H385" s="27" t="s">
        <v>50</v>
      </c>
    </row>
    <row r="386" spans="1:8" x14ac:dyDescent="0.25">
      <c r="A386" s="32" t="s">
        <v>1139</v>
      </c>
      <c r="B386" s="27" t="s">
        <v>50</v>
      </c>
      <c r="C386" s="54" t="s">
        <v>700</v>
      </c>
      <c r="D386" s="27" t="s">
        <v>272</v>
      </c>
      <c r="E386" s="27" t="s">
        <v>273</v>
      </c>
      <c r="F386" s="55" t="str">
        <f>VLOOKUP(Клиенты[[#This Row],[GardenaChannel]],GardenChannel[[GardenChannel]:[Sales manager]],2,0)</f>
        <v>ПОЛУНОВ ДМИТРИЙ</v>
      </c>
      <c r="H386" s="27" t="s">
        <v>50</v>
      </c>
    </row>
    <row r="387" spans="1:8" x14ac:dyDescent="0.25">
      <c r="A387" s="32" t="s">
        <v>1140</v>
      </c>
      <c r="B387" s="27" t="s">
        <v>50</v>
      </c>
      <c r="C387" s="54" t="s">
        <v>701</v>
      </c>
      <c r="D387" s="27" t="s">
        <v>272</v>
      </c>
      <c r="E387" s="27" t="s">
        <v>273</v>
      </c>
      <c r="F387" s="55" t="str">
        <f>VLOOKUP(Клиенты[[#This Row],[GardenaChannel]],GardenChannel[[GardenChannel]:[Sales manager]],2,0)</f>
        <v>ПОЛУНОВ ДМИТРИЙ</v>
      </c>
      <c r="H387" s="27" t="s">
        <v>50</v>
      </c>
    </row>
    <row r="388" spans="1:8" x14ac:dyDescent="0.25">
      <c r="A388" s="32" t="s">
        <v>1141</v>
      </c>
      <c r="B388" s="27" t="s">
        <v>50</v>
      </c>
      <c r="C388" s="54" t="s">
        <v>702</v>
      </c>
      <c r="D388" s="27" t="s">
        <v>272</v>
      </c>
      <c r="E388" s="27" t="s">
        <v>273</v>
      </c>
      <c r="F388" s="55" t="str">
        <f>VLOOKUP(Клиенты[[#This Row],[GardenaChannel]],GardenChannel[[GardenChannel]:[Sales manager]],2,0)</f>
        <v>ПОЛУНОВ ДМИТРИЙ</v>
      </c>
      <c r="H388" s="27" t="s">
        <v>50</v>
      </c>
    </row>
    <row r="389" spans="1:8" x14ac:dyDescent="0.25">
      <c r="A389" s="32" t="s">
        <v>1142</v>
      </c>
      <c r="B389" s="27" t="s">
        <v>50</v>
      </c>
      <c r="C389" s="54" t="s">
        <v>703</v>
      </c>
      <c r="D389" s="27" t="s">
        <v>272</v>
      </c>
      <c r="E389" s="27" t="s">
        <v>310</v>
      </c>
      <c r="F389" s="55" t="str">
        <f>VLOOKUP(Клиенты[[#This Row],[GardenaChannel]],GardenChannel[[GardenChannel]:[Sales manager]],2,0)</f>
        <v>ПОЛУНОВ ДМИТРИЙ</v>
      </c>
      <c r="H389" s="27" t="s">
        <v>50</v>
      </c>
    </row>
    <row r="390" spans="1:8" x14ac:dyDescent="0.25">
      <c r="A390" s="32" t="s">
        <v>1143</v>
      </c>
      <c r="B390" s="27" t="s">
        <v>50</v>
      </c>
      <c r="C390" s="54" t="s">
        <v>704</v>
      </c>
      <c r="D390" s="27" t="s">
        <v>272</v>
      </c>
      <c r="E390" s="27" t="s">
        <v>273</v>
      </c>
      <c r="F390" s="55" t="str">
        <f>VLOOKUP(Клиенты[[#This Row],[GardenaChannel]],GardenChannel[[GardenChannel]:[Sales manager]],2,0)</f>
        <v>ПОЛУНОВ ДМИТРИЙ</v>
      </c>
      <c r="H390" s="27" t="s">
        <v>50</v>
      </c>
    </row>
    <row r="391" spans="1:8" x14ac:dyDescent="0.25">
      <c r="A391" s="32" t="s">
        <v>1144</v>
      </c>
      <c r="B391" s="27" t="s">
        <v>50</v>
      </c>
      <c r="C391" s="54" t="s">
        <v>705</v>
      </c>
      <c r="D391" s="27" t="s">
        <v>272</v>
      </c>
      <c r="E391" s="27" t="s">
        <v>273</v>
      </c>
      <c r="F391" s="55" t="str">
        <f>VLOOKUP(Клиенты[[#This Row],[GardenaChannel]],GardenChannel[[GardenChannel]:[Sales manager]],2,0)</f>
        <v>ПОЛУНОВ ДМИТРИЙ</v>
      </c>
      <c r="H391" s="27" t="s">
        <v>50</v>
      </c>
    </row>
    <row r="392" spans="1:8" x14ac:dyDescent="0.25">
      <c r="A392" s="32" t="s">
        <v>1145</v>
      </c>
      <c r="B392" s="27" t="s">
        <v>50</v>
      </c>
      <c r="C392" s="54" t="s">
        <v>706</v>
      </c>
      <c r="D392" s="27" t="s">
        <v>272</v>
      </c>
      <c r="E392" s="27" t="s">
        <v>286</v>
      </c>
      <c r="F392" s="55" t="str">
        <f>VLOOKUP(Клиенты[[#This Row],[GardenaChannel]],GardenChannel[[GardenChannel]:[Sales manager]],2,0)</f>
        <v>ПОЛУНОВ ДМИТРИЙ</v>
      </c>
      <c r="H392" s="27" t="s">
        <v>50</v>
      </c>
    </row>
    <row r="393" spans="1:8" x14ac:dyDescent="0.25">
      <c r="A393" s="32" t="s">
        <v>1146</v>
      </c>
      <c r="B393" s="27" t="s">
        <v>50</v>
      </c>
      <c r="C393" s="54" t="s">
        <v>707</v>
      </c>
      <c r="D393" s="27" t="s">
        <v>272</v>
      </c>
      <c r="E393" s="27" t="s">
        <v>273</v>
      </c>
      <c r="F393" s="55" t="str">
        <f>VLOOKUP(Клиенты[[#This Row],[GardenaChannel]],GardenChannel[[GardenChannel]:[Sales manager]],2,0)</f>
        <v>ПОЛУНОВ ДМИТРИЙ</v>
      </c>
      <c r="H393" s="27" t="s">
        <v>50</v>
      </c>
    </row>
    <row r="394" spans="1:8" x14ac:dyDescent="0.25">
      <c r="A394" s="32" t="s">
        <v>1147</v>
      </c>
      <c r="B394" s="27" t="s">
        <v>50</v>
      </c>
      <c r="C394" s="54" t="s">
        <v>708</v>
      </c>
      <c r="D394" s="27" t="s">
        <v>272</v>
      </c>
      <c r="E394" s="27" t="s">
        <v>273</v>
      </c>
      <c r="F394" s="55" t="str">
        <f>VLOOKUP(Клиенты[[#This Row],[GardenaChannel]],GardenChannel[[GardenChannel]:[Sales manager]],2,0)</f>
        <v>ПОЛУНОВ ДМИТРИЙ</v>
      </c>
      <c r="H394" s="27" t="s">
        <v>50</v>
      </c>
    </row>
    <row r="395" spans="1:8" x14ac:dyDescent="0.25">
      <c r="A395" s="32" t="s">
        <v>1148</v>
      </c>
      <c r="B395" s="27" t="s">
        <v>50</v>
      </c>
      <c r="C395" s="54" t="s">
        <v>709</v>
      </c>
      <c r="D395" s="27" t="s">
        <v>272</v>
      </c>
      <c r="E395" s="27" t="s">
        <v>273</v>
      </c>
      <c r="F395" s="55" t="str">
        <f>VLOOKUP(Клиенты[[#This Row],[GardenaChannel]],GardenChannel[[GardenChannel]:[Sales manager]],2,0)</f>
        <v>ПОЛУНОВ ДМИТРИЙ</v>
      </c>
      <c r="H395" s="27" t="s">
        <v>50</v>
      </c>
    </row>
    <row r="396" spans="1:8" x14ac:dyDescent="0.25">
      <c r="A396" s="32" t="s">
        <v>1149</v>
      </c>
      <c r="B396" s="27" t="s">
        <v>50</v>
      </c>
      <c r="C396" s="54" t="s">
        <v>710</v>
      </c>
      <c r="D396" s="27" t="s">
        <v>272</v>
      </c>
      <c r="E396" s="27" t="s">
        <v>273</v>
      </c>
      <c r="F396" s="55" t="str">
        <f>VLOOKUP(Клиенты[[#This Row],[GardenaChannel]],GardenChannel[[GardenChannel]:[Sales manager]],2,0)</f>
        <v>ПОЛУНОВ ДМИТРИЙ</v>
      </c>
      <c r="H396" s="27" t="s">
        <v>50</v>
      </c>
    </row>
    <row r="397" spans="1:8" x14ac:dyDescent="0.25">
      <c r="A397" s="32" t="s">
        <v>1150</v>
      </c>
      <c r="B397" s="27" t="s">
        <v>50</v>
      </c>
      <c r="C397" s="54" t="s">
        <v>711</v>
      </c>
      <c r="D397" s="27" t="s">
        <v>272</v>
      </c>
      <c r="E397" s="27" t="s">
        <v>273</v>
      </c>
      <c r="F397" s="55" t="str">
        <f>VLOOKUP(Клиенты[[#This Row],[GardenaChannel]],GardenChannel[[GardenChannel]:[Sales manager]],2,0)</f>
        <v>ПОЛУНОВ ДМИТРИЙ</v>
      </c>
      <c r="H397" s="27" t="s">
        <v>50</v>
      </c>
    </row>
    <row r="398" spans="1:8" x14ac:dyDescent="0.25">
      <c r="A398" s="32" t="s">
        <v>1151</v>
      </c>
      <c r="B398" s="27" t="s">
        <v>50</v>
      </c>
      <c r="C398" s="54" t="s">
        <v>712</v>
      </c>
      <c r="D398" s="27" t="s">
        <v>272</v>
      </c>
      <c r="E398" s="27" t="s">
        <v>273</v>
      </c>
      <c r="F398" s="55" t="str">
        <f>VLOOKUP(Клиенты[[#This Row],[GardenaChannel]],GardenChannel[[GardenChannel]:[Sales manager]],2,0)</f>
        <v>ПОЛУНОВ ДМИТРИЙ</v>
      </c>
      <c r="H398" s="27" t="s">
        <v>50</v>
      </c>
    </row>
    <row r="399" spans="1:8" x14ac:dyDescent="0.25">
      <c r="A399" s="32" t="s">
        <v>1152</v>
      </c>
      <c r="B399" s="27" t="s">
        <v>50</v>
      </c>
      <c r="C399" s="54" t="s">
        <v>713</v>
      </c>
      <c r="D399" s="27" t="s">
        <v>272</v>
      </c>
      <c r="E399" s="27" t="s">
        <v>273</v>
      </c>
      <c r="F399" s="55" t="str">
        <f>VLOOKUP(Клиенты[[#This Row],[GardenaChannel]],GardenChannel[[GardenChannel]:[Sales manager]],2,0)</f>
        <v>ПОЛУНОВ ДМИТРИЙ</v>
      </c>
      <c r="H399" s="27" t="s">
        <v>50</v>
      </c>
    </row>
    <row r="400" spans="1:8" x14ac:dyDescent="0.25">
      <c r="A400" s="32" t="s">
        <v>1153</v>
      </c>
      <c r="B400" s="27" t="s">
        <v>50</v>
      </c>
      <c r="C400" s="54" t="s">
        <v>714</v>
      </c>
      <c r="D400" s="27" t="s">
        <v>272</v>
      </c>
      <c r="E400" s="27" t="s">
        <v>273</v>
      </c>
      <c r="F400" s="55" t="str">
        <f>VLOOKUP(Клиенты[[#This Row],[GardenaChannel]],GardenChannel[[GardenChannel]:[Sales manager]],2,0)</f>
        <v>ПОЛУНОВ ДМИТРИЙ</v>
      </c>
      <c r="H400" s="27" t="s">
        <v>50</v>
      </c>
    </row>
    <row r="401" spans="1:8" x14ac:dyDescent="0.25">
      <c r="A401" s="32" t="s">
        <v>1154</v>
      </c>
      <c r="B401" s="27" t="s">
        <v>50</v>
      </c>
      <c r="C401" s="54" t="s">
        <v>715</v>
      </c>
      <c r="D401" s="27" t="s">
        <v>272</v>
      </c>
      <c r="E401" s="27" t="s">
        <v>273</v>
      </c>
      <c r="F401" s="55" t="str">
        <f>VLOOKUP(Клиенты[[#This Row],[GardenaChannel]],GardenChannel[[GardenChannel]:[Sales manager]],2,0)</f>
        <v>ПОЛУНОВ ДМИТРИЙ</v>
      </c>
      <c r="H401" s="27" t="s">
        <v>50</v>
      </c>
    </row>
    <row r="402" spans="1:8" x14ac:dyDescent="0.25">
      <c r="A402" s="32" t="s">
        <v>1155</v>
      </c>
      <c r="B402" s="27" t="s">
        <v>50</v>
      </c>
      <c r="C402" s="54" t="s">
        <v>716</v>
      </c>
      <c r="D402" s="27" t="s">
        <v>272</v>
      </c>
      <c r="E402" s="27" t="s">
        <v>273</v>
      </c>
      <c r="F402" s="55" t="str">
        <f>VLOOKUP(Клиенты[[#This Row],[GardenaChannel]],GardenChannel[[GardenChannel]:[Sales manager]],2,0)</f>
        <v>ПОЛУНОВ ДМИТРИЙ</v>
      </c>
      <c r="H402" s="27" t="s">
        <v>50</v>
      </c>
    </row>
    <row r="403" spans="1:8" x14ac:dyDescent="0.25">
      <c r="A403" s="32" t="s">
        <v>1156</v>
      </c>
      <c r="B403" s="27" t="s">
        <v>50</v>
      </c>
      <c r="C403" s="54" t="s">
        <v>717</v>
      </c>
      <c r="D403" s="27" t="s">
        <v>272</v>
      </c>
      <c r="E403" s="27" t="s">
        <v>273</v>
      </c>
      <c r="F403" s="55" t="str">
        <f>VLOOKUP(Клиенты[[#This Row],[GardenaChannel]],GardenChannel[[GardenChannel]:[Sales manager]],2,0)</f>
        <v>ПОЛУНОВ ДМИТРИЙ</v>
      </c>
      <c r="H403" s="27" t="s">
        <v>50</v>
      </c>
    </row>
    <row r="404" spans="1:8" x14ac:dyDescent="0.25">
      <c r="A404" s="32" t="s">
        <v>1157</v>
      </c>
      <c r="B404" s="27" t="s">
        <v>50</v>
      </c>
      <c r="C404" s="54" t="s">
        <v>718</v>
      </c>
      <c r="D404" s="27" t="s">
        <v>272</v>
      </c>
      <c r="E404" s="27" t="s">
        <v>273</v>
      </c>
      <c r="F404" s="55" t="str">
        <f>VLOOKUP(Клиенты[[#This Row],[GardenaChannel]],GardenChannel[[GardenChannel]:[Sales manager]],2,0)</f>
        <v>ПОЛУНОВ ДМИТРИЙ</v>
      </c>
      <c r="H404" s="27" t="s">
        <v>50</v>
      </c>
    </row>
    <row r="405" spans="1:8" x14ac:dyDescent="0.25">
      <c r="A405" s="32" t="s">
        <v>1158</v>
      </c>
      <c r="B405" s="27" t="s">
        <v>50</v>
      </c>
      <c r="C405" s="54" t="s">
        <v>719</v>
      </c>
      <c r="D405" s="27" t="s">
        <v>272</v>
      </c>
      <c r="E405" s="27" t="s">
        <v>273</v>
      </c>
      <c r="F405" s="55" t="str">
        <f>VLOOKUP(Клиенты[[#This Row],[GardenaChannel]],GardenChannel[[GardenChannel]:[Sales manager]],2,0)</f>
        <v>ПОЛУНОВ ДМИТРИЙ</v>
      </c>
      <c r="H405" s="27" t="s">
        <v>50</v>
      </c>
    </row>
    <row r="406" spans="1:8" x14ac:dyDescent="0.25">
      <c r="A406" s="32" t="s">
        <v>1159</v>
      </c>
      <c r="B406" s="27" t="s">
        <v>50</v>
      </c>
      <c r="C406" s="54" t="s">
        <v>720</v>
      </c>
      <c r="D406" s="27" t="s">
        <v>272</v>
      </c>
      <c r="E406" s="27" t="s">
        <v>273</v>
      </c>
      <c r="F406" s="55" t="str">
        <f>VLOOKUP(Клиенты[[#This Row],[GardenaChannel]],GardenChannel[[GardenChannel]:[Sales manager]],2,0)</f>
        <v>ПОЛУНОВ ДМИТРИЙ</v>
      </c>
      <c r="H406" s="27" t="s">
        <v>50</v>
      </c>
    </row>
    <row r="407" spans="1:8" x14ac:dyDescent="0.25">
      <c r="A407" s="32" t="s">
        <v>1160</v>
      </c>
      <c r="B407" s="27" t="s">
        <v>50</v>
      </c>
      <c r="C407" s="54" t="s">
        <v>721</v>
      </c>
      <c r="D407" s="27" t="s">
        <v>272</v>
      </c>
      <c r="E407" s="27" t="s">
        <v>273</v>
      </c>
      <c r="F407" s="55" t="str">
        <f>VLOOKUP(Клиенты[[#This Row],[GardenaChannel]],GardenChannel[[GardenChannel]:[Sales manager]],2,0)</f>
        <v>ПОЛУНОВ ДМИТРИЙ</v>
      </c>
      <c r="H407" s="27" t="s">
        <v>50</v>
      </c>
    </row>
    <row r="408" spans="1:8" x14ac:dyDescent="0.25">
      <c r="A408" s="32" t="s">
        <v>1161</v>
      </c>
      <c r="B408" s="27" t="s">
        <v>50</v>
      </c>
      <c r="C408" s="54" t="s">
        <v>722</v>
      </c>
      <c r="D408" s="27" t="s">
        <v>272</v>
      </c>
      <c r="E408" s="27" t="s">
        <v>273</v>
      </c>
      <c r="F408" s="55" t="str">
        <f>VLOOKUP(Клиенты[[#This Row],[GardenaChannel]],GardenChannel[[GardenChannel]:[Sales manager]],2,0)</f>
        <v>ПОЛУНОВ ДМИТРИЙ</v>
      </c>
      <c r="H408" s="27" t="s">
        <v>50</v>
      </c>
    </row>
    <row r="409" spans="1:8" x14ac:dyDescent="0.25">
      <c r="A409" s="32" t="s">
        <v>1162</v>
      </c>
      <c r="B409" s="27" t="s">
        <v>50</v>
      </c>
      <c r="C409" s="54" t="s">
        <v>723</v>
      </c>
      <c r="D409" s="27" t="s">
        <v>272</v>
      </c>
      <c r="E409" s="27" t="s">
        <v>273</v>
      </c>
      <c r="F409" s="55" t="str">
        <f>VLOOKUP(Клиенты[[#This Row],[GardenaChannel]],GardenChannel[[GardenChannel]:[Sales manager]],2,0)</f>
        <v>ПОЛУНОВ ДМИТРИЙ</v>
      </c>
      <c r="H409" s="27" t="s">
        <v>50</v>
      </c>
    </row>
    <row r="410" spans="1:8" x14ac:dyDescent="0.25">
      <c r="A410" s="32" t="s">
        <v>1163</v>
      </c>
      <c r="B410" s="27" t="s">
        <v>50</v>
      </c>
      <c r="C410" s="54" t="s">
        <v>724</v>
      </c>
      <c r="D410" s="27" t="s">
        <v>272</v>
      </c>
      <c r="E410" s="27" t="s">
        <v>273</v>
      </c>
      <c r="F410" s="55" t="str">
        <f>VLOOKUP(Клиенты[[#This Row],[GardenaChannel]],GardenChannel[[GardenChannel]:[Sales manager]],2,0)</f>
        <v>ПОЛУНОВ ДМИТРИЙ</v>
      </c>
      <c r="H410" s="27" t="s">
        <v>50</v>
      </c>
    </row>
    <row r="411" spans="1:8" x14ac:dyDescent="0.25">
      <c r="A411" s="32" t="s">
        <v>1164</v>
      </c>
      <c r="B411" s="27" t="s">
        <v>50</v>
      </c>
      <c r="C411" s="54" t="s">
        <v>725</v>
      </c>
      <c r="D411" s="27" t="s">
        <v>272</v>
      </c>
      <c r="E411" s="27" t="s">
        <v>273</v>
      </c>
      <c r="F411" s="55" t="str">
        <f>VLOOKUP(Клиенты[[#This Row],[GardenaChannel]],GardenChannel[[GardenChannel]:[Sales manager]],2,0)</f>
        <v>ПОЛУНОВ ДМИТРИЙ</v>
      </c>
      <c r="H411" s="27" t="s">
        <v>50</v>
      </c>
    </row>
    <row r="412" spans="1:8" x14ac:dyDescent="0.25">
      <c r="A412" s="32" t="s">
        <v>1165</v>
      </c>
      <c r="B412" s="27" t="s">
        <v>50</v>
      </c>
      <c r="C412" s="54" t="s">
        <v>726</v>
      </c>
      <c r="D412" s="27" t="s">
        <v>272</v>
      </c>
      <c r="E412" s="27" t="s">
        <v>273</v>
      </c>
      <c r="F412" s="55" t="str">
        <f>VLOOKUP(Клиенты[[#This Row],[GardenaChannel]],GardenChannel[[GardenChannel]:[Sales manager]],2,0)</f>
        <v>ПОЛУНОВ ДМИТРИЙ</v>
      </c>
      <c r="H412" s="27" t="s">
        <v>50</v>
      </c>
    </row>
    <row r="413" spans="1:8" x14ac:dyDescent="0.25">
      <c r="A413" s="32" t="s">
        <v>1166</v>
      </c>
      <c r="B413" s="27" t="s">
        <v>50</v>
      </c>
      <c r="C413" s="54" t="s">
        <v>727</v>
      </c>
      <c r="D413" s="27" t="s">
        <v>272</v>
      </c>
      <c r="E413" s="27" t="s">
        <v>273</v>
      </c>
      <c r="F413" s="55" t="str">
        <f>VLOOKUP(Клиенты[[#This Row],[GardenaChannel]],GardenChannel[[GardenChannel]:[Sales manager]],2,0)</f>
        <v>ПОЛУНОВ ДМИТРИЙ</v>
      </c>
      <c r="H413" s="27" t="s">
        <v>50</v>
      </c>
    </row>
    <row r="414" spans="1:8" x14ac:dyDescent="0.25">
      <c r="A414" s="32" t="s">
        <v>1167</v>
      </c>
      <c r="B414" s="27" t="s">
        <v>50</v>
      </c>
      <c r="C414" s="54" t="s">
        <v>728</v>
      </c>
      <c r="D414" s="27" t="s">
        <v>272</v>
      </c>
      <c r="E414" s="27" t="s">
        <v>273</v>
      </c>
      <c r="F414" s="55" t="str">
        <f>VLOOKUP(Клиенты[[#This Row],[GardenaChannel]],GardenChannel[[GardenChannel]:[Sales manager]],2,0)</f>
        <v>ПОЛУНОВ ДМИТРИЙ</v>
      </c>
      <c r="H414" s="27" t="s">
        <v>50</v>
      </c>
    </row>
    <row r="415" spans="1:8" x14ac:dyDescent="0.25">
      <c r="A415" s="32" t="s">
        <v>1168</v>
      </c>
      <c r="B415" s="27" t="s">
        <v>50</v>
      </c>
      <c r="C415" s="54" t="s">
        <v>729</v>
      </c>
      <c r="D415" s="27" t="s">
        <v>272</v>
      </c>
      <c r="E415" s="27" t="s">
        <v>286</v>
      </c>
      <c r="F415" s="55" t="str">
        <f>VLOOKUP(Клиенты[[#This Row],[GardenaChannel]],GardenChannel[[GardenChannel]:[Sales manager]],2,0)</f>
        <v>ПОЛУНОВ ДМИТРИЙ</v>
      </c>
      <c r="H415" s="27" t="s">
        <v>50</v>
      </c>
    </row>
    <row r="416" spans="1:8" x14ac:dyDescent="0.25">
      <c r="A416" s="32" t="s">
        <v>1169</v>
      </c>
      <c r="B416" s="27" t="s">
        <v>50</v>
      </c>
      <c r="C416" s="54" t="s">
        <v>730</v>
      </c>
      <c r="D416" s="27" t="s">
        <v>272</v>
      </c>
      <c r="E416" s="27" t="s">
        <v>273</v>
      </c>
      <c r="F416" s="55" t="str">
        <f>VLOOKUP(Клиенты[[#This Row],[GardenaChannel]],GardenChannel[[GardenChannel]:[Sales manager]],2,0)</f>
        <v>ПОЛУНОВ ДМИТРИЙ</v>
      </c>
      <c r="H416" s="27" t="s">
        <v>50</v>
      </c>
    </row>
    <row r="417" spans="1:8" x14ac:dyDescent="0.25">
      <c r="A417" s="32" t="s">
        <v>1170</v>
      </c>
      <c r="B417" s="27" t="s">
        <v>50</v>
      </c>
      <c r="C417" s="54" t="s">
        <v>731</v>
      </c>
      <c r="D417" s="27" t="s">
        <v>272</v>
      </c>
      <c r="E417" s="27" t="s">
        <v>273</v>
      </c>
      <c r="F417" s="55" t="str">
        <f>VLOOKUP(Клиенты[[#This Row],[GardenaChannel]],GardenChannel[[GardenChannel]:[Sales manager]],2,0)</f>
        <v>ПОЛУНОВ ДМИТРИЙ</v>
      </c>
      <c r="H417" s="27" t="s">
        <v>50</v>
      </c>
    </row>
    <row r="418" spans="1:8" x14ac:dyDescent="0.25">
      <c r="A418" s="32" t="s">
        <v>1171</v>
      </c>
      <c r="B418" s="27" t="s">
        <v>50</v>
      </c>
      <c r="C418" s="54" t="s">
        <v>732</v>
      </c>
      <c r="D418" s="27" t="s">
        <v>272</v>
      </c>
      <c r="E418" s="27" t="s">
        <v>273</v>
      </c>
      <c r="F418" s="55" t="str">
        <f>VLOOKUP(Клиенты[[#This Row],[GardenaChannel]],GardenChannel[[GardenChannel]:[Sales manager]],2,0)</f>
        <v>ПОЛУНОВ ДМИТРИЙ</v>
      </c>
      <c r="H418" s="27" t="s">
        <v>50</v>
      </c>
    </row>
    <row r="419" spans="1:8" x14ac:dyDescent="0.25">
      <c r="A419" s="32" t="s">
        <v>1172</v>
      </c>
      <c r="B419" s="27" t="s">
        <v>50</v>
      </c>
      <c r="C419" s="54" t="s">
        <v>733</v>
      </c>
      <c r="D419" s="27" t="s">
        <v>272</v>
      </c>
      <c r="E419" s="27" t="s">
        <v>273</v>
      </c>
      <c r="F419" s="55" t="str">
        <f>VLOOKUP(Клиенты[[#This Row],[GardenaChannel]],GardenChannel[[GardenChannel]:[Sales manager]],2,0)</f>
        <v>ПОЛУНОВ ДМИТРИЙ</v>
      </c>
      <c r="H419" s="27" t="s">
        <v>50</v>
      </c>
    </row>
    <row r="420" spans="1:8" x14ac:dyDescent="0.25">
      <c r="A420" s="32" t="s">
        <v>1173</v>
      </c>
      <c r="B420" s="27" t="s">
        <v>50</v>
      </c>
      <c r="C420" s="54" t="s">
        <v>734</v>
      </c>
      <c r="D420" s="27" t="s">
        <v>272</v>
      </c>
      <c r="E420" s="27" t="s">
        <v>273</v>
      </c>
      <c r="F420" s="55" t="str">
        <f>VLOOKUP(Клиенты[[#This Row],[GardenaChannel]],GardenChannel[[GardenChannel]:[Sales manager]],2,0)</f>
        <v>ПОЛУНОВ ДМИТРИЙ</v>
      </c>
      <c r="H420" s="27" t="s">
        <v>50</v>
      </c>
    </row>
    <row r="421" spans="1:8" x14ac:dyDescent="0.25">
      <c r="A421" s="32" t="s">
        <v>1174</v>
      </c>
      <c r="B421" s="27" t="s">
        <v>50</v>
      </c>
      <c r="C421" s="54" t="s">
        <v>735</v>
      </c>
      <c r="D421" s="27" t="s">
        <v>272</v>
      </c>
      <c r="E421" s="27" t="s">
        <v>273</v>
      </c>
      <c r="F421" s="55" t="str">
        <f>VLOOKUP(Клиенты[[#This Row],[GardenaChannel]],GardenChannel[[GardenChannel]:[Sales manager]],2,0)</f>
        <v>ПОЛУНОВ ДМИТРИЙ</v>
      </c>
      <c r="H421" s="27" t="s">
        <v>50</v>
      </c>
    </row>
    <row r="422" spans="1:8" x14ac:dyDescent="0.25">
      <c r="A422" s="32" t="s">
        <v>1175</v>
      </c>
      <c r="B422" s="27" t="s">
        <v>50</v>
      </c>
      <c r="C422" s="54" t="s">
        <v>736</v>
      </c>
      <c r="D422" s="27" t="s">
        <v>272</v>
      </c>
      <c r="E422" s="27" t="s">
        <v>273</v>
      </c>
      <c r="F422" s="55" t="str">
        <f>VLOOKUP(Клиенты[[#This Row],[GardenaChannel]],GardenChannel[[GardenChannel]:[Sales manager]],2,0)</f>
        <v>ПОЛУНОВ ДМИТРИЙ</v>
      </c>
      <c r="H422" s="27" t="s">
        <v>50</v>
      </c>
    </row>
    <row r="423" spans="1:8" x14ac:dyDescent="0.25">
      <c r="A423" s="32" t="s">
        <v>1176</v>
      </c>
      <c r="B423" s="27" t="s">
        <v>50</v>
      </c>
      <c r="C423" s="54" t="s">
        <v>737</v>
      </c>
      <c r="D423" s="27" t="s">
        <v>272</v>
      </c>
      <c r="E423" s="27" t="s">
        <v>273</v>
      </c>
      <c r="F423" s="55" t="str">
        <f>VLOOKUP(Клиенты[[#This Row],[GardenaChannel]],GardenChannel[[GardenChannel]:[Sales manager]],2,0)</f>
        <v>ПОЛУНОВ ДМИТРИЙ</v>
      </c>
      <c r="H423" s="27" t="s">
        <v>50</v>
      </c>
    </row>
    <row r="424" spans="1:8" x14ac:dyDescent="0.25">
      <c r="A424" s="32" t="s">
        <v>1177</v>
      </c>
      <c r="B424" s="27" t="s">
        <v>50</v>
      </c>
      <c r="C424" s="54" t="s">
        <v>738</v>
      </c>
      <c r="D424" s="27" t="s">
        <v>272</v>
      </c>
      <c r="E424" s="27" t="s">
        <v>273</v>
      </c>
      <c r="F424" s="55" t="str">
        <f>VLOOKUP(Клиенты[[#This Row],[GardenaChannel]],GardenChannel[[GardenChannel]:[Sales manager]],2,0)</f>
        <v>ПОЛУНОВ ДМИТРИЙ</v>
      </c>
      <c r="H424" s="27" t="s">
        <v>50</v>
      </c>
    </row>
    <row r="425" spans="1:8" x14ac:dyDescent="0.25">
      <c r="A425" s="32" t="s">
        <v>1178</v>
      </c>
      <c r="B425" s="27" t="s">
        <v>50</v>
      </c>
      <c r="C425" s="54" t="s">
        <v>739</v>
      </c>
      <c r="D425" s="27" t="s">
        <v>272</v>
      </c>
      <c r="E425" s="27" t="s">
        <v>286</v>
      </c>
      <c r="F425" s="55" t="str">
        <f>VLOOKUP(Клиенты[[#This Row],[GardenaChannel]],GardenChannel[[GardenChannel]:[Sales manager]],2,0)</f>
        <v>ПОЛУНОВ ДМИТРИЙ</v>
      </c>
      <c r="H425" s="27" t="s">
        <v>50</v>
      </c>
    </row>
    <row r="426" spans="1:8" x14ac:dyDescent="0.25">
      <c r="A426" s="32" t="s">
        <v>1179</v>
      </c>
      <c r="B426" s="27" t="s">
        <v>50</v>
      </c>
      <c r="C426" s="54" t="s">
        <v>740</v>
      </c>
      <c r="D426" s="27" t="s">
        <v>272</v>
      </c>
      <c r="E426" s="27" t="s">
        <v>286</v>
      </c>
      <c r="F426" s="55" t="str">
        <f>VLOOKUP(Клиенты[[#This Row],[GardenaChannel]],GardenChannel[[GardenChannel]:[Sales manager]],2,0)</f>
        <v>ПОЛУНОВ ДМИТРИЙ</v>
      </c>
      <c r="H426" s="27" t="s">
        <v>50</v>
      </c>
    </row>
    <row r="427" spans="1:8" x14ac:dyDescent="0.25">
      <c r="A427" s="32" t="s">
        <v>1180</v>
      </c>
      <c r="B427" s="27" t="s">
        <v>50</v>
      </c>
      <c r="C427" s="54" t="s">
        <v>741</v>
      </c>
      <c r="D427" s="27" t="s">
        <v>272</v>
      </c>
      <c r="E427" s="27" t="s">
        <v>286</v>
      </c>
      <c r="F427" s="55" t="str">
        <f>VLOOKUP(Клиенты[[#This Row],[GardenaChannel]],GardenChannel[[GardenChannel]:[Sales manager]],2,0)</f>
        <v>ПОЛУНОВ ДМИТРИЙ</v>
      </c>
      <c r="H427" s="27" t="s">
        <v>50</v>
      </c>
    </row>
    <row r="428" spans="1:8" x14ac:dyDescent="0.25">
      <c r="A428" s="32" t="s">
        <v>1181</v>
      </c>
      <c r="B428" s="27" t="s">
        <v>50</v>
      </c>
      <c r="C428" s="54" t="s">
        <v>742</v>
      </c>
      <c r="D428" s="27" t="s">
        <v>272</v>
      </c>
      <c r="E428" s="27" t="s">
        <v>273</v>
      </c>
      <c r="F428" s="55" t="str">
        <f>VLOOKUP(Клиенты[[#This Row],[GardenaChannel]],GardenChannel[[GardenChannel]:[Sales manager]],2,0)</f>
        <v>ПОЛУНОВ ДМИТРИЙ</v>
      </c>
      <c r="H428" s="27" t="s">
        <v>50</v>
      </c>
    </row>
    <row r="429" spans="1:8" x14ac:dyDescent="0.25">
      <c r="A429" s="32" t="s">
        <v>1182</v>
      </c>
      <c r="B429" s="27" t="s">
        <v>50</v>
      </c>
      <c r="C429" s="54" t="s">
        <v>743</v>
      </c>
      <c r="D429" s="27" t="s">
        <v>272</v>
      </c>
      <c r="E429" s="27" t="s">
        <v>273</v>
      </c>
      <c r="F429" s="55" t="str">
        <f>VLOOKUP(Клиенты[[#This Row],[GardenaChannel]],GardenChannel[[GardenChannel]:[Sales manager]],2,0)</f>
        <v>ПОЛУНОВ ДМИТРИЙ</v>
      </c>
      <c r="H429" s="27" t="s">
        <v>50</v>
      </c>
    </row>
    <row r="430" spans="1:8" x14ac:dyDescent="0.25">
      <c r="A430" s="32" t="s">
        <v>1183</v>
      </c>
      <c r="B430" s="27" t="s">
        <v>50</v>
      </c>
      <c r="C430" s="54" t="s">
        <v>744</v>
      </c>
      <c r="D430" s="27" t="s">
        <v>272</v>
      </c>
      <c r="E430" s="27" t="s">
        <v>273</v>
      </c>
      <c r="F430" s="55" t="str">
        <f>VLOOKUP(Клиенты[[#This Row],[GardenaChannel]],GardenChannel[[GardenChannel]:[Sales manager]],2,0)</f>
        <v>ПОЛУНОВ ДМИТРИЙ</v>
      </c>
      <c r="H430" s="27" t="s">
        <v>50</v>
      </c>
    </row>
    <row r="431" spans="1:8" x14ac:dyDescent="0.25">
      <c r="A431" s="32" t="s">
        <v>1184</v>
      </c>
      <c r="B431" s="27" t="s">
        <v>50</v>
      </c>
      <c r="C431" s="54" t="s">
        <v>745</v>
      </c>
      <c r="D431" s="27" t="s">
        <v>272</v>
      </c>
      <c r="E431" s="27" t="s">
        <v>273</v>
      </c>
      <c r="F431" s="55" t="str">
        <f>VLOOKUP(Клиенты[[#This Row],[GardenaChannel]],GardenChannel[[GardenChannel]:[Sales manager]],2,0)</f>
        <v>ПОЛУНОВ ДМИТРИЙ</v>
      </c>
      <c r="H431" s="27" t="s">
        <v>50</v>
      </c>
    </row>
    <row r="432" spans="1:8" x14ac:dyDescent="0.25">
      <c r="A432" s="32" t="s">
        <v>1185</v>
      </c>
      <c r="B432" s="27" t="s">
        <v>50</v>
      </c>
      <c r="C432" s="54" t="s">
        <v>746</v>
      </c>
      <c r="D432" s="27" t="s">
        <v>272</v>
      </c>
      <c r="E432" s="27" t="s">
        <v>273</v>
      </c>
      <c r="F432" s="55" t="str">
        <f>VLOOKUP(Клиенты[[#This Row],[GardenaChannel]],GardenChannel[[GardenChannel]:[Sales manager]],2,0)</f>
        <v>ПОЛУНОВ ДМИТРИЙ</v>
      </c>
      <c r="H432" s="27" t="s">
        <v>50</v>
      </c>
    </row>
    <row r="433" spans="1:8" x14ac:dyDescent="0.25">
      <c r="A433" s="32" t="s">
        <v>1186</v>
      </c>
      <c r="B433" s="27" t="s">
        <v>50</v>
      </c>
      <c r="C433" s="54" t="s">
        <v>747</v>
      </c>
      <c r="D433" s="27" t="s">
        <v>272</v>
      </c>
      <c r="E433" s="27" t="s">
        <v>286</v>
      </c>
      <c r="F433" s="55" t="str">
        <f>VLOOKUP(Клиенты[[#This Row],[GardenaChannel]],GardenChannel[[GardenChannel]:[Sales manager]],2,0)</f>
        <v>ПОЛУНОВ ДМИТРИЙ</v>
      </c>
      <c r="H433" s="27" t="s">
        <v>50</v>
      </c>
    </row>
    <row r="434" spans="1:8" x14ac:dyDescent="0.25">
      <c r="A434" s="32" t="s">
        <v>1187</v>
      </c>
      <c r="B434" s="27" t="s">
        <v>50</v>
      </c>
      <c r="C434" s="54" t="s">
        <v>748</v>
      </c>
      <c r="D434" s="27" t="s">
        <v>272</v>
      </c>
      <c r="E434" s="27" t="s">
        <v>273</v>
      </c>
      <c r="F434" s="55" t="str">
        <f>VLOOKUP(Клиенты[[#This Row],[GardenaChannel]],GardenChannel[[GardenChannel]:[Sales manager]],2,0)</f>
        <v>ПОЛУНОВ ДМИТРИЙ</v>
      </c>
      <c r="H434" s="27" t="s">
        <v>50</v>
      </c>
    </row>
    <row r="435" spans="1:8" x14ac:dyDescent="0.25">
      <c r="A435" s="32" t="s">
        <v>1188</v>
      </c>
      <c r="B435" s="27" t="s">
        <v>50</v>
      </c>
      <c r="C435" s="54" t="s">
        <v>749</v>
      </c>
      <c r="D435" s="27" t="s">
        <v>272</v>
      </c>
      <c r="E435" s="27" t="s">
        <v>273</v>
      </c>
      <c r="F435" s="55" t="str">
        <f>VLOOKUP(Клиенты[[#This Row],[GardenaChannel]],GardenChannel[[GardenChannel]:[Sales manager]],2,0)</f>
        <v>ПОЛУНОВ ДМИТРИЙ</v>
      </c>
      <c r="H435" s="27" t="s">
        <v>50</v>
      </c>
    </row>
    <row r="436" spans="1:8" x14ac:dyDescent="0.25">
      <c r="A436" s="32" t="s">
        <v>1189</v>
      </c>
      <c r="B436" s="27" t="s">
        <v>50</v>
      </c>
      <c r="C436" s="54" t="s">
        <v>750</v>
      </c>
      <c r="D436" s="27" t="s">
        <v>272</v>
      </c>
      <c r="E436" s="27" t="s">
        <v>273</v>
      </c>
      <c r="F436" s="55" t="str">
        <f>VLOOKUP(Клиенты[[#This Row],[GardenaChannel]],GardenChannel[[GardenChannel]:[Sales manager]],2,0)</f>
        <v>ПОЛУНОВ ДМИТРИЙ</v>
      </c>
      <c r="H436" s="27" t="s">
        <v>50</v>
      </c>
    </row>
    <row r="437" spans="1:8" x14ac:dyDescent="0.25">
      <c r="A437" s="32" t="s">
        <v>1190</v>
      </c>
      <c r="B437" s="27" t="s">
        <v>50</v>
      </c>
      <c r="C437" s="54" t="s">
        <v>751</v>
      </c>
      <c r="D437" s="27" t="s">
        <v>272</v>
      </c>
      <c r="E437" s="27" t="s">
        <v>273</v>
      </c>
      <c r="F437" s="55" t="str">
        <f>VLOOKUP(Клиенты[[#This Row],[GardenaChannel]],GardenChannel[[GardenChannel]:[Sales manager]],2,0)</f>
        <v>ПОЛУНОВ ДМИТРИЙ</v>
      </c>
      <c r="H437" s="27" t="s">
        <v>50</v>
      </c>
    </row>
    <row r="438" spans="1:8" x14ac:dyDescent="0.25">
      <c r="A438" s="32" t="s">
        <v>1191</v>
      </c>
      <c r="B438" s="27" t="s">
        <v>50</v>
      </c>
      <c r="C438" s="54" t="s">
        <v>752</v>
      </c>
      <c r="D438" s="27" t="s">
        <v>272</v>
      </c>
      <c r="E438" s="27" t="s">
        <v>273</v>
      </c>
      <c r="F438" s="55" t="str">
        <f>VLOOKUP(Клиенты[[#This Row],[GardenaChannel]],GardenChannel[[GardenChannel]:[Sales manager]],2,0)</f>
        <v>ПОЛУНОВ ДМИТРИЙ</v>
      </c>
      <c r="H438" s="27" t="s">
        <v>50</v>
      </c>
    </row>
    <row r="439" spans="1:8" x14ac:dyDescent="0.25">
      <c r="A439" s="32" t="s">
        <v>1192</v>
      </c>
      <c r="B439" s="27" t="s">
        <v>50</v>
      </c>
      <c r="C439" s="54" t="s">
        <v>753</v>
      </c>
      <c r="D439" s="27" t="s">
        <v>272</v>
      </c>
      <c r="E439" s="27" t="s">
        <v>273</v>
      </c>
      <c r="F439" s="55" t="str">
        <f>VLOOKUP(Клиенты[[#This Row],[GardenaChannel]],GardenChannel[[GardenChannel]:[Sales manager]],2,0)</f>
        <v>ПОЛУНОВ ДМИТРИЙ</v>
      </c>
      <c r="H439" s="27" t="s">
        <v>50</v>
      </c>
    </row>
    <row r="440" spans="1:8" x14ac:dyDescent="0.25">
      <c r="A440" s="32" t="s">
        <v>1193</v>
      </c>
      <c r="B440" s="27" t="s">
        <v>50</v>
      </c>
      <c r="C440" s="54" t="s">
        <v>754</v>
      </c>
      <c r="D440" s="27" t="s">
        <v>272</v>
      </c>
      <c r="E440" s="27" t="s">
        <v>273</v>
      </c>
      <c r="F440" s="55" t="str">
        <f>VLOOKUP(Клиенты[[#This Row],[GardenaChannel]],GardenChannel[[GardenChannel]:[Sales manager]],2,0)</f>
        <v>ПОЛУНОВ ДМИТРИЙ</v>
      </c>
      <c r="H440" s="27" t="s">
        <v>50</v>
      </c>
    </row>
  </sheetData>
  <phoneticPr fontId="3" type="noConversion"/>
  <dataValidations count="3">
    <dataValidation type="list" allowBlank="1" showInputMessage="1" showErrorMessage="1" sqref="B2:B440" xr:uid="{53683577-8C6C-4FFF-8D45-E658831B4343}">
      <formula1>INDIRECT("GardenChannel[GardenChannel]")</formula1>
    </dataValidation>
    <dataValidation type="list" allowBlank="1" showInputMessage="1" showErrorMessage="1" sqref="D2:D440" xr:uid="{934A21CF-608B-418A-8FA5-C4D11C5306F0}">
      <formula1>INDIRECT("ChannelTypes[Channel type]")</formula1>
    </dataValidation>
    <dataValidation type="list" allowBlank="1" showInputMessage="1" showErrorMessage="1" sqref="E2:E440" xr:uid="{29565F0E-6649-48EF-B687-C2795281DC43}">
      <formula1>INDIRECT("CustomerStatuses[Customer status]")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3"/>
  <dimension ref="A1:K2"/>
  <sheetViews>
    <sheetView zoomScale="85" zoomScaleNormal="85" workbookViewId="0">
      <selection activeCell="E1" sqref="E1"/>
    </sheetView>
  </sheetViews>
  <sheetFormatPr defaultRowHeight="15" x14ac:dyDescent="0.25"/>
  <cols>
    <col min="1" max="1" width="6.5703125" style="11" customWidth="1"/>
    <col min="2" max="3" width="24.7109375" style="6" bestFit="1" customWidth="1"/>
    <col min="4" max="4" width="13.85546875" style="13" customWidth="1"/>
    <col min="5" max="5" width="27.7109375" style="6" customWidth="1"/>
    <col min="6" max="6" width="32" style="6" customWidth="1"/>
    <col min="7" max="7" width="24.42578125" style="6" customWidth="1"/>
    <col min="8" max="8" width="25.5703125" style="6" customWidth="1"/>
    <col min="9" max="9" width="33.85546875" style="6" customWidth="1"/>
    <col min="10" max="10" width="33.140625" style="6" customWidth="1"/>
    <col min="11" max="11" width="31.28515625" style="29" customWidth="1"/>
  </cols>
  <sheetData>
    <row r="1" spans="1:11" x14ac:dyDescent="0.25">
      <c r="A1" s="10" t="s">
        <v>0</v>
      </c>
      <c r="B1" s="6" t="s">
        <v>43</v>
      </c>
      <c r="C1" s="6" t="s">
        <v>44</v>
      </c>
      <c r="D1" s="13" t="s">
        <v>52</v>
      </c>
      <c r="E1" s="6" t="s">
        <v>53</v>
      </c>
      <c r="F1" s="6" t="s">
        <v>54</v>
      </c>
      <c r="G1" s="6" t="s">
        <v>56</v>
      </c>
      <c r="H1" s="6" t="s">
        <v>58</v>
      </c>
      <c r="I1" s="6" t="s">
        <v>60</v>
      </c>
      <c r="J1" s="6" t="s">
        <v>61</v>
      </c>
      <c r="K1" s="29" t="s">
        <v>62</v>
      </c>
    </row>
    <row r="2" spans="1:11" x14ac:dyDescent="0.25">
      <c r="A2" s="10" t="s">
        <v>755</v>
      </c>
      <c r="B2" s="6" t="s">
        <v>261</v>
      </c>
      <c r="C2" s="6" t="s">
        <v>37</v>
      </c>
      <c r="D2" s="13">
        <v>43831</v>
      </c>
      <c r="E2" s="30" t="s">
        <v>1229</v>
      </c>
      <c r="F2" s="6" t="s">
        <v>55</v>
      </c>
      <c r="G2" s="6" t="s">
        <v>57</v>
      </c>
      <c r="H2" s="6" t="s">
        <v>59</v>
      </c>
      <c r="I2" s="6" t="s">
        <v>57</v>
      </c>
      <c r="J2" s="6" t="s">
        <v>57</v>
      </c>
      <c r="K2" s="29">
        <v>0.05</v>
      </c>
    </row>
  </sheetData>
  <dataValidations count="2">
    <dataValidation type="list" allowBlank="1" showInputMessage="1" showErrorMessage="1" sqref="B2" xr:uid="{42A401D3-C7EA-4642-B7FC-1391A0CD22B2}">
      <formula1>INDIRECT("ChannelTypes[Channel type]")</formula1>
    </dataValidation>
    <dataValidation type="list" allowBlank="1" showInputMessage="1" showErrorMessage="1" sqref="C2" xr:uid="{A3566935-6C6F-4645-9609-56F5D1111FD1}">
      <formula1>INDIRECT("CustomerStatuses[Customer status]")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F9"/>
  <sheetViews>
    <sheetView workbookViewId="0">
      <selection activeCell="C10" sqref="C10"/>
    </sheetView>
  </sheetViews>
  <sheetFormatPr defaultRowHeight="15" x14ac:dyDescent="0.25"/>
  <cols>
    <col min="1" max="1" width="5.7109375" customWidth="1"/>
    <col min="2" max="2" width="13.28515625" customWidth="1"/>
    <col min="3" max="3" width="15" customWidth="1"/>
    <col min="4" max="4" width="17.28515625" customWidth="1"/>
    <col min="5" max="5" width="16.85546875" customWidth="1"/>
    <col min="6" max="6" width="20.42578125" style="13" customWidth="1"/>
  </cols>
  <sheetData>
    <row r="1" spans="1:6" ht="30" x14ac:dyDescent="0.25">
      <c r="A1" s="18" t="s">
        <v>0</v>
      </c>
      <c r="B1" s="17" t="s">
        <v>18</v>
      </c>
      <c r="C1" s="18" t="s">
        <v>32</v>
      </c>
      <c r="D1" s="18" t="s">
        <v>33</v>
      </c>
      <c r="E1" s="18" t="s">
        <v>34</v>
      </c>
      <c r="F1" s="19" t="s">
        <v>31</v>
      </c>
    </row>
    <row r="2" spans="1:6" x14ac:dyDescent="0.25">
      <c r="A2">
        <v>1</v>
      </c>
      <c r="B2" s="37" t="s">
        <v>234</v>
      </c>
      <c r="D2">
        <v>100</v>
      </c>
      <c r="E2">
        <v>200</v>
      </c>
      <c r="F2" s="13">
        <v>43863</v>
      </c>
    </row>
    <row r="3" spans="1:6" x14ac:dyDescent="0.25">
      <c r="A3">
        <v>2</v>
      </c>
      <c r="B3" s="37" t="s">
        <v>235</v>
      </c>
      <c r="D3">
        <v>100</v>
      </c>
      <c r="E3">
        <v>200</v>
      </c>
      <c r="F3" s="13">
        <v>43863</v>
      </c>
    </row>
    <row r="4" spans="1:6" x14ac:dyDescent="0.25">
      <c r="A4">
        <v>3</v>
      </c>
      <c r="B4" s="37" t="s">
        <v>236</v>
      </c>
      <c r="D4">
        <v>100</v>
      </c>
      <c r="E4">
        <v>200</v>
      </c>
      <c r="F4" s="13">
        <v>43863</v>
      </c>
    </row>
    <row r="5" spans="1:6" x14ac:dyDescent="0.25">
      <c r="A5">
        <v>4</v>
      </c>
      <c r="B5" s="37" t="s">
        <v>237</v>
      </c>
      <c r="D5">
        <v>100</v>
      </c>
      <c r="E5">
        <v>200</v>
      </c>
      <c r="F5" s="13">
        <v>43863</v>
      </c>
    </row>
    <row r="6" spans="1:6" x14ac:dyDescent="0.25">
      <c r="A6">
        <v>5</v>
      </c>
      <c r="B6" s="37" t="s">
        <v>238</v>
      </c>
      <c r="D6">
        <v>100</v>
      </c>
      <c r="E6">
        <v>200</v>
      </c>
      <c r="F6" s="13">
        <v>43863</v>
      </c>
    </row>
    <row r="7" spans="1:6" x14ac:dyDescent="0.25">
      <c r="A7">
        <v>6</v>
      </c>
      <c r="B7" s="37" t="s">
        <v>239</v>
      </c>
      <c r="D7">
        <v>100</v>
      </c>
      <c r="E7">
        <v>200</v>
      </c>
      <c r="F7" s="13">
        <v>43863</v>
      </c>
    </row>
    <row r="8" spans="1:6" x14ac:dyDescent="0.25">
      <c r="A8">
        <v>7</v>
      </c>
      <c r="B8" s="37" t="s">
        <v>240</v>
      </c>
      <c r="D8">
        <v>100</v>
      </c>
      <c r="E8">
        <v>200</v>
      </c>
      <c r="F8" s="13">
        <v>43863</v>
      </c>
    </row>
    <row r="9" spans="1:6" x14ac:dyDescent="0.25">
      <c r="A9">
        <v>8</v>
      </c>
      <c r="B9" s="37" t="s">
        <v>241</v>
      </c>
      <c r="D9">
        <v>100</v>
      </c>
      <c r="E9">
        <v>200</v>
      </c>
      <c r="F9" s="13">
        <v>43863</v>
      </c>
    </row>
  </sheetData>
  <conditionalFormatting sqref="B2:B9">
    <cfRule type="expression" dxfId="2" priority="1">
      <formula>$AL2="Новинка следующего года"</formula>
    </cfRule>
    <cfRule type="expression" dxfId="1" priority="2">
      <formula>$AL2="Новинка текущего года"</formula>
    </cfRule>
    <cfRule type="expression" dxfId="0" priority="3">
      <formula>$AL2="Выведено из ассортимента текущего года"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C2"/>
  <sheetViews>
    <sheetView workbookViewId="0">
      <selection activeCell="C3" sqref="C3"/>
    </sheetView>
  </sheetViews>
  <sheetFormatPr defaultRowHeight="15" x14ac:dyDescent="0.25"/>
  <cols>
    <col min="1" max="1" width="6.7109375" style="8" customWidth="1"/>
    <col min="2" max="2" width="17.5703125" style="11" customWidth="1"/>
    <col min="3" max="3" width="18.7109375" style="20" customWidth="1"/>
  </cols>
  <sheetData>
    <row r="1" spans="1:3" ht="30" x14ac:dyDescent="0.25">
      <c r="A1" s="8" t="s">
        <v>0</v>
      </c>
      <c r="B1" s="11" t="s">
        <v>14</v>
      </c>
      <c r="C1" s="21" t="s">
        <v>35</v>
      </c>
    </row>
    <row r="2" spans="1:3" x14ac:dyDescent="0.25">
      <c r="A2" s="9">
        <v>1</v>
      </c>
      <c r="B2" s="11">
        <v>9011</v>
      </c>
      <c r="C2" s="20">
        <v>0.05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4">
    <tabColor rgb="FFFF0000"/>
  </sheetPr>
  <dimension ref="A1:DQ2"/>
  <sheetViews>
    <sheetView zoomScale="98" zoomScaleNormal="98" workbookViewId="0">
      <selection activeCell="A2" sqref="A2"/>
    </sheetView>
  </sheetViews>
  <sheetFormatPr defaultRowHeight="15" x14ac:dyDescent="0.25"/>
  <cols>
    <col min="1" max="1" width="22.42578125" style="28" bestFit="1" customWidth="1"/>
    <col min="2" max="3" width="24.7109375" style="6" bestFit="1" customWidth="1"/>
    <col min="4" max="4" width="15.7109375" style="13" customWidth="1"/>
    <col min="5" max="5" width="29.140625" customWidth="1"/>
    <col min="6" max="6" width="14.140625" style="7" customWidth="1"/>
    <col min="7" max="7" width="10" style="7" customWidth="1"/>
    <col min="8" max="8" width="16.28515625" style="7" customWidth="1"/>
    <col min="9" max="9" width="13" style="7" customWidth="1"/>
    <col min="10" max="10" width="25.28515625" style="7" customWidth="1"/>
    <col min="11" max="12" width="16.7109375" style="7" customWidth="1"/>
    <col min="13" max="13" width="19.85546875" style="7" customWidth="1"/>
    <col min="14" max="14" width="16.7109375" style="28" customWidth="1"/>
    <col min="15" max="15" width="18.140625" style="28" customWidth="1"/>
    <col min="16" max="16" width="14.85546875" style="28" customWidth="1"/>
    <col min="17" max="17" width="16.7109375" style="28" customWidth="1"/>
    <col min="18" max="18" width="14.28515625" style="28" customWidth="1"/>
    <col min="19" max="20" width="15.5703125" style="28" customWidth="1"/>
    <col min="21" max="21" width="16.140625" style="28" customWidth="1"/>
    <col min="22" max="22" width="18.42578125" style="28" customWidth="1"/>
    <col min="23" max="23" width="17.5703125" style="28" customWidth="1"/>
    <col min="24" max="24" width="16.7109375" style="28" customWidth="1"/>
    <col min="25" max="25" width="18" style="28" customWidth="1"/>
    <col min="26" max="26" width="23" style="28" customWidth="1"/>
    <col min="27" max="27" width="24.42578125" style="28" customWidth="1"/>
    <col min="28" max="28" width="21.28515625" style="28" customWidth="1"/>
    <col min="29" max="29" width="23" style="28" customWidth="1"/>
    <col min="30" max="30" width="20.5703125" style="28" customWidth="1"/>
    <col min="31" max="32" width="21.85546875" style="28" customWidth="1"/>
    <col min="33" max="33" width="22.42578125" style="28" customWidth="1"/>
    <col min="34" max="34" width="24.7109375" style="28" customWidth="1"/>
    <col min="35" max="35" width="23.85546875" style="28" customWidth="1"/>
    <col min="36" max="36" width="23" style="28" customWidth="1"/>
    <col min="37" max="37" width="24.28515625" style="28" customWidth="1"/>
    <col min="38" max="38" width="20" style="28" customWidth="1"/>
    <col min="39" max="39" width="13.42578125" style="28" customWidth="1"/>
    <col min="40" max="40" width="10.140625" style="28" customWidth="1"/>
    <col min="41" max="41" width="12" style="28" customWidth="1"/>
    <col min="42" max="42" width="9.5703125" style="28" customWidth="1"/>
    <col min="43" max="44" width="10.85546875" style="28" customWidth="1"/>
    <col min="45" max="45" width="11.42578125" style="28" customWidth="1"/>
    <col min="46" max="46" width="13.7109375" style="28" customWidth="1"/>
    <col min="47" max="47" width="12.85546875" style="28" customWidth="1"/>
    <col min="48" max="48" width="12" style="28" customWidth="1"/>
    <col min="49" max="49" width="13.28515625" style="28" customWidth="1"/>
    <col min="50" max="50" width="12.42578125" style="28" customWidth="1"/>
    <col min="51" max="51" width="13.7109375" style="28" customWidth="1"/>
    <col min="52" max="52" width="10.42578125" style="28" customWidth="1"/>
    <col min="53" max="53" width="12.28515625" style="28" customWidth="1"/>
    <col min="54" max="54" width="9.85546875" style="28" customWidth="1"/>
    <col min="55" max="56" width="11" style="28" customWidth="1"/>
    <col min="57" max="57" width="11.5703125" style="28" customWidth="1"/>
    <col min="58" max="58" width="13.85546875" style="28" customWidth="1"/>
    <col min="59" max="59" width="13" style="28" customWidth="1"/>
    <col min="60" max="60" width="12.28515625" style="28" customWidth="1"/>
    <col min="61" max="61" width="13.42578125" style="28" customWidth="1"/>
    <col min="62" max="62" width="30.85546875" style="28" bestFit="1" customWidth="1"/>
    <col min="63" max="63" width="24.140625" style="28" customWidth="1"/>
    <col min="64" max="64" width="20.85546875" style="28" customWidth="1"/>
    <col min="65" max="65" width="22.7109375" style="28" customWidth="1"/>
    <col min="66" max="66" width="20.140625" style="28" customWidth="1"/>
    <col min="67" max="68" width="21.42578125" style="28" customWidth="1"/>
    <col min="69" max="69" width="22" style="28" customWidth="1"/>
    <col min="70" max="70" width="24.28515625" style="28" bestFit="1" customWidth="1"/>
    <col min="71" max="71" width="23.42578125" style="28" customWidth="1"/>
    <col min="72" max="72" width="22.7109375" style="28" customWidth="1"/>
    <col min="73" max="73" width="23.85546875" style="28" customWidth="1"/>
    <col min="74" max="74" width="37" style="28" customWidth="1"/>
    <col min="75" max="75" width="23.28515625" style="28" customWidth="1"/>
    <col min="76" max="76" width="20" style="28" customWidth="1"/>
    <col min="77" max="77" width="21.85546875" style="28" customWidth="1"/>
    <col min="78" max="78" width="19.42578125" style="28" customWidth="1"/>
    <col min="79" max="80" width="20.5703125" style="28" customWidth="1"/>
    <col min="81" max="81" width="21.28515625" style="28" customWidth="1"/>
    <col min="82" max="82" width="23.42578125" style="28" customWidth="1"/>
    <col min="83" max="83" width="22.7109375" style="28" customWidth="1"/>
    <col min="84" max="84" width="21.85546875" style="28" customWidth="1"/>
    <col min="85" max="85" width="23" style="28" customWidth="1"/>
    <col min="86" max="86" width="25.85546875" style="28" customWidth="1"/>
    <col min="87" max="87" width="19.42578125" style="28" customWidth="1"/>
    <col min="88" max="88" width="16.140625" style="28" customWidth="1"/>
    <col min="89" max="89" width="18" style="28" customWidth="1"/>
    <col min="90" max="90" width="15.5703125" style="28" customWidth="1"/>
    <col min="91" max="92" width="16.7109375" style="28" customWidth="1"/>
    <col min="93" max="93" width="17.28515625" style="28" customWidth="1"/>
    <col min="94" max="94" width="19.5703125" style="28" customWidth="1"/>
    <col min="95" max="95" width="18.7109375" style="28" customWidth="1"/>
    <col min="96" max="96" width="18" style="28" customWidth="1"/>
    <col min="97" max="97" width="19.140625" style="28" customWidth="1"/>
    <col min="98" max="98" width="26.140625" style="28" customWidth="1"/>
    <col min="99" max="99" width="19.5703125" style="28" customWidth="1"/>
    <col min="100" max="100" width="16.28515625" style="28" customWidth="1"/>
    <col min="101" max="101" width="18.140625" style="28" customWidth="1"/>
    <col min="102" max="102" width="15.7109375" style="28" customWidth="1"/>
    <col min="103" max="104" width="17" style="28" customWidth="1"/>
    <col min="105" max="105" width="17.5703125" style="28" customWidth="1"/>
    <col min="106" max="106" width="19.85546875" style="28" customWidth="1"/>
    <col min="107" max="107" width="19" style="28" customWidth="1"/>
    <col min="108" max="108" width="18.140625" style="28" customWidth="1"/>
    <col min="109" max="109" width="19.42578125" style="28" customWidth="1"/>
    <col min="110" max="110" width="25.140625" style="28" customWidth="1"/>
    <col min="111" max="111" width="18.5703125" style="28" customWidth="1"/>
    <col min="112" max="112" width="15.28515625" style="28" customWidth="1"/>
    <col min="113" max="113" width="17.140625" style="28" customWidth="1"/>
    <col min="114" max="114" width="14.7109375" style="28" customWidth="1"/>
    <col min="115" max="116" width="15.85546875" style="28" customWidth="1"/>
    <col min="117" max="117" width="16.5703125" style="28" customWidth="1"/>
    <col min="118" max="118" width="18.7109375" style="28" customWidth="1"/>
    <col min="119" max="119" width="18" style="28" customWidth="1"/>
    <col min="120" max="120" width="17.140625" style="28" customWidth="1"/>
    <col min="121" max="121" width="18.42578125" style="28" customWidth="1"/>
  </cols>
  <sheetData>
    <row r="1" spans="1:121" x14ac:dyDescent="0.25">
      <c r="A1" s="28" t="s">
        <v>63</v>
      </c>
      <c r="B1" s="6" t="s">
        <v>43</v>
      </c>
      <c r="C1" s="6" t="s">
        <v>44</v>
      </c>
      <c r="D1" s="13" t="s">
        <v>65</v>
      </c>
      <c r="E1" t="s">
        <v>66</v>
      </c>
      <c r="F1" s="7" t="s">
        <v>30</v>
      </c>
      <c r="G1" s="7" t="s">
        <v>32</v>
      </c>
      <c r="H1" s="7" t="s">
        <v>67</v>
      </c>
      <c r="I1" s="7" t="s">
        <v>68</v>
      </c>
      <c r="J1" s="7" t="s">
        <v>34</v>
      </c>
      <c r="K1" s="7" t="s">
        <v>69</v>
      </c>
      <c r="L1" s="7" t="s">
        <v>70</v>
      </c>
      <c r="M1" s="7" t="s">
        <v>71</v>
      </c>
      <c r="N1" s="28" t="s">
        <v>73</v>
      </c>
      <c r="O1" s="28" t="s">
        <v>74</v>
      </c>
      <c r="P1" s="28" t="s">
        <v>75</v>
      </c>
      <c r="Q1" s="28" t="s">
        <v>76</v>
      </c>
      <c r="R1" s="28" t="s">
        <v>77</v>
      </c>
      <c r="S1" s="28" t="s">
        <v>78</v>
      </c>
      <c r="T1" s="28" t="s">
        <v>79</v>
      </c>
      <c r="U1" s="28" t="s">
        <v>80</v>
      </c>
      <c r="V1" s="28" t="s">
        <v>81</v>
      </c>
      <c r="W1" s="28" t="s">
        <v>82</v>
      </c>
      <c r="X1" s="28" t="s">
        <v>83</v>
      </c>
      <c r="Y1" s="28" t="s">
        <v>84</v>
      </c>
      <c r="Z1" s="28" t="s">
        <v>96</v>
      </c>
      <c r="AA1" s="28" t="s">
        <v>85</v>
      </c>
      <c r="AB1" s="28" t="s">
        <v>86</v>
      </c>
      <c r="AC1" s="28" t="s">
        <v>87</v>
      </c>
      <c r="AD1" s="28" t="s">
        <v>88</v>
      </c>
      <c r="AE1" s="28" t="s">
        <v>89</v>
      </c>
      <c r="AF1" s="28" t="s">
        <v>90</v>
      </c>
      <c r="AG1" s="28" t="s">
        <v>91</v>
      </c>
      <c r="AH1" s="28" t="s">
        <v>92</v>
      </c>
      <c r="AI1" s="28" t="s">
        <v>93</v>
      </c>
      <c r="AJ1" s="28" t="s">
        <v>94</v>
      </c>
      <c r="AK1" s="28" t="s">
        <v>95</v>
      </c>
      <c r="AL1" s="28" t="s">
        <v>175</v>
      </c>
      <c r="AM1" s="28" t="s">
        <v>164</v>
      </c>
      <c r="AN1" s="28" t="s">
        <v>165</v>
      </c>
      <c r="AO1" s="28" t="s">
        <v>166</v>
      </c>
      <c r="AP1" s="28" t="s">
        <v>167</v>
      </c>
      <c r="AQ1" s="28" t="s">
        <v>168</v>
      </c>
      <c r="AR1" s="28" t="s">
        <v>169</v>
      </c>
      <c r="AS1" s="28" t="s">
        <v>170</v>
      </c>
      <c r="AT1" s="28" t="s">
        <v>171</v>
      </c>
      <c r="AU1" s="28" t="s">
        <v>172</v>
      </c>
      <c r="AV1" s="28" t="s">
        <v>173</v>
      </c>
      <c r="AW1" s="28" t="s">
        <v>174</v>
      </c>
      <c r="AX1" s="28" t="s">
        <v>152</v>
      </c>
      <c r="AY1" s="28" t="s">
        <v>153</v>
      </c>
      <c r="AZ1" s="28" t="s">
        <v>154</v>
      </c>
      <c r="BA1" s="28" t="s">
        <v>155</v>
      </c>
      <c r="BB1" s="28" t="s">
        <v>156</v>
      </c>
      <c r="BC1" s="28" t="s">
        <v>157</v>
      </c>
      <c r="BD1" s="28" t="s">
        <v>158</v>
      </c>
      <c r="BE1" s="28" t="s">
        <v>159</v>
      </c>
      <c r="BF1" s="28" t="s">
        <v>160</v>
      </c>
      <c r="BG1" s="28" t="s">
        <v>161</v>
      </c>
      <c r="BH1" s="28" t="s">
        <v>162</v>
      </c>
      <c r="BI1" s="28" t="s">
        <v>163</v>
      </c>
      <c r="BJ1" s="28" t="s">
        <v>176</v>
      </c>
      <c r="BK1" s="28" t="s">
        <v>141</v>
      </c>
      <c r="BL1" s="28" t="s">
        <v>142</v>
      </c>
      <c r="BM1" s="28" t="s">
        <v>143</v>
      </c>
      <c r="BN1" s="28" t="s">
        <v>144</v>
      </c>
      <c r="BO1" s="28" t="s">
        <v>145</v>
      </c>
      <c r="BP1" s="28" t="s">
        <v>146</v>
      </c>
      <c r="BQ1" s="28" t="s">
        <v>147</v>
      </c>
      <c r="BR1" s="28" t="s">
        <v>148</v>
      </c>
      <c r="BS1" s="28" t="s">
        <v>149</v>
      </c>
      <c r="BT1" s="28" t="s">
        <v>150</v>
      </c>
      <c r="BU1" s="28" t="s">
        <v>151</v>
      </c>
      <c r="BV1" s="28" t="s">
        <v>177</v>
      </c>
      <c r="BW1" s="28" t="s">
        <v>130</v>
      </c>
      <c r="BX1" s="28" t="s">
        <v>131</v>
      </c>
      <c r="BY1" s="28" t="s">
        <v>132</v>
      </c>
      <c r="BZ1" s="28" t="s">
        <v>133</v>
      </c>
      <c r="CA1" s="28" t="s">
        <v>134</v>
      </c>
      <c r="CB1" s="28" t="s">
        <v>135</v>
      </c>
      <c r="CC1" s="28" t="s">
        <v>136</v>
      </c>
      <c r="CD1" s="28" t="s">
        <v>137</v>
      </c>
      <c r="CE1" s="28" t="s">
        <v>138</v>
      </c>
      <c r="CF1" s="28" t="s">
        <v>139</v>
      </c>
      <c r="CG1" s="28" t="s">
        <v>140</v>
      </c>
      <c r="CH1" s="28" t="s">
        <v>178</v>
      </c>
      <c r="CI1" s="28" t="s">
        <v>119</v>
      </c>
      <c r="CJ1" s="28" t="s">
        <v>120</v>
      </c>
      <c r="CK1" s="28" t="s">
        <v>121</v>
      </c>
      <c r="CL1" s="28" t="s">
        <v>122</v>
      </c>
      <c r="CM1" s="28" t="s">
        <v>123</v>
      </c>
      <c r="CN1" s="28" t="s">
        <v>124</v>
      </c>
      <c r="CO1" s="28" t="s">
        <v>125</v>
      </c>
      <c r="CP1" s="28" t="s">
        <v>126</v>
      </c>
      <c r="CQ1" s="28" t="s">
        <v>127</v>
      </c>
      <c r="CR1" s="28" t="s">
        <v>128</v>
      </c>
      <c r="CS1" s="28" t="s">
        <v>129</v>
      </c>
      <c r="CT1" s="28" t="s">
        <v>179</v>
      </c>
      <c r="CU1" s="28" t="s">
        <v>108</v>
      </c>
      <c r="CV1" s="28" t="s">
        <v>109</v>
      </c>
      <c r="CW1" s="28" t="s">
        <v>110</v>
      </c>
      <c r="CX1" s="28" t="s">
        <v>111</v>
      </c>
      <c r="CY1" s="28" t="s">
        <v>112</v>
      </c>
      <c r="CZ1" s="28" t="s">
        <v>113</v>
      </c>
      <c r="DA1" s="28" t="s">
        <v>114</v>
      </c>
      <c r="DB1" s="28" t="s">
        <v>115</v>
      </c>
      <c r="DC1" s="28" t="s">
        <v>116</v>
      </c>
      <c r="DD1" s="28" t="s">
        <v>117</v>
      </c>
      <c r="DE1" s="28" t="s">
        <v>118</v>
      </c>
      <c r="DF1" s="28" t="s">
        <v>180</v>
      </c>
      <c r="DG1" s="28" t="s">
        <v>97</v>
      </c>
      <c r="DH1" s="28" t="s">
        <v>98</v>
      </c>
      <c r="DI1" s="28" t="s">
        <v>99</v>
      </c>
      <c r="DJ1" s="28" t="s">
        <v>100</v>
      </c>
      <c r="DK1" s="28" t="s">
        <v>101</v>
      </c>
      <c r="DL1" s="28" t="s">
        <v>102</v>
      </c>
      <c r="DM1" s="28" t="s">
        <v>103</v>
      </c>
      <c r="DN1" s="28" t="s">
        <v>104</v>
      </c>
      <c r="DO1" s="28" t="s">
        <v>105</v>
      </c>
      <c r="DP1" s="28" t="s">
        <v>106</v>
      </c>
      <c r="DQ1" s="28" t="s">
        <v>107</v>
      </c>
    </row>
    <row r="2" spans="1:121" x14ac:dyDescent="0.25">
      <c r="A2" s="28" t="s">
        <v>64</v>
      </c>
      <c r="B2" s="6" t="s">
        <v>51</v>
      </c>
      <c r="C2" s="6" t="s">
        <v>51</v>
      </c>
      <c r="D2" s="13">
        <v>43831</v>
      </c>
      <c r="N2" s="28" t="s">
        <v>72</v>
      </c>
      <c r="Z2" s="28" t="s">
        <v>72</v>
      </c>
      <c r="AL2" s="28" t="s">
        <v>72</v>
      </c>
      <c r="AX2" s="28" t="s">
        <v>72</v>
      </c>
      <c r="BJ2" s="28" t="s">
        <v>72</v>
      </c>
      <c r="BV2" s="28" t="s">
        <v>72</v>
      </c>
      <c r="CH2" s="28" t="s">
        <v>72</v>
      </c>
      <c r="CT2" s="28" t="s">
        <v>72</v>
      </c>
      <c r="DF2" s="28" t="s">
        <v>72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8FE98-CDA6-4C44-A51C-62D667A70FEA}">
  <sheetPr codeName="Лист17">
    <tabColor rgb="FFFF0000"/>
  </sheetPr>
  <dimension ref="A2:V14"/>
  <sheetViews>
    <sheetView zoomScale="60" zoomScaleNormal="60" workbookViewId="0">
      <pane xSplit="4" ySplit="13" topLeftCell="E14" activePane="bottomRight" state="frozen"/>
      <selection pane="topRight" activeCell="F1" sqref="F1"/>
      <selection pane="bottomLeft" activeCell="A15" sqref="A15"/>
      <selection pane="bottomRight" activeCell="A13" sqref="A13"/>
    </sheetView>
  </sheetViews>
  <sheetFormatPr defaultRowHeight="15.75" x14ac:dyDescent="0.25"/>
  <cols>
    <col min="1" max="1" width="25.85546875" style="57" customWidth="1"/>
    <col min="2" max="2" width="20.85546875" style="58" customWidth="1"/>
    <col min="3" max="3" width="49.85546875" style="58" customWidth="1"/>
    <col min="4" max="4" width="22.42578125" style="59" customWidth="1"/>
    <col min="5" max="5" width="53.28515625" style="59" customWidth="1"/>
    <col min="6" max="6" width="53.140625" style="58" customWidth="1"/>
    <col min="7" max="7" width="66.7109375" style="60" customWidth="1"/>
    <col min="8" max="8" width="24.28515625" style="58" customWidth="1"/>
    <col min="9" max="9" width="24" style="59" customWidth="1"/>
    <col min="10" max="11" width="24.5703125" style="58" customWidth="1"/>
    <col min="12" max="12" width="25.7109375" style="61" customWidth="1"/>
    <col min="13" max="13" width="33.140625" style="58" customWidth="1"/>
    <col min="14" max="14" width="33.28515625" style="58" customWidth="1"/>
    <col min="15" max="15" width="20.28515625" style="58" customWidth="1"/>
    <col min="16" max="16" width="22.140625" style="58" customWidth="1"/>
    <col min="17" max="17" width="21" style="58" customWidth="1"/>
    <col min="18" max="18" width="20.7109375" style="58" customWidth="1"/>
    <col min="19" max="19" width="28.28515625" style="62" customWidth="1"/>
    <col min="20" max="20" width="57.7109375" style="63" customWidth="1"/>
    <col min="21" max="21" width="19.140625" style="58" customWidth="1"/>
    <col min="22" max="22" width="22.7109375" style="58" customWidth="1"/>
    <col min="23" max="16384" width="9.140625" style="58"/>
  </cols>
  <sheetData>
    <row r="2" spans="1:22" ht="63.75" customHeight="1" x14ac:dyDescent="0.25">
      <c r="B2" s="91"/>
      <c r="C2" s="91"/>
    </row>
    <row r="3" spans="1:22" x14ac:dyDescent="0.25">
      <c r="C3" s="63"/>
      <c r="F3" s="63"/>
    </row>
    <row r="4" spans="1:22" x14ac:dyDescent="0.25">
      <c r="B4" s="92" t="s">
        <v>1200</v>
      </c>
      <c r="C4" s="92"/>
      <c r="D4" s="64"/>
      <c r="E4" s="64"/>
      <c r="F4" s="65"/>
      <c r="G4" s="66"/>
      <c r="I4" s="64"/>
    </row>
    <row r="5" spans="1:22" x14ac:dyDescent="0.25">
      <c r="B5" s="92" t="s">
        <v>1201</v>
      </c>
      <c r="C5" s="92"/>
      <c r="D5" s="67">
        <v>43831</v>
      </c>
      <c r="F5" s="63"/>
    </row>
    <row r="6" spans="1:22" x14ac:dyDescent="0.25">
      <c r="B6" s="92" t="s">
        <v>1202</v>
      </c>
      <c r="C6" s="92"/>
      <c r="F6" s="59"/>
      <c r="U6" s="59"/>
    </row>
    <row r="7" spans="1:22" x14ac:dyDescent="0.25">
      <c r="B7" s="68"/>
      <c r="C7" s="69"/>
      <c r="F7" s="59"/>
      <c r="U7" s="59"/>
    </row>
    <row r="8" spans="1:22" x14ac:dyDescent="0.25">
      <c r="B8" s="68" t="s">
        <v>1203</v>
      </c>
      <c r="C8" s="69"/>
      <c r="F8" s="59"/>
      <c r="U8" s="59"/>
    </row>
    <row r="9" spans="1:22" x14ac:dyDescent="0.25">
      <c r="B9" s="68"/>
      <c r="C9" s="69"/>
      <c r="F9" s="59"/>
      <c r="U9" s="59"/>
    </row>
    <row r="10" spans="1:22" x14ac:dyDescent="0.25">
      <c r="B10" s="68" t="s">
        <v>1204</v>
      </c>
      <c r="C10" s="69"/>
      <c r="F10" s="59"/>
      <c r="U10" s="59"/>
    </row>
    <row r="11" spans="1:22" x14ac:dyDescent="0.25">
      <c r="B11" s="68" t="s">
        <v>1205</v>
      </c>
      <c r="C11" s="69"/>
    </row>
    <row r="12" spans="1:22" ht="62.25" customHeight="1" x14ac:dyDescent="0.25">
      <c r="B12" s="93" t="s">
        <v>1206</v>
      </c>
      <c r="C12" s="93"/>
      <c r="D12" s="93"/>
    </row>
    <row r="13" spans="1:22" ht="31.5" x14ac:dyDescent="0.25">
      <c r="A13" s="70" t="s">
        <v>1230</v>
      </c>
      <c r="B13" s="70" t="s">
        <v>1207</v>
      </c>
      <c r="C13" s="70" t="s">
        <v>1208</v>
      </c>
      <c r="D13" s="70" t="s">
        <v>1209</v>
      </c>
      <c r="E13" s="70" t="s">
        <v>1210</v>
      </c>
      <c r="F13" s="70" t="s">
        <v>1211</v>
      </c>
      <c r="G13" s="70" t="s">
        <v>25</v>
      </c>
      <c r="H13" s="70" t="s">
        <v>1212</v>
      </c>
      <c r="I13" s="70" t="s">
        <v>1213</v>
      </c>
      <c r="J13" s="70" t="s">
        <v>1214</v>
      </c>
      <c r="K13" s="70" t="s">
        <v>1215</v>
      </c>
      <c r="L13" s="70" t="s">
        <v>1216</v>
      </c>
      <c r="M13" s="71" t="s">
        <v>1217</v>
      </c>
      <c r="N13" s="70" t="s">
        <v>1218</v>
      </c>
      <c r="O13" s="70" t="s">
        <v>1219</v>
      </c>
      <c r="P13" s="70" t="s">
        <v>1220</v>
      </c>
      <c r="Q13" s="70" t="s">
        <v>1221</v>
      </c>
      <c r="R13" s="70" t="s">
        <v>1222</v>
      </c>
      <c r="S13" s="70" t="s">
        <v>1223</v>
      </c>
      <c r="T13" s="71" t="s">
        <v>1224</v>
      </c>
      <c r="U13" s="72" t="s">
        <v>1225</v>
      </c>
      <c r="V13" s="70" t="s">
        <v>1226</v>
      </c>
    </row>
    <row r="14" spans="1:22" x14ac:dyDescent="0.25">
      <c r="A14" s="73"/>
      <c r="B14" s="57"/>
      <c r="D14" s="58"/>
      <c r="F14" s="59"/>
      <c r="G14" s="58"/>
      <c r="H14" s="60"/>
      <c r="I14" s="58"/>
      <c r="J14" s="59"/>
      <c r="L14" s="58"/>
      <c r="M14" s="61"/>
      <c r="S14" s="58"/>
      <c r="T14" s="62"/>
      <c r="U14" s="63"/>
    </row>
  </sheetData>
  <mergeCells count="5">
    <mergeCell ref="B2:C2"/>
    <mergeCell ref="B4:C4"/>
    <mergeCell ref="B5:C5"/>
    <mergeCell ref="B6:C6"/>
    <mergeCell ref="B12:D12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MSPhotoEd.3" shapeId="2049" r:id="rId4">
          <objectPr defaultSize="0" autoPict="0" r:id="rId5">
            <anchor moveWithCells="1" sizeWithCells="1">
              <from>
                <xdr:col>1</xdr:col>
                <xdr:colOff>228600</xdr:colOff>
                <xdr:row>1</xdr:row>
                <xdr:rowOff>161925</xdr:rowOff>
              </from>
              <to>
                <xdr:col>2</xdr:col>
                <xdr:colOff>1257300</xdr:colOff>
                <xdr:row>1</xdr:row>
                <xdr:rowOff>742950</xdr:rowOff>
              </to>
            </anchor>
          </objectPr>
        </oleObject>
      </mc:Choice>
      <mc:Fallback>
        <oleObject progId="MSPhotoEd.3" shapeId="2049" r:id="rId4"/>
      </mc:Fallback>
    </mc:AlternateContent>
  </oleObjects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F5F75-176B-4719-9FF9-C39E9983100A}">
  <sheetPr codeName="Лист18"/>
  <dimension ref="A1:HE30"/>
  <sheetViews>
    <sheetView zoomScale="85" zoomScaleNormal="85" workbookViewId="0">
      <selection activeCell="D4" sqref="D4"/>
    </sheetView>
  </sheetViews>
  <sheetFormatPr defaultRowHeight="15" x14ac:dyDescent="0.25"/>
  <cols>
    <col min="1" max="1" width="19" style="87" customWidth="1"/>
    <col min="2" max="2" width="16.140625" style="87" customWidth="1"/>
    <col min="3" max="3" width="21.28515625" style="87" customWidth="1"/>
    <col min="4" max="4" width="13.5703125" style="87" customWidth="1"/>
    <col min="5" max="5" width="14" style="87" customWidth="1"/>
    <col min="6" max="6" width="9.5703125" style="87" customWidth="1"/>
    <col min="7" max="7" width="17.140625" style="87" customWidth="1"/>
    <col min="8" max="8" width="13" style="87" customWidth="1"/>
    <col min="9" max="9" width="25.7109375" style="87" customWidth="1"/>
    <col min="10" max="19" width="7.85546875" style="87" hidden="1" customWidth="1"/>
    <col min="20" max="20" width="7.5703125" style="87" hidden="1" customWidth="1"/>
    <col min="21" max="21" width="9.5703125" style="88" hidden="1" customWidth="1"/>
    <col min="22" max="22" width="9.140625" style="87" hidden="1" customWidth="1"/>
    <col min="23" max="23" width="45.42578125" style="87" hidden="1" customWidth="1"/>
    <col min="24" max="32" width="9.140625" style="87" hidden="1" customWidth="1"/>
    <col min="33" max="33" width="9.140625" style="89" hidden="1" customWidth="1"/>
    <col min="34" max="45" width="9.140625" style="87" hidden="1" customWidth="1"/>
    <col min="46" max="46" width="9.140625" style="88" hidden="1" customWidth="1"/>
    <col min="47" max="56" width="9.140625" style="87" hidden="1" customWidth="1"/>
    <col min="57" max="57" width="9.140625" style="89" hidden="1" customWidth="1"/>
    <col min="58" max="58" width="9.140625" style="88" hidden="1" customWidth="1"/>
    <col min="59" max="68" width="9.140625" style="87" hidden="1" customWidth="1"/>
    <col min="69" max="69" width="9.140625" style="89" hidden="1" customWidth="1"/>
    <col min="70" max="70" width="9.140625" style="87" hidden="1" customWidth="1"/>
    <col min="71" max="71" width="9.140625" style="88" hidden="1" customWidth="1"/>
    <col min="72" max="81" width="9.140625" style="87" hidden="1" customWidth="1"/>
    <col min="82" max="82" width="9.140625" style="89" hidden="1" customWidth="1"/>
    <col min="83" max="83" width="9.140625" style="88" hidden="1" customWidth="1"/>
    <col min="84" max="93" width="9.140625" style="87" hidden="1" customWidth="1"/>
    <col min="94" max="94" width="9.140625" style="89" hidden="1" customWidth="1"/>
    <col min="95" max="95" width="9.140625" style="88" hidden="1" customWidth="1"/>
    <col min="96" max="105" width="9.140625" style="87" hidden="1" customWidth="1"/>
    <col min="106" max="106" width="9.140625" style="89" hidden="1" customWidth="1"/>
    <col min="107" max="107" width="9.140625" style="88" hidden="1" customWidth="1"/>
    <col min="108" max="117" width="9.140625" style="87" hidden="1" customWidth="1"/>
    <col min="118" max="118" width="9.140625" style="89" hidden="1" customWidth="1"/>
    <col min="119" max="119" width="19.7109375" style="87" customWidth="1"/>
    <col min="120" max="120" width="18.28515625" style="87" customWidth="1"/>
    <col min="121" max="121" width="20.28515625" style="87" customWidth="1"/>
    <col min="122" max="122" width="20.85546875" style="87" customWidth="1"/>
    <col min="123" max="123" width="22" style="87" customWidth="1"/>
    <col min="124" max="124" width="19" style="87" customWidth="1"/>
    <col min="125" max="125" width="20.7109375" style="87" customWidth="1"/>
    <col min="126" max="126" width="18.28515625" style="87" customWidth="1"/>
    <col min="127" max="127" width="19.42578125" style="87" customWidth="1"/>
    <col min="128" max="128" width="19.28515625" style="87" customWidth="1"/>
    <col min="129" max="129" width="20" style="87" customWidth="1"/>
    <col min="130" max="130" width="23.5703125" style="87" customWidth="1"/>
    <col min="131" max="131" width="21.5703125" style="87" customWidth="1"/>
    <col min="132" max="132" width="20.85546875" style="87" customWidth="1"/>
    <col min="133" max="133" width="21.85546875" style="87" customWidth="1"/>
    <col min="134" max="134" width="20.7109375" style="88" customWidth="1"/>
    <col min="135" max="135" width="10.7109375" style="87" customWidth="1"/>
    <col min="136" max="136" width="19.28515625" style="87" customWidth="1"/>
    <col min="137" max="137" width="29.28515625" style="87" bestFit="1" customWidth="1"/>
    <col min="138" max="138" width="40.42578125" style="87" customWidth="1"/>
    <col min="139" max="139" width="23" style="87" customWidth="1"/>
    <col min="140" max="140" width="21" style="87" customWidth="1"/>
    <col min="141" max="141" width="22.7109375" style="87" customWidth="1"/>
    <col min="142" max="142" width="20.28515625" style="87" customWidth="1"/>
    <col min="143" max="143" width="21.5703125" style="87" customWidth="1"/>
    <col min="144" max="144" width="21.28515625" style="87" customWidth="1"/>
    <col min="145" max="145" width="22" style="87" customWidth="1"/>
    <col min="146" max="146" width="25.5703125" style="87" customWidth="1"/>
    <col min="147" max="147" width="23.5703125" style="87" customWidth="1"/>
    <col min="148" max="148" width="22.85546875" style="87" customWidth="1"/>
    <col min="149" max="149" width="23.85546875" style="89" customWidth="1"/>
    <col min="150" max="150" width="15.85546875" style="87" customWidth="1"/>
    <col min="151" max="151" width="16.85546875" style="87" customWidth="1"/>
    <col min="152" max="152" width="18" style="87" customWidth="1"/>
    <col min="153" max="153" width="15" style="87" customWidth="1"/>
    <col min="154" max="154" width="16.5703125" style="87" customWidth="1"/>
    <col min="155" max="155" width="14.28515625" style="87" customWidth="1"/>
    <col min="156" max="156" width="15.42578125" style="87" customWidth="1"/>
    <col min="157" max="157" width="15.28515625" style="87" customWidth="1"/>
    <col min="158" max="158" width="16" style="87" customWidth="1"/>
    <col min="159" max="159" width="19.42578125" style="87" customWidth="1"/>
    <col min="160" max="160" width="17.42578125" style="87" customWidth="1"/>
    <col min="161" max="161" width="16.85546875" style="87" customWidth="1"/>
    <col min="162" max="162" width="15.85546875" style="88" customWidth="1"/>
    <col min="163" max="163" width="16.85546875" style="87" customWidth="1"/>
    <col min="164" max="164" width="18" style="87" customWidth="1"/>
    <col min="165" max="165" width="15" style="87" customWidth="1"/>
    <col min="166" max="166" width="16.5703125" style="87" customWidth="1"/>
    <col min="167" max="167" width="14.28515625" style="87" customWidth="1"/>
    <col min="168" max="168" width="15.42578125" style="87" customWidth="1"/>
    <col min="169" max="169" width="15.28515625" style="87" customWidth="1"/>
    <col min="170" max="170" width="16" style="87" customWidth="1"/>
    <col min="171" max="171" width="19.42578125" style="87" customWidth="1"/>
    <col min="172" max="172" width="17.42578125" style="87" customWidth="1"/>
    <col min="173" max="173" width="16.85546875" style="87" customWidth="1"/>
    <col min="174" max="174" width="17.140625" style="87" customWidth="1"/>
    <col min="175" max="175" width="18.42578125" style="88" customWidth="1"/>
    <col min="176" max="176" width="27.28515625" style="89" customWidth="1"/>
    <col min="177" max="177" width="26.42578125" style="87" customWidth="1"/>
    <col min="178" max="178" width="26.85546875" style="87" customWidth="1"/>
    <col min="179" max="179" width="28" style="87" customWidth="1"/>
    <col min="180" max="180" width="25" style="87" customWidth="1"/>
    <col min="181" max="181" width="26.7109375" style="87" customWidth="1"/>
    <col min="182" max="182" width="24.42578125" style="87" customWidth="1"/>
    <col min="183" max="183" width="25.5703125" style="87" customWidth="1"/>
    <col min="184" max="184" width="25.42578125" style="87" customWidth="1"/>
    <col min="185" max="185" width="26" style="87" customWidth="1"/>
    <col min="186" max="186" width="29.5703125" style="87" customWidth="1"/>
    <col min="187" max="187" width="27.5703125" style="87" customWidth="1"/>
    <col min="188" max="188" width="26.85546875" style="87" customWidth="1"/>
    <col min="189" max="189" width="27.85546875" style="89" customWidth="1"/>
    <col min="190" max="190" width="22.140625" style="87" customWidth="1"/>
    <col min="191" max="191" width="23.140625" style="87" customWidth="1"/>
    <col min="192" max="192" width="24.42578125" style="87" customWidth="1"/>
    <col min="193" max="193" width="21.28515625" style="87" customWidth="1"/>
    <col min="194" max="194" width="23" style="87" customWidth="1"/>
    <col min="195" max="195" width="20.7109375" style="87" customWidth="1"/>
    <col min="196" max="196" width="21.85546875" style="87" customWidth="1"/>
    <col min="197" max="197" width="21.7109375" style="87" customWidth="1"/>
    <col min="198" max="198" width="22.28515625" style="87" customWidth="1"/>
    <col min="199" max="199" width="25.85546875" style="87" customWidth="1"/>
    <col min="200" max="200" width="23.85546875" style="87" customWidth="1"/>
    <col min="201" max="201" width="23.140625" style="87" customWidth="1"/>
    <col min="202" max="202" width="22.140625" style="88" customWidth="1"/>
    <col min="203" max="203" width="23.140625" style="87" customWidth="1"/>
    <col min="204" max="204" width="24.42578125" style="87" customWidth="1"/>
    <col min="205" max="205" width="21.28515625" style="87" customWidth="1"/>
    <col min="206" max="206" width="23" style="87" customWidth="1"/>
    <col min="207" max="207" width="20.7109375" style="87" customWidth="1"/>
    <col min="208" max="208" width="21.85546875" style="87" customWidth="1"/>
    <col min="209" max="209" width="21.7109375" style="87" customWidth="1"/>
    <col min="210" max="210" width="22.28515625" style="87" customWidth="1"/>
    <col min="211" max="211" width="25.85546875" style="87" customWidth="1"/>
    <col min="212" max="212" width="23.85546875" style="87" customWidth="1"/>
    <col min="213" max="213" width="23.140625" style="89" customWidth="1"/>
    <col min="214" max="16384" width="9.140625" style="87"/>
  </cols>
  <sheetData>
    <row r="1" spans="1:213" s="76" customFormat="1" ht="37.5" customHeight="1" x14ac:dyDescent="0.25">
      <c r="A1" s="74" t="s">
        <v>43</v>
      </c>
      <c r="B1" s="75" t="s">
        <v>1232</v>
      </c>
      <c r="C1" s="76" t="s">
        <v>1238</v>
      </c>
      <c r="U1" s="75" t="s">
        <v>1232</v>
      </c>
      <c r="W1" s="77" t="s">
        <v>1233</v>
      </c>
      <c r="AG1" s="78"/>
      <c r="AT1" s="79"/>
      <c r="BE1" s="78"/>
      <c r="BF1" s="79"/>
      <c r="BQ1" s="78"/>
      <c r="BS1" s="79"/>
      <c r="CD1" s="78"/>
      <c r="CE1" s="79"/>
      <c r="CP1" s="78"/>
      <c r="CQ1" s="79"/>
      <c r="DB1" s="78"/>
      <c r="DC1" s="79"/>
      <c r="DN1" s="78"/>
      <c r="DO1" s="79"/>
      <c r="DQ1" s="77" t="s">
        <v>1234</v>
      </c>
      <c r="DR1" s="76" t="s">
        <v>1235</v>
      </c>
      <c r="EC1" s="78"/>
      <c r="ED1" s="80" t="s">
        <v>1236</v>
      </c>
      <c r="EE1" s="81"/>
      <c r="EF1" s="81"/>
      <c r="EG1" s="81"/>
      <c r="EH1" s="81"/>
      <c r="EI1" s="81"/>
      <c r="EJ1" s="81"/>
      <c r="EK1" s="81"/>
      <c r="EL1" s="81"/>
      <c r="EM1" s="81"/>
      <c r="EN1" s="81"/>
      <c r="EO1" s="81"/>
      <c r="EP1" s="81"/>
      <c r="EQ1" s="81"/>
      <c r="ER1" s="81"/>
      <c r="ES1" s="81"/>
      <c r="EU1" s="76" t="s">
        <v>1235</v>
      </c>
      <c r="FF1" s="79"/>
      <c r="FG1" s="76" t="s">
        <v>1235</v>
      </c>
      <c r="FS1" s="79"/>
      <c r="FT1" s="78"/>
      <c r="FV1" s="76" t="s">
        <v>1237</v>
      </c>
      <c r="GG1" s="78"/>
      <c r="GI1" s="76" t="s">
        <v>1237</v>
      </c>
      <c r="GT1" s="79"/>
      <c r="GU1" s="76" t="s">
        <v>1237</v>
      </c>
      <c r="HE1" s="78"/>
    </row>
    <row r="2" spans="1:213" s="76" customFormat="1" ht="75" x14ac:dyDescent="0.25">
      <c r="A2" s="76" t="s">
        <v>52</v>
      </c>
      <c r="B2" s="75">
        <v>2021</v>
      </c>
      <c r="U2" s="75"/>
      <c r="W2" s="74" t="s">
        <v>1239</v>
      </c>
      <c r="AT2" s="79"/>
      <c r="BF2" s="79"/>
      <c r="BS2" s="79"/>
      <c r="CE2" s="79"/>
      <c r="CQ2" s="79"/>
      <c r="DC2" s="79"/>
      <c r="DO2" s="82">
        <v>43831</v>
      </c>
      <c r="DR2" s="76" t="s">
        <v>1240</v>
      </c>
      <c r="DS2" s="76" t="s">
        <v>1241</v>
      </c>
      <c r="DT2" s="76" t="s">
        <v>1242</v>
      </c>
      <c r="EC2" s="78"/>
      <c r="ED2" s="80"/>
      <c r="EE2" s="81" t="s">
        <v>1243</v>
      </c>
      <c r="EF2" s="81" t="s">
        <v>1244</v>
      </c>
      <c r="EG2" s="81" t="s">
        <v>1245</v>
      </c>
      <c r="EH2" s="81"/>
      <c r="EI2" s="81"/>
      <c r="EJ2" s="81"/>
      <c r="EK2" s="81"/>
      <c r="EL2" s="81"/>
      <c r="EM2" s="81"/>
      <c r="EN2" s="81"/>
      <c r="EO2" s="81"/>
      <c r="EP2" s="81"/>
      <c r="EQ2" s="81"/>
      <c r="ER2" s="81"/>
      <c r="ES2" s="81"/>
      <c r="EU2" s="76" t="s">
        <v>1241</v>
      </c>
      <c r="EV2" s="76" t="s">
        <v>1242</v>
      </c>
      <c r="FF2" s="79"/>
      <c r="FG2" s="76" t="s">
        <v>1241</v>
      </c>
      <c r="FH2" s="76" t="s">
        <v>1242</v>
      </c>
      <c r="FS2" s="79"/>
      <c r="FT2" s="78"/>
      <c r="FV2" s="76" t="s">
        <v>1246</v>
      </c>
      <c r="FW2" s="76" t="s">
        <v>1241</v>
      </c>
      <c r="FX2" s="76" t="s">
        <v>1242</v>
      </c>
      <c r="GG2" s="78"/>
      <c r="GI2" s="76" t="s">
        <v>1241</v>
      </c>
      <c r="GJ2" s="76" t="s">
        <v>1242</v>
      </c>
      <c r="GT2" s="79"/>
      <c r="GU2" s="76" t="s">
        <v>1241</v>
      </c>
      <c r="GV2" s="76" t="s">
        <v>1242</v>
      </c>
      <c r="HE2" s="78"/>
    </row>
    <row r="3" spans="1:213" s="76" customFormat="1" x14ac:dyDescent="0.25">
      <c r="A3" s="74" t="s">
        <v>44</v>
      </c>
      <c r="B3" s="75"/>
      <c r="U3" s="75"/>
      <c r="W3" s="104"/>
      <c r="AT3" s="79"/>
      <c r="BF3" s="79"/>
      <c r="BS3" s="79"/>
      <c r="CE3" s="79"/>
      <c r="CQ3" s="79"/>
      <c r="DC3" s="79"/>
      <c r="DO3" s="82"/>
      <c r="EC3" s="104"/>
      <c r="ED3" s="80"/>
      <c r="EE3" s="81"/>
      <c r="EF3" s="81"/>
      <c r="EG3" s="81"/>
      <c r="EH3" s="81"/>
      <c r="EI3" s="81"/>
      <c r="EJ3" s="81"/>
      <c r="EK3" s="81"/>
      <c r="EL3" s="81"/>
      <c r="EM3" s="81"/>
      <c r="EN3" s="81"/>
      <c r="EO3" s="81"/>
      <c r="EP3" s="81"/>
      <c r="EQ3" s="81"/>
      <c r="ER3" s="81"/>
      <c r="ES3" s="81"/>
      <c r="FF3" s="104"/>
      <c r="FS3" s="79"/>
      <c r="FT3" s="78"/>
      <c r="GG3" s="78"/>
      <c r="GT3" s="79"/>
      <c r="HE3" s="78"/>
    </row>
    <row r="4" spans="1:213" s="76" customFormat="1" ht="135" x14ac:dyDescent="0.25">
      <c r="A4" s="76" t="s">
        <v>1247</v>
      </c>
      <c r="B4" s="76" t="s">
        <v>1247</v>
      </c>
      <c r="U4" s="79" t="s">
        <v>1248</v>
      </c>
      <c r="V4" s="79" t="s">
        <v>1248</v>
      </c>
      <c r="W4" s="79" t="s">
        <v>1248</v>
      </c>
      <c r="X4" s="79" t="s">
        <v>1248</v>
      </c>
      <c r="Y4" s="79" t="s">
        <v>1248</v>
      </c>
      <c r="Z4" s="79" t="s">
        <v>1248</v>
      </c>
      <c r="AA4" s="79" t="s">
        <v>1248</v>
      </c>
      <c r="AB4" s="79" t="s">
        <v>1248</v>
      </c>
      <c r="AC4" s="79" t="s">
        <v>1248</v>
      </c>
      <c r="AD4" s="79" t="s">
        <v>1248</v>
      </c>
      <c r="AE4" s="79" t="s">
        <v>1248</v>
      </c>
      <c r="AF4" s="79" t="s">
        <v>1248</v>
      </c>
      <c r="AG4" s="79" t="s">
        <v>1248</v>
      </c>
      <c r="AH4" s="79" t="s">
        <v>1248</v>
      </c>
      <c r="AI4" s="79" t="s">
        <v>1248</v>
      </c>
      <c r="AJ4" s="79" t="s">
        <v>1248</v>
      </c>
      <c r="AK4" s="79" t="s">
        <v>1248</v>
      </c>
      <c r="AL4" s="79" t="s">
        <v>1248</v>
      </c>
      <c r="AM4" s="79" t="s">
        <v>1248</v>
      </c>
      <c r="AN4" s="79" t="s">
        <v>1248</v>
      </c>
      <c r="AO4" s="79" t="s">
        <v>1248</v>
      </c>
      <c r="AP4" s="79" t="s">
        <v>1248</v>
      </c>
      <c r="AQ4" s="79" t="s">
        <v>1248</v>
      </c>
      <c r="AR4" s="79" t="s">
        <v>1248</v>
      </c>
      <c r="AS4" s="79" t="s">
        <v>1248</v>
      </c>
      <c r="AT4" s="79" t="s">
        <v>1248</v>
      </c>
      <c r="AU4" s="79" t="s">
        <v>1248</v>
      </c>
      <c r="AV4" s="79" t="s">
        <v>1248</v>
      </c>
      <c r="AW4" s="79" t="s">
        <v>1248</v>
      </c>
      <c r="AX4" s="79" t="s">
        <v>1248</v>
      </c>
      <c r="AY4" s="79" t="s">
        <v>1248</v>
      </c>
      <c r="AZ4" s="79" t="s">
        <v>1248</v>
      </c>
      <c r="BA4" s="79" t="s">
        <v>1248</v>
      </c>
      <c r="BB4" s="79" t="s">
        <v>1248</v>
      </c>
      <c r="BC4" s="79" t="s">
        <v>1248</v>
      </c>
      <c r="BD4" s="79" t="s">
        <v>1248</v>
      </c>
      <c r="BE4" s="79" t="s">
        <v>1248</v>
      </c>
      <c r="BF4" s="79" t="s">
        <v>1249</v>
      </c>
      <c r="BG4" s="79" t="s">
        <v>1248</v>
      </c>
      <c r="BH4" s="79" t="s">
        <v>1248</v>
      </c>
      <c r="BI4" s="79" t="s">
        <v>1248</v>
      </c>
      <c r="BJ4" s="79" t="s">
        <v>1248</v>
      </c>
      <c r="BK4" s="79" t="s">
        <v>1248</v>
      </c>
      <c r="BL4" s="79" t="s">
        <v>1248</v>
      </c>
      <c r="BM4" s="79" t="s">
        <v>1248</v>
      </c>
      <c r="BN4" s="79" t="s">
        <v>1248</v>
      </c>
      <c r="BO4" s="79" t="s">
        <v>1248</v>
      </c>
      <c r="BP4" s="79" t="s">
        <v>1248</v>
      </c>
      <c r="BQ4" s="79" t="s">
        <v>1248</v>
      </c>
      <c r="BR4" s="79"/>
      <c r="BS4" s="79" t="s">
        <v>1250</v>
      </c>
      <c r="BT4" s="79" t="s">
        <v>1248</v>
      </c>
      <c r="BU4" s="79" t="s">
        <v>1248</v>
      </c>
      <c r="BV4" s="79" t="s">
        <v>1248</v>
      </c>
      <c r="BW4" s="79" t="s">
        <v>1248</v>
      </c>
      <c r="BX4" s="79" t="s">
        <v>1248</v>
      </c>
      <c r="BY4" s="79" t="s">
        <v>1248</v>
      </c>
      <c r="BZ4" s="79" t="s">
        <v>1248</v>
      </c>
      <c r="CA4" s="79" t="s">
        <v>1248</v>
      </c>
      <c r="CB4" s="79" t="s">
        <v>1248</v>
      </c>
      <c r="CC4" s="79" t="s">
        <v>1248</v>
      </c>
      <c r="CD4" s="79" t="s">
        <v>1248</v>
      </c>
      <c r="CE4" s="79" t="s">
        <v>1251</v>
      </c>
      <c r="CF4" s="79" t="s">
        <v>1248</v>
      </c>
      <c r="CG4" s="79" t="s">
        <v>1248</v>
      </c>
      <c r="CH4" s="79" t="s">
        <v>1248</v>
      </c>
      <c r="CI4" s="79" t="s">
        <v>1248</v>
      </c>
      <c r="CJ4" s="79" t="s">
        <v>1248</v>
      </c>
      <c r="CK4" s="79" t="s">
        <v>1248</v>
      </c>
      <c r="CL4" s="79" t="s">
        <v>1248</v>
      </c>
      <c r="CM4" s="79" t="s">
        <v>1248</v>
      </c>
      <c r="CN4" s="79" t="s">
        <v>1248</v>
      </c>
      <c r="CO4" s="79" t="s">
        <v>1248</v>
      </c>
      <c r="CP4" s="79" t="s">
        <v>1248</v>
      </c>
      <c r="CQ4" s="79" t="s">
        <v>1252</v>
      </c>
      <c r="CR4" s="79" t="s">
        <v>1248</v>
      </c>
      <c r="CS4" s="79" t="s">
        <v>1248</v>
      </c>
      <c r="CT4" s="79" t="s">
        <v>1248</v>
      </c>
      <c r="CU4" s="79" t="s">
        <v>1248</v>
      </c>
      <c r="CV4" s="79" t="s">
        <v>1248</v>
      </c>
      <c r="CW4" s="79" t="s">
        <v>1248</v>
      </c>
      <c r="CX4" s="79" t="s">
        <v>1248</v>
      </c>
      <c r="CY4" s="79" t="s">
        <v>1248</v>
      </c>
      <c r="CZ4" s="79" t="s">
        <v>1248</v>
      </c>
      <c r="DA4" s="79" t="s">
        <v>1248</v>
      </c>
      <c r="DB4" s="79" t="s">
        <v>1248</v>
      </c>
      <c r="DC4" s="79" t="s">
        <v>1253</v>
      </c>
      <c r="DD4" s="79" t="s">
        <v>1248</v>
      </c>
      <c r="DE4" s="79" t="s">
        <v>1248</v>
      </c>
      <c r="DF4" s="79" t="s">
        <v>1248</v>
      </c>
      <c r="DG4" s="79" t="s">
        <v>1248</v>
      </c>
      <c r="DH4" s="79" t="s">
        <v>1248</v>
      </c>
      <c r="DI4" s="79" t="s">
        <v>1248</v>
      </c>
      <c r="DJ4" s="79" t="s">
        <v>1248</v>
      </c>
      <c r="DK4" s="79" t="s">
        <v>1248</v>
      </c>
      <c r="DL4" s="79" t="s">
        <v>1248</v>
      </c>
      <c r="DM4" s="79" t="s">
        <v>1248</v>
      </c>
      <c r="DN4" s="79" t="s">
        <v>1248</v>
      </c>
      <c r="DO4" s="79" t="s">
        <v>1254</v>
      </c>
      <c r="DP4" s="79" t="s">
        <v>1248</v>
      </c>
      <c r="DQ4" s="76" t="s">
        <v>1255</v>
      </c>
      <c r="DR4" s="76" t="s">
        <v>1256</v>
      </c>
      <c r="DS4" s="76" t="s">
        <v>1256</v>
      </c>
      <c r="DT4" s="76" t="s">
        <v>1257</v>
      </c>
      <c r="DU4" s="76" t="s">
        <v>1256</v>
      </c>
      <c r="DV4" s="76" t="s">
        <v>1256</v>
      </c>
      <c r="DW4" s="76" t="s">
        <v>1256</v>
      </c>
      <c r="DX4" s="76" t="s">
        <v>1256</v>
      </c>
      <c r="DY4" s="76" t="s">
        <v>1256</v>
      </c>
      <c r="DZ4" s="76" t="s">
        <v>1256</v>
      </c>
      <c r="EA4" s="76" t="s">
        <v>1256</v>
      </c>
      <c r="EB4" s="76" t="s">
        <v>1256</v>
      </c>
      <c r="EC4" s="76" t="s">
        <v>1256</v>
      </c>
      <c r="ED4" s="80"/>
      <c r="EE4" s="81"/>
      <c r="EF4" s="81"/>
      <c r="EG4" s="81"/>
      <c r="EH4" s="81"/>
      <c r="EI4" s="81"/>
      <c r="EJ4" s="81"/>
      <c r="EK4" s="81"/>
      <c r="EL4" s="81"/>
      <c r="EM4" s="81"/>
      <c r="EN4" s="81"/>
      <c r="EO4" s="81"/>
      <c r="EP4" s="81"/>
      <c r="EQ4" s="81"/>
      <c r="ER4" s="81"/>
      <c r="ES4" s="81"/>
      <c r="ET4" s="76" t="s">
        <v>1255</v>
      </c>
      <c r="EU4" s="76" t="s">
        <v>1258</v>
      </c>
      <c r="EV4" s="76" t="s">
        <v>1259</v>
      </c>
      <c r="FF4" s="76" t="s">
        <v>1255</v>
      </c>
      <c r="FG4" s="76" t="s">
        <v>1260</v>
      </c>
      <c r="FH4" s="76" t="s">
        <v>1261</v>
      </c>
      <c r="FS4" s="79" t="s">
        <v>1255</v>
      </c>
      <c r="FT4" s="78" t="s">
        <v>1262</v>
      </c>
      <c r="FU4" s="76" t="s">
        <v>1255</v>
      </c>
      <c r="FV4" s="76" t="s">
        <v>1256</v>
      </c>
      <c r="FW4" s="76" t="s">
        <v>1256</v>
      </c>
      <c r="FX4" s="76" t="s">
        <v>1257</v>
      </c>
      <c r="GG4" s="78"/>
      <c r="GI4" s="76" t="s">
        <v>1258</v>
      </c>
      <c r="GJ4" s="76" t="s">
        <v>1263</v>
      </c>
      <c r="GT4" s="79"/>
      <c r="GU4" s="76" t="s">
        <v>1260</v>
      </c>
      <c r="GV4" s="76" t="s">
        <v>1261</v>
      </c>
      <c r="HE4" s="78"/>
    </row>
    <row r="5" spans="1:213" s="76" customFormat="1" x14ac:dyDescent="0.25">
      <c r="U5" s="79"/>
      <c r="AT5" s="79"/>
      <c r="BF5" s="79"/>
      <c r="BS5" s="79"/>
      <c r="CE5" s="79"/>
      <c r="CQ5" s="79"/>
      <c r="DC5" s="79"/>
      <c r="DO5" s="79"/>
      <c r="ED5" s="83">
        <v>0.1</v>
      </c>
      <c r="EE5" s="84"/>
      <c r="EF5" s="85"/>
      <c r="EG5" s="85"/>
      <c r="EH5" s="84">
        <v>0.1</v>
      </c>
      <c r="EI5" s="84">
        <v>0.1</v>
      </c>
      <c r="EJ5" s="84">
        <v>0.1</v>
      </c>
      <c r="EK5" s="84">
        <v>0.1</v>
      </c>
      <c r="EL5" s="84">
        <v>0.1</v>
      </c>
      <c r="EM5" s="84">
        <v>0.1</v>
      </c>
      <c r="EN5" s="85"/>
      <c r="EO5" s="85"/>
      <c r="EP5" s="85"/>
      <c r="EQ5" s="85"/>
      <c r="ER5" s="85"/>
      <c r="ES5" s="85"/>
      <c r="FS5" s="79"/>
      <c r="FT5" s="78"/>
      <c r="GG5" s="78"/>
      <c r="GJ5" s="86"/>
      <c r="GT5" s="79"/>
      <c r="HE5" s="78"/>
    </row>
    <row r="6" spans="1:213" s="76" customFormat="1" ht="60" x14ac:dyDescent="0.25">
      <c r="A6" s="94" t="s">
        <v>18</v>
      </c>
      <c r="B6" s="95" t="s">
        <v>67</v>
      </c>
      <c r="C6" s="96" t="s">
        <v>1264</v>
      </c>
      <c r="D6" s="97" t="s">
        <v>1265</v>
      </c>
      <c r="E6" s="97" t="s">
        <v>30</v>
      </c>
      <c r="F6" s="97" t="s">
        <v>32</v>
      </c>
      <c r="G6" s="97" t="s">
        <v>1450</v>
      </c>
      <c r="H6" s="97" t="s">
        <v>68</v>
      </c>
      <c r="I6" s="97" t="s">
        <v>34</v>
      </c>
      <c r="J6" s="97" t="s">
        <v>1266</v>
      </c>
      <c r="K6" s="97" t="s">
        <v>69</v>
      </c>
      <c r="L6" s="97" t="s">
        <v>1451</v>
      </c>
      <c r="M6" s="97" t="s">
        <v>70</v>
      </c>
      <c r="N6" s="97" t="s">
        <v>1267</v>
      </c>
      <c r="O6" s="97" t="s">
        <v>1268</v>
      </c>
      <c r="P6" s="97" t="s">
        <v>1269</v>
      </c>
      <c r="Q6" s="97" t="s">
        <v>1270</v>
      </c>
      <c r="R6" s="97" t="s">
        <v>1271</v>
      </c>
      <c r="S6" s="97" t="s">
        <v>1272</v>
      </c>
      <c r="T6" s="97" t="s">
        <v>71</v>
      </c>
      <c r="U6" s="94" t="s">
        <v>1273</v>
      </c>
      <c r="V6" s="95" t="s">
        <v>1274</v>
      </c>
      <c r="W6" s="95" t="s">
        <v>1275</v>
      </c>
      <c r="X6" s="95" t="s">
        <v>1276</v>
      </c>
      <c r="Y6" s="95" t="s">
        <v>1277</v>
      </c>
      <c r="Z6" s="95" t="s">
        <v>1278</v>
      </c>
      <c r="AA6" s="95" t="s">
        <v>1279</v>
      </c>
      <c r="AB6" s="95" t="s">
        <v>1280</v>
      </c>
      <c r="AC6" s="95" t="s">
        <v>1281</v>
      </c>
      <c r="AD6" s="95" t="s">
        <v>1282</v>
      </c>
      <c r="AE6" s="95" t="s">
        <v>1283</v>
      </c>
      <c r="AF6" s="95" t="s">
        <v>1284</v>
      </c>
      <c r="AG6" s="98" t="s">
        <v>1285</v>
      </c>
      <c r="AH6" s="95" t="s">
        <v>1286</v>
      </c>
      <c r="AI6" s="95" t="s">
        <v>1287</v>
      </c>
      <c r="AJ6" s="95" t="s">
        <v>1288</v>
      </c>
      <c r="AK6" s="95" t="s">
        <v>1289</v>
      </c>
      <c r="AL6" s="95" t="s">
        <v>1290</v>
      </c>
      <c r="AM6" s="95" t="s">
        <v>1291</v>
      </c>
      <c r="AN6" s="95" t="s">
        <v>1292</v>
      </c>
      <c r="AO6" s="95" t="s">
        <v>1293</v>
      </c>
      <c r="AP6" s="95" t="s">
        <v>1294</v>
      </c>
      <c r="AQ6" s="95" t="s">
        <v>1295</v>
      </c>
      <c r="AR6" s="95" t="s">
        <v>1296</v>
      </c>
      <c r="AS6" s="95" t="s">
        <v>1297</v>
      </c>
      <c r="AT6" s="94" t="s">
        <v>1298</v>
      </c>
      <c r="AU6" s="95" t="s">
        <v>1299</v>
      </c>
      <c r="AV6" s="95" t="s">
        <v>1300</v>
      </c>
      <c r="AW6" s="95" t="s">
        <v>1301</v>
      </c>
      <c r="AX6" s="95" t="s">
        <v>1302</v>
      </c>
      <c r="AY6" s="95" t="s">
        <v>1303</v>
      </c>
      <c r="AZ6" s="95" t="s">
        <v>1304</v>
      </c>
      <c r="BA6" s="95" t="s">
        <v>1305</v>
      </c>
      <c r="BB6" s="95" t="s">
        <v>1306</v>
      </c>
      <c r="BC6" s="95" t="s">
        <v>1307</v>
      </c>
      <c r="BD6" s="95" t="s">
        <v>1308</v>
      </c>
      <c r="BE6" s="98" t="s">
        <v>1309</v>
      </c>
      <c r="BF6" s="94" t="s">
        <v>1310</v>
      </c>
      <c r="BG6" s="95" t="s">
        <v>1311</v>
      </c>
      <c r="BH6" s="95" t="s">
        <v>1312</v>
      </c>
      <c r="BI6" s="95" t="s">
        <v>1313</v>
      </c>
      <c r="BJ6" s="95" t="s">
        <v>1314</v>
      </c>
      <c r="BK6" s="95" t="s">
        <v>1315</v>
      </c>
      <c r="BL6" s="95" t="s">
        <v>1316</v>
      </c>
      <c r="BM6" s="95" t="s">
        <v>1317</v>
      </c>
      <c r="BN6" s="95" t="s">
        <v>1318</v>
      </c>
      <c r="BO6" s="95" t="s">
        <v>1319</v>
      </c>
      <c r="BP6" s="95" t="s">
        <v>1320</v>
      </c>
      <c r="BQ6" s="98" t="s">
        <v>1321</v>
      </c>
      <c r="BR6" s="95" t="s">
        <v>1452</v>
      </c>
      <c r="BS6" s="94" t="s">
        <v>1322</v>
      </c>
      <c r="BT6" s="95" t="s">
        <v>1323</v>
      </c>
      <c r="BU6" s="95" t="s">
        <v>1324</v>
      </c>
      <c r="BV6" s="95" t="s">
        <v>1325</v>
      </c>
      <c r="BW6" s="95" t="s">
        <v>1326</v>
      </c>
      <c r="BX6" s="95" t="s">
        <v>1327</v>
      </c>
      <c r="BY6" s="95" t="s">
        <v>1328</v>
      </c>
      <c r="BZ6" s="95" t="s">
        <v>1329</v>
      </c>
      <c r="CA6" s="95" t="s">
        <v>1330</v>
      </c>
      <c r="CB6" s="95" t="s">
        <v>1331</v>
      </c>
      <c r="CC6" s="95" t="s">
        <v>1332</v>
      </c>
      <c r="CD6" s="98" t="s">
        <v>1333</v>
      </c>
      <c r="CE6" s="94" t="s">
        <v>1334</v>
      </c>
      <c r="CF6" s="95" t="s">
        <v>1335</v>
      </c>
      <c r="CG6" s="95" t="s">
        <v>1336</v>
      </c>
      <c r="CH6" s="95" t="s">
        <v>1337</v>
      </c>
      <c r="CI6" s="95" t="s">
        <v>1338</v>
      </c>
      <c r="CJ6" s="95" t="s">
        <v>1339</v>
      </c>
      <c r="CK6" s="95" t="s">
        <v>1340</v>
      </c>
      <c r="CL6" s="95" t="s">
        <v>1341</v>
      </c>
      <c r="CM6" s="95" t="s">
        <v>1342</v>
      </c>
      <c r="CN6" s="95" t="s">
        <v>1343</v>
      </c>
      <c r="CO6" s="95" t="s">
        <v>1344</v>
      </c>
      <c r="CP6" s="98" t="s">
        <v>1345</v>
      </c>
      <c r="CQ6" s="94" t="s">
        <v>1346</v>
      </c>
      <c r="CR6" s="95" t="s">
        <v>1347</v>
      </c>
      <c r="CS6" s="95" t="s">
        <v>1348</v>
      </c>
      <c r="CT6" s="95" t="s">
        <v>1349</v>
      </c>
      <c r="CU6" s="95" t="s">
        <v>1350</v>
      </c>
      <c r="CV6" s="95" t="s">
        <v>1351</v>
      </c>
      <c r="CW6" s="95" t="s">
        <v>1352</v>
      </c>
      <c r="CX6" s="95" t="s">
        <v>1353</v>
      </c>
      <c r="CY6" s="95" t="s">
        <v>1354</v>
      </c>
      <c r="CZ6" s="95" t="s">
        <v>1355</v>
      </c>
      <c r="DA6" s="95" t="s">
        <v>1356</v>
      </c>
      <c r="DB6" s="98" t="s">
        <v>1357</v>
      </c>
      <c r="DC6" s="94" t="s">
        <v>1358</v>
      </c>
      <c r="DD6" s="95" t="s">
        <v>1359</v>
      </c>
      <c r="DE6" s="95" t="s">
        <v>1360</v>
      </c>
      <c r="DF6" s="95" t="s">
        <v>1361</v>
      </c>
      <c r="DG6" s="95" t="s">
        <v>1362</v>
      </c>
      <c r="DH6" s="95" t="s">
        <v>1363</v>
      </c>
      <c r="DI6" s="95" t="s">
        <v>1364</v>
      </c>
      <c r="DJ6" s="95" t="s">
        <v>1365</v>
      </c>
      <c r="DK6" s="95" t="s">
        <v>1366</v>
      </c>
      <c r="DL6" s="95" t="s">
        <v>1367</v>
      </c>
      <c r="DM6" s="95" t="s">
        <v>1368</v>
      </c>
      <c r="DN6" s="98" t="s">
        <v>1369</v>
      </c>
      <c r="DO6" s="94" t="s">
        <v>1370</v>
      </c>
      <c r="DP6" s="95" t="s">
        <v>1371</v>
      </c>
      <c r="DQ6" s="99" t="s">
        <v>1372</v>
      </c>
      <c r="DR6" s="99" t="s">
        <v>1373</v>
      </c>
      <c r="DS6" s="99" t="s">
        <v>1374</v>
      </c>
      <c r="DT6" s="99" t="s">
        <v>1375</v>
      </c>
      <c r="DU6" s="99" t="s">
        <v>1376</v>
      </c>
      <c r="DV6" s="99" t="s">
        <v>1377</v>
      </c>
      <c r="DW6" s="99" t="s">
        <v>1378</v>
      </c>
      <c r="DX6" s="99" t="s">
        <v>1379</v>
      </c>
      <c r="DY6" s="99" t="s">
        <v>1380</v>
      </c>
      <c r="DZ6" s="99" t="s">
        <v>1381</v>
      </c>
      <c r="EA6" s="99" t="s">
        <v>1382</v>
      </c>
      <c r="EB6" s="95" t="s">
        <v>1383</v>
      </c>
      <c r="EC6" s="98" t="s">
        <v>1384</v>
      </c>
      <c r="ED6" s="94" t="s">
        <v>1453</v>
      </c>
      <c r="EE6" s="95" t="s">
        <v>1385</v>
      </c>
      <c r="EF6" s="95" t="s">
        <v>1454</v>
      </c>
      <c r="EG6" s="95" t="s">
        <v>1455</v>
      </c>
      <c r="EH6" s="95" t="s">
        <v>1456</v>
      </c>
      <c r="EI6" s="95" t="s">
        <v>1457</v>
      </c>
      <c r="EJ6" s="95" t="s">
        <v>1458</v>
      </c>
      <c r="EK6" s="95" t="s">
        <v>1459</v>
      </c>
      <c r="EL6" s="95" t="s">
        <v>1460</v>
      </c>
      <c r="EM6" s="95" t="s">
        <v>1461</v>
      </c>
      <c r="EN6" s="95" t="s">
        <v>1462</v>
      </c>
      <c r="EO6" s="95" t="s">
        <v>1463</v>
      </c>
      <c r="EP6" s="95" t="s">
        <v>1464</v>
      </c>
      <c r="EQ6" s="95" t="s">
        <v>1465</v>
      </c>
      <c r="ER6" s="95" t="s">
        <v>1466</v>
      </c>
      <c r="ES6" s="98" t="s">
        <v>1467</v>
      </c>
      <c r="ET6" s="95" t="s">
        <v>1386</v>
      </c>
      <c r="EU6" s="95" t="s">
        <v>1387</v>
      </c>
      <c r="EV6" s="95" t="s">
        <v>1388</v>
      </c>
      <c r="EW6" s="95" t="s">
        <v>1389</v>
      </c>
      <c r="EX6" s="95" t="s">
        <v>1390</v>
      </c>
      <c r="EY6" s="95" t="s">
        <v>1391</v>
      </c>
      <c r="EZ6" s="95" t="s">
        <v>1392</v>
      </c>
      <c r="FA6" s="95" t="s">
        <v>1393</v>
      </c>
      <c r="FB6" s="95" t="s">
        <v>1394</v>
      </c>
      <c r="FC6" s="95" t="s">
        <v>1395</v>
      </c>
      <c r="FD6" s="95" t="s">
        <v>1396</v>
      </c>
      <c r="FE6" s="95" t="s">
        <v>1397</v>
      </c>
      <c r="FF6" s="94" t="s">
        <v>1398</v>
      </c>
      <c r="FG6" s="95" t="s">
        <v>1399</v>
      </c>
      <c r="FH6" s="95" t="s">
        <v>1400</v>
      </c>
      <c r="FI6" s="95" t="s">
        <v>1401</v>
      </c>
      <c r="FJ6" s="95" t="s">
        <v>1402</v>
      </c>
      <c r="FK6" s="95" t="s">
        <v>1403</v>
      </c>
      <c r="FL6" s="95" t="s">
        <v>1404</v>
      </c>
      <c r="FM6" s="95" t="s">
        <v>1405</v>
      </c>
      <c r="FN6" s="95" t="s">
        <v>1406</v>
      </c>
      <c r="FO6" s="95" t="s">
        <v>1407</v>
      </c>
      <c r="FP6" s="95" t="s">
        <v>1408</v>
      </c>
      <c r="FQ6" s="95" t="s">
        <v>1409</v>
      </c>
      <c r="FR6" s="95" t="s">
        <v>1410</v>
      </c>
      <c r="FS6" s="94" t="s">
        <v>1411</v>
      </c>
      <c r="FT6" s="98" t="s">
        <v>1412</v>
      </c>
      <c r="FU6" s="95" t="s">
        <v>1413</v>
      </c>
      <c r="FV6" s="95" t="s">
        <v>1414</v>
      </c>
      <c r="FW6" s="95" t="s">
        <v>1415</v>
      </c>
      <c r="FX6" s="95" t="s">
        <v>1416</v>
      </c>
      <c r="FY6" s="95" t="s">
        <v>1417</v>
      </c>
      <c r="FZ6" s="95" t="s">
        <v>1418</v>
      </c>
      <c r="GA6" s="95" t="s">
        <v>1419</v>
      </c>
      <c r="GB6" s="95" t="s">
        <v>1420</v>
      </c>
      <c r="GC6" s="95" t="s">
        <v>1421</v>
      </c>
      <c r="GD6" s="95" t="s">
        <v>1422</v>
      </c>
      <c r="GE6" s="95" t="s">
        <v>1423</v>
      </c>
      <c r="GF6" s="95" t="s">
        <v>1424</v>
      </c>
      <c r="GG6" s="98" t="s">
        <v>1425</v>
      </c>
      <c r="GH6" s="95" t="s">
        <v>1426</v>
      </c>
      <c r="GI6" s="95" t="s">
        <v>1427</v>
      </c>
      <c r="GJ6" s="95" t="s">
        <v>1428</v>
      </c>
      <c r="GK6" s="95" t="s">
        <v>1429</v>
      </c>
      <c r="GL6" s="95" t="s">
        <v>1430</v>
      </c>
      <c r="GM6" s="95" t="s">
        <v>1431</v>
      </c>
      <c r="GN6" s="95" t="s">
        <v>1432</v>
      </c>
      <c r="GO6" s="95" t="s">
        <v>1433</v>
      </c>
      <c r="GP6" s="95" t="s">
        <v>1434</v>
      </c>
      <c r="GQ6" s="95" t="s">
        <v>1435</v>
      </c>
      <c r="GR6" s="95" t="s">
        <v>1436</v>
      </c>
      <c r="GS6" s="95" t="s">
        <v>1437</v>
      </c>
      <c r="GT6" s="94" t="s">
        <v>1438</v>
      </c>
      <c r="GU6" s="95" t="s">
        <v>1439</v>
      </c>
      <c r="GV6" s="95" t="s">
        <v>1440</v>
      </c>
      <c r="GW6" s="95" t="s">
        <v>1441</v>
      </c>
      <c r="GX6" s="95" t="s">
        <v>1442</v>
      </c>
      <c r="GY6" s="95" t="s">
        <v>1443</v>
      </c>
      <c r="GZ6" s="95" t="s">
        <v>1444</v>
      </c>
      <c r="HA6" s="95" t="s">
        <v>1445</v>
      </c>
      <c r="HB6" s="95" t="s">
        <v>1446</v>
      </c>
      <c r="HC6" s="95" t="s">
        <v>1447</v>
      </c>
      <c r="HD6" s="95" t="s">
        <v>1448</v>
      </c>
      <c r="HE6" s="95" t="s">
        <v>1449</v>
      </c>
    </row>
    <row r="7" spans="1:213" x14ac:dyDescent="0.25">
      <c r="A7" s="100"/>
      <c r="B7" s="100"/>
      <c r="C7" s="100"/>
      <c r="D7" s="100"/>
      <c r="E7" s="100"/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0"/>
      <c r="Q7" s="100"/>
      <c r="R7" s="100"/>
      <c r="S7" s="100"/>
      <c r="T7" s="100"/>
      <c r="U7" s="101"/>
      <c r="V7" s="100"/>
      <c r="W7" s="100"/>
      <c r="X7" s="100"/>
      <c r="Y7" s="100"/>
      <c r="Z7" s="100"/>
      <c r="AA7" s="100"/>
      <c r="AB7" s="100"/>
      <c r="AC7" s="100"/>
      <c r="AD7" s="100"/>
      <c r="AE7" s="100"/>
      <c r="AF7" s="100"/>
      <c r="AG7" s="102"/>
      <c r="AH7" s="100"/>
      <c r="AI7" s="100"/>
      <c r="AJ7" s="100"/>
      <c r="AK7" s="100"/>
      <c r="AL7" s="100"/>
      <c r="AM7" s="100"/>
      <c r="AN7" s="100"/>
      <c r="AO7" s="100"/>
      <c r="AP7" s="100"/>
      <c r="AQ7" s="100"/>
      <c r="AR7" s="100"/>
      <c r="AS7" s="100"/>
      <c r="AT7" s="101"/>
      <c r="AU7" s="100"/>
      <c r="AV7" s="100"/>
      <c r="AW7" s="100"/>
      <c r="AX7" s="100"/>
      <c r="AY7" s="100"/>
      <c r="AZ7" s="100"/>
      <c r="BA7" s="100"/>
      <c r="BB7" s="100"/>
      <c r="BC7" s="100"/>
      <c r="BD7" s="100"/>
      <c r="BE7" s="102"/>
      <c r="BF7" s="101"/>
      <c r="BG7" s="100"/>
      <c r="BH7" s="100"/>
      <c r="BI7" s="100"/>
      <c r="BJ7" s="100"/>
      <c r="BK7" s="100"/>
      <c r="BL7" s="100"/>
      <c r="BM7" s="100"/>
      <c r="BN7" s="100"/>
      <c r="BO7" s="100"/>
      <c r="BP7" s="100"/>
      <c r="BQ7" s="102"/>
      <c r="BR7" s="100"/>
      <c r="BS7" s="101"/>
      <c r="BT7" s="100"/>
      <c r="BU7" s="100"/>
      <c r="BV7" s="100"/>
      <c r="BW7" s="100"/>
      <c r="BX7" s="100"/>
      <c r="BY7" s="100"/>
      <c r="BZ7" s="100"/>
      <c r="CA7" s="100"/>
      <c r="CB7" s="100"/>
      <c r="CC7" s="100"/>
      <c r="CD7" s="102"/>
      <c r="CE7" s="101"/>
      <c r="CF7" s="100"/>
      <c r="CG7" s="100"/>
      <c r="CH7" s="100"/>
      <c r="CI7" s="100"/>
      <c r="CJ7" s="100"/>
      <c r="CK7" s="100"/>
      <c r="CL7" s="100"/>
      <c r="CM7" s="100"/>
      <c r="CN7" s="100"/>
      <c r="CO7" s="100"/>
      <c r="CP7" s="102"/>
      <c r="CQ7" s="101"/>
      <c r="CR7" s="100"/>
      <c r="CS7" s="100"/>
      <c r="CT7" s="100"/>
      <c r="CU7" s="100"/>
      <c r="CV7" s="100"/>
      <c r="CW7" s="100"/>
      <c r="CX7" s="100"/>
      <c r="CY7" s="100"/>
      <c r="CZ7" s="100"/>
      <c r="DA7" s="100"/>
      <c r="DB7" s="102"/>
      <c r="DC7" s="101"/>
      <c r="DD7" s="100"/>
      <c r="DE7" s="100"/>
      <c r="DF7" s="100"/>
      <c r="DG7" s="100"/>
      <c r="DH7" s="100"/>
      <c r="DI7" s="100"/>
      <c r="DJ7" s="100"/>
      <c r="DK7" s="100"/>
      <c r="DL7" s="100"/>
      <c r="DM7" s="100"/>
      <c r="DN7" s="102"/>
      <c r="DO7" s="100">
        <v>100</v>
      </c>
      <c r="DP7" s="100"/>
      <c r="DQ7" s="100"/>
      <c r="DR7" s="100"/>
      <c r="DS7" s="100"/>
      <c r="DT7" s="100"/>
      <c r="DU7" s="100"/>
      <c r="DV7" s="100"/>
      <c r="DW7" s="100"/>
      <c r="DX7" s="100"/>
      <c r="DY7" s="100"/>
      <c r="DZ7" s="100"/>
      <c r="EA7" s="100"/>
      <c r="EB7" s="100"/>
      <c r="EC7" s="100"/>
      <c r="ED7" s="100">
        <v>100</v>
      </c>
      <c r="EE7" s="100"/>
      <c r="EF7" s="100"/>
      <c r="EG7" s="100"/>
      <c r="EH7" s="100"/>
      <c r="EI7" s="100"/>
      <c r="EJ7" s="100"/>
      <c r="EK7" s="100"/>
      <c r="EL7" s="100"/>
      <c r="EM7" s="100"/>
      <c r="EN7" s="100"/>
      <c r="EO7" s="100"/>
      <c r="EP7" s="100"/>
      <c r="EQ7" s="100"/>
      <c r="ER7" s="100"/>
      <c r="ES7" s="102"/>
      <c r="ET7" s="100"/>
      <c r="EU7" s="100"/>
      <c r="EV7" s="100"/>
      <c r="EW7" s="100"/>
      <c r="EX7" s="100"/>
      <c r="EY7" s="100"/>
      <c r="EZ7" s="100"/>
      <c r="FA7" s="100"/>
      <c r="FB7" s="100"/>
      <c r="FC7" s="100"/>
      <c r="FD7" s="100"/>
      <c r="FE7" s="100"/>
      <c r="FF7" s="101"/>
      <c r="FG7" s="100"/>
      <c r="FH7" s="100"/>
      <c r="FI7" s="100"/>
      <c r="FJ7" s="100"/>
      <c r="FK7" s="100"/>
      <c r="FL7" s="100"/>
      <c r="FM7" s="100"/>
      <c r="FN7" s="100"/>
      <c r="FO7" s="100"/>
      <c r="FP7" s="100"/>
      <c r="FQ7" s="100"/>
      <c r="FR7" s="100"/>
      <c r="FS7" s="101"/>
      <c r="FT7" s="102"/>
      <c r="FU7" s="100"/>
      <c r="FV7" s="100"/>
      <c r="FW7" s="100"/>
      <c r="FX7" s="100"/>
      <c r="FY7" s="100"/>
      <c r="FZ7" s="100"/>
      <c r="GA7" s="100"/>
      <c r="GB7" s="100"/>
      <c r="GC7" s="100"/>
      <c r="GD7" s="100"/>
      <c r="GE7" s="100"/>
      <c r="GF7" s="100"/>
      <c r="GG7" s="102"/>
      <c r="GH7" s="100"/>
      <c r="GI7" s="100">
        <v>200</v>
      </c>
      <c r="GJ7" s="100">
        <f>(200)*0.1</f>
        <v>20</v>
      </c>
      <c r="GK7" s="100">
        <v>200</v>
      </c>
      <c r="GL7" s="100">
        <v>200</v>
      </c>
      <c r="GM7" s="100">
        <v>200</v>
      </c>
      <c r="GN7" s="100">
        <v>200</v>
      </c>
      <c r="GO7" s="100">
        <v>200</v>
      </c>
      <c r="GP7" s="100">
        <v>200</v>
      </c>
      <c r="GQ7" s="100">
        <v>200</v>
      </c>
      <c r="GR7" s="100">
        <v>200</v>
      </c>
      <c r="GS7" s="100">
        <v>200</v>
      </c>
      <c r="GT7" s="101"/>
      <c r="GU7" s="100"/>
      <c r="GV7" s="100"/>
      <c r="GW7" s="100"/>
      <c r="GX7" s="100"/>
      <c r="GY7" s="100"/>
      <c r="GZ7" s="100"/>
      <c r="HA7" s="100"/>
      <c r="HB7" s="100"/>
      <c r="HC7" s="100"/>
      <c r="HD7" s="100"/>
      <c r="HE7" s="103"/>
    </row>
    <row r="8" spans="1:213" x14ac:dyDescent="0.25">
      <c r="DO8" s="87">
        <v>120</v>
      </c>
      <c r="ED8" s="87">
        <v>120</v>
      </c>
      <c r="GI8" s="87">
        <v>200</v>
      </c>
      <c r="GJ8" s="87">
        <v>0</v>
      </c>
      <c r="GK8" s="87">
        <v>200</v>
      </c>
      <c r="GL8" s="87">
        <v>200</v>
      </c>
      <c r="GM8" s="87">
        <v>200</v>
      </c>
      <c r="GN8" s="87">
        <v>200</v>
      </c>
      <c r="GO8" s="87">
        <v>200</v>
      </c>
      <c r="GP8" s="87">
        <v>200</v>
      </c>
      <c r="GQ8" s="87">
        <v>200</v>
      </c>
      <c r="GR8" s="87">
        <v>200</v>
      </c>
      <c r="GS8" s="87">
        <v>200</v>
      </c>
    </row>
    <row r="9" spans="1:213" x14ac:dyDescent="0.25">
      <c r="DO9" s="87">
        <v>140</v>
      </c>
      <c r="ED9" s="87">
        <v>140</v>
      </c>
      <c r="GI9" s="87">
        <v>200</v>
      </c>
      <c r="GJ9" s="87">
        <v>0</v>
      </c>
      <c r="GK9" s="87">
        <v>200</v>
      </c>
      <c r="GL9" s="87">
        <v>200</v>
      </c>
      <c r="GM9" s="87">
        <v>200</v>
      </c>
      <c r="GN9" s="87">
        <v>200</v>
      </c>
      <c r="GO9" s="87">
        <v>200</v>
      </c>
      <c r="GP9" s="87">
        <v>200</v>
      </c>
      <c r="GQ9" s="87">
        <v>200</v>
      </c>
      <c r="GR9" s="87">
        <v>200</v>
      </c>
      <c r="GS9" s="87">
        <v>200</v>
      </c>
    </row>
    <row r="10" spans="1:213" x14ac:dyDescent="0.25">
      <c r="DO10" s="87">
        <v>160</v>
      </c>
      <c r="ED10" s="87">
        <v>160</v>
      </c>
      <c r="EH10" s="90"/>
      <c r="GI10" s="87">
        <v>200</v>
      </c>
      <c r="GJ10" s="87">
        <v>0</v>
      </c>
      <c r="GK10" s="87">
        <v>200</v>
      </c>
      <c r="GL10" s="87">
        <v>200</v>
      </c>
      <c r="GM10" s="87">
        <v>200</v>
      </c>
      <c r="GN10" s="87">
        <v>200</v>
      </c>
      <c r="GO10" s="87">
        <v>200</v>
      </c>
      <c r="GP10" s="87">
        <v>200</v>
      </c>
      <c r="GQ10" s="87">
        <v>200</v>
      </c>
      <c r="GR10" s="87">
        <v>200</v>
      </c>
      <c r="GS10" s="87">
        <v>200</v>
      </c>
    </row>
    <row r="11" spans="1:213" x14ac:dyDescent="0.25">
      <c r="DO11" s="87">
        <v>180</v>
      </c>
      <c r="ED11" s="87">
        <v>200</v>
      </c>
      <c r="EH11" s="90"/>
      <c r="GI11" s="87">
        <v>200</v>
      </c>
      <c r="GJ11" s="87">
        <v>0</v>
      </c>
      <c r="GK11" s="87">
        <v>200</v>
      </c>
      <c r="GL11" s="87">
        <v>200</v>
      </c>
      <c r="GM11" s="87">
        <v>200</v>
      </c>
      <c r="GN11" s="87">
        <v>200</v>
      </c>
      <c r="GO11" s="87">
        <v>200</v>
      </c>
      <c r="GP11" s="87">
        <v>200</v>
      </c>
      <c r="GQ11" s="87">
        <v>200</v>
      </c>
      <c r="GR11" s="87">
        <v>200</v>
      </c>
      <c r="GS11" s="87">
        <v>200</v>
      </c>
    </row>
    <row r="12" spans="1:213" x14ac:dyDescent="0.25">
      <c r="DO12" s="87">
        <v>200</v>
      </c>
      <c r="ED12" s="87">
        <v>200</v>
      </c>
      <c r="EH12" s="90"/>
      <c r="GI12" s="87">
        <v>200</v>
      </c>
      <c r="GJ12" s="87">
        <f t="shared" ref="GJ12:GJ24" si="0">(200)*0.1</f>
        <v>20</v>
      </c>
      <c r="GK12" s="87">
        <v>200</v>
      </c>
      <c r="GL12" s="87">
        <v>200</v>
      </c>
      <c r="GM12" s="87">
        <v>200</v>
      </c>
      <c r="GN12" s="87">
        <v>200</v>
      </c>
      <c r="GO12" s="87">
        <v>200</v>
      </c>
      <c r="GP12" s="87">
        <v>200</v>
      </c>
      <c r="GQ12" s="87">
        <v>200</v>
      </c>
      <c r="GR12" s="87">
        <v>200</v>
      </c>
      <c r="GS12" s="87">
        <v>200</v>
      </c>
    </row>
    <row r="13" spans="1:213" x14ac:dyDescent="0.25">
      <c r="DO13" s="87">
        <v>220</v>
      </c>
      <c r="ED13" s="87">
        <v>220</v>
      </c>
      <c r="EH13" s="90"/>
      <c r="GI13" s="87">
        <v>200</v>
      </c>
      <c r="GJ13" s="87">
        <f t="shared" si="0"/>
        <v>20</v>
      </c>
      <c r="GK13" s="87">
        <v>200</v>
      </c>
      <c r="GL13" s="87">
        <v>200</v>
      </c>
      <c r="GM13" s="87">
        <v>200</v>
      </c>
      <c r="GN13" s="87">
        <v>200</v>
      </c>
      <c r="GO13" s="87">
        <v>200</v>
      </c>
      <c r="GP13" s="87">
        <v>200</v>
      </c>
      <c r="GQ13" s="87">
        <v>200</v>
      </c>
      <c r="GR13" s="87">
        <v>200</v>
      </c>
      <c r="GS13" s="87">
        <v>200</v>
      </c>
    </row>
    <row r="14" spans="1:213" x14ac:dyDescent="0.25">
      <c r="DO14" s="87">
        <v>240</v>
      </c>
      <c r="ED14" s="87">
        <v>240</v>
      </c>
      <c r="EH14" s="90"/>
      <c r="GI14" s="87">
        <v>200</v>
      </c>
      <c r="GJ14" s="87">
        <f t="shared" si="0"/>
        <v>20</v>
      </c>
      <c r="GK14" s="87">
        <v>200</v>
      </c>
      <c r="GL14" s="87">
        <v>200</v>
      </c>
      <c r="GM14" s="87">
        <v>200</v>
      </c>
      <c r="GN14" s="87">
        <v>200</v>
      </c>
      <c r="GO14" s="87">
        <v>200</v>
      </c>
      <c r="GP14" s="87">
        <v>200</v>
      </c>
      <c r="GQ14" s="87">
        <v>200</v>
      </c>
      <c r="GR14" s="87">
        <v>200</v>
      </c>
      <c r="GS14" s="87">
        <v>200</v>
      </c>
    </row>
    <row r="15" spans="1:213" x14ac:dyDescent="0.25">
      <c r="DO15" s="87">
        <v>260</v>
      </c>
      <c r="ED15" s="87">
        <v>260</v>
      </c>
      <c r="EH15" s="90"/>
      <c r="GI15" s="87">
        <v>200</v>
      </c>
      <c r="GJ15" s="87">
        <f t="shared" si="0"/>
        <v>20</v>
      </c>
      <c r="GK15" s="87">
        <v>200</v>
      </c>
      <c r="GL15" s="87">
        <v>200</v>
      </c>
      <c r="GM15" s="87">
        <v>200</v>
      </c>
      <c r="GN15" s="87">
        <v>200</v>
      </c>
      <c r="GO15" s="87">
        <v>200</v>
      </c>
      <c r="GP15" s="87">
        <v>200</v>
      </c>
      <c r="GQ15" s="87">
        <v>200</v>
      </c>
      <c r="GR15" s="87">
        <v>200</v>
      </c>
      <c r="GS15" s="87">
        <v>200</v>
      </c>
    </row>
    <row r="16" spans="1:213" x14ac:dyDescent="0.25">
      <c r="DO16" s="87">
        <v>280</v>
      </c>
      <c r="ED16" s="87">
        <v>280</v>
      </c>
      <c r="EH16" s="90"/>
      <c r="GI16" s="87">
        <v>200</v>
      </c>
      <c r="GJ16" s="87">
        <f t="shared" si="0"/>
        <v>20</v>
      </c>
      <c r="GK16" s="87">
        <v>200</v>
      </c>
      <c r="GL16" s="87">
        <v>200</v>
      </c>
      <c r="GM16" s="87">
        <v>200</v>
      </c>
      <c r="GN16" s="87">
        <v>200</v>
      </c>
      <c r="GO16" s="87">
        <v>200</v>
      </c>
      <c r="GP16" s="87">
        <v>200</v>
      </c>
      <c r="GQ16" s="87">
        <v>200</v>
      </c>
      <c r="GR16" s="87">
        <v>200</v>
      </c>
      <c r="GS16" s="87">
        <v>200</v>
      </c>
    </row>
    <row r="17" spans="119:201" x14ac:dyDescent="0.25">
      <c r="DO17" s="87">
        <v>300</v>
      </c>
      <c r="ED17" s="87">
        <v>300</v>
      </c>
      <c r="EH17" s="90"/>
      <c r="GI17" s="87">
        <v>200</v>
      </c>
      <c r="GJ17" s="87">
        <f t="shared" si="0"/>
        <v>20</v>
      </c>
      <c r="GK17" s="87">
        <v>200</v>
      </c>
      <c r="GL17" s="87">
        <v>200</v>
      </c>
      <c r="GM17" s="87">
        <v>200</v>
      </c>
      <c r="GN17" s="87">
        <v>200</v>
      </c>
      <c r="GO17" s="87">
        <v>200</v>
      </c>
      <c r="GP17" s="87">
        <v>200</v>
      </c>
      <c r="GQ17" s="87">
        <v>200</v>
      </c>
      <c r="GR17" s="87">
        <v>200</v>
      </c>
      <c r="GS17" s="87">
        <v>200</v>
      </c>
    </row>
    <row r="18" spans="119:201" x14ac:dyDescent="0.25">
      <c r="DO18" s="87">
        <v>320</v>
      </c>
      <c r="ED18" s="87">
        <v>320</v>
      </c>
      <c r="EH18" s="90"/>
      <c r="GI18" s="87">
        <v>200</v>
      </c>
      <c r="GJ18" s="87">
        <f t="shared" si="0"/>
        <v>20</v>
      </c>
      <c r="GK18" s="87">
        <v>200</v>
      </c>
      <c r="GL18" s="87">
        <v>200</v>
      </c>
      <c r="GM18" s="87">
        <v>200</v>
      </c>
      <c r="GN18" s="87">
        <v>200</v>
      </c>
      <c r="GO18" s="87">
        <v>200</v>
      </c>
      <c r="GP18" s="87">
        <v>200</v>
      </c>
      <c r="GQ18" s="87">
        <v>200</v>
      </c>
      <c r="GR18" s="87">
        <v>200</v>
      </c>
      <c r="GS18" s="87">
        <v>200</v>
      </c>
    </row>
    <row r="19" spans="119:201" x14ac:dyDescent="0.25">
      <c r="DO19" s="87">
        <v>340</v>
      </c>
      <c r="ED19" s="87">
        <v>340</v>
      </c>
      <c r="EH19" s="90"/>
      <c r="GI19" s="87">
        <v>200</v>
      </c>
      <c r="GJ19" s="87">
        <f t="shared" si="0"/>
        <v>20</v>
      </c>
      <c r="GK19" s="87">
        <v>200</v>
      </c>
      <c r="GL19" s="87">
        <v>200</v>
      </c>
      <c r="GM19" s="87">
        <v>200</v>
      </c>
      <c r="GN19" s="87">
        <v>200</v>
      </c>
      <c r="GO19" s="87">
        <v>200</v>
      </c>
      <c r="GP19" s="87">
        <v>200</v>
      </c>
      <c r="GQ19" s="87">
        <v>200</v>
      </c>
      <c r="GR19" s="87">
        <v>200</v>
      </c>
      <c r="GS19" s="87">
        <v>200</v>
      </c>
    </row>
    <row r="20" spans="119:201" x14ac:dyDescent="0.25">
      <c r="DO20" s="87">
        <v>360</v>
      </c>
      <c r="ED20" s="87">
        <v>360</v>
      </c>
      <c r="EH20" s="90"/>
      <c r="GI20" s="87">
        <v>200</v>
      </c>
      <c r="GJ20" s="87">
        <f t="shared" si="0"/>
        <v>20</v>
      </c>
      <c r="GK20" s="87">
        <v>200</v>
      </c>
      <c r="GL20" s="87">
        <v>200</v>
      </c>
      <c r="GM20" s="87">
        <v>200</v>
      </c>
      <c r="GN20" s="87">
        <v>200</v>
      </c>
      <c r="GO20" s="87">
        <v>200</v>
      </c>
      <c r="GP20" s="87">
        <v>200</v>
      </c>
      <c r="GQ20" s="87">
        <v>200</v>
      </c>
      <c r="GR20" s="87">
        <v>200</v>
      </c>
      <c r="GS20" s="87">
        <v>200</v>
      </c>
    </row>
    <row r="21" spans="119:201" x14ac:dyDescent="0.25">
      <c r="DO21" s="87">
        <v>380</v>
      </c>
      <c r="ED21" s="87">
        <v>380</v>
      </c>
      <c r="EH21" s="90"/>
      <c r="GI21" s="87">
        <v>200</v>
      </c>
      <c r="GJ21" s="87">
        <f t="shared" si="0"/>
        <v>20</v>
      </c>
      <c r="GK21" s="87">
        <v>200</v>
      </c>
      <c r="GL21" s="87">
        <v>200</v>
      </c>
      <c r="GM21" s="87">
        <v>200</v>
      </c>
      <c r="GN21" s="87">
        <v>200</v>
      </c>
      <c r="GO21" s="87">
        <v>200</v>
      </c>
      <c r="GP21" s="87">
        <v>200</v>
      </c>
      <c r="GQ21" s="87">
        <v>200</v>
      </c>
      <c r="GR21" s="87">
        <v>200</v>
      </c>
      <c r="GS21" s="87">
        <v>200</v>
      </c>
    </row>
    <row r="22" spans="119:201" x14ac:dyDescent="0.25">
      <c r="DO22" s="87">
        <v>400</v>
      </c>
      <c r="ED22" s="87">
        <v>400</v>
      </c>
      <c r="EH22" s="90"/>
      <c r="GI22" s="87">
        <v>200</v>
      </c>
      <c r="GJ22" s="87">
        <f t="shared" si="0"/>
        <v>20</v>
      </c>
      <c r="GK22" s="87">
        <v>200</v>
      </c>
      <c r="GL22" s="87">
        <v>200</v>
      </c>
      <c r="GM22" s="87">
        <v>200</v>
      </c>
      <c r="GN22" s="87">
        <v>200</v>
      </c>
      <c r="GO22" s="87">
        <v>200</v>
      </c>
      <c r="GP22" s="87">
        <v>200</v>
      </c>
      <c r="GQ22" s="87">
        <v>200</v>
      </c>
      <c r="GR22" s="87">
        <v>200</v>
      </c>
      <c r="GS22" s="87">
        <v>200</v>
      </c>
    </row>
    <row r="23" spans="119:201" x14ac:dyDescent="0.25">
      <c r="DO23" s="87">
        <v>420</v>
      </c>
      <c r="ED23" s="87">
        <v>420</v>
      </c>
      <c r="EH23" s="90"/>
      <c r="GI23" s="87">
        <v>200</v>
      </c>
      <c r="GJ23" s="87">
        <f t="shared" si="0"/>
        <v>20</v>
      </c>
      <c r="GK23" s="87">
        <v>200</v>
      </c>
      <c r="GL23" s="87">
        <v>200</v>
      </c>
      <c r="GM23" s="87">
        <v>200</v>
      </c>
      <c r="GN23" s="87">
        <v>200</v>
      </c>
      <c r="GO23" s="87">
        <v>200</v>
      </c>
      <c r="GP23" s="87">
        <v>200</v>
      </c>
      <c r="GQ23" s="87">
        <v>200</v>
      </c>
      <c r="GR23" s="87">
        <v>200</v>
      </c>
      <c r="GS23" s="87">
        <v>200</v>
      </c>
    </row>
    <row r="24" spans="119:201" x14ac:dyDescent="0.25">
      <c r="DO24" s="87">
        <v>440</v>
      </c>
      <c r="ED24" s="87">
        <v>440</v>
      </c>
      <c r="EH24" s="90"/>
      <c r="GI24" s="87">
        <v>200</v>
      </c>
      <c r="GJ24" s="87">
        <f t="shared" si="0"/>
        <v>20</v>
      </c>
      <c r="GK24" s="87">
        <v>200</v>
      </c>
      <c r="GL24" s="87">
        <v>200</v>
      </c>
      <c r="GM24" s="87">
        <v>200</v>
      </c>
      <c r="GN24" s="87">
        <v>200</v>
      </c>
      <c r="GO24" s="87">
        <v>200</v>
      </c>
      <c r="GP24" s="87">
        <v>200</v>
      </c>
      <c r="GQ24" s="87">
        <v>200</v>
      </c>
      <c r="GR24" s="87">
        <v>200</v>
      </c>
      <c r="GS24" s="87">
        <v>200</v>
      </c>
    </row>
    <row r="25" spans="119:201" x14ac:dyDescent="0.25">
      <c r="DO25" s="87">
        <v>460</v>
      </c>
      <c r="ED25" s="87">
        <v>460</v>
      </c>
      <c r="EH25" s="90"/>
    </row>
    <row r="26" spans="119:201" x14ac:dyDescent="0.25">
      <c r="DO26" s="87">
        <v>480</v>
      </c>
      <c r="ED26" s="87">
        <v>480</v>
      </c>
      <c r="EH26" s="90"/>
    </row>
    <row r="27" spans="119:201" x14ac:dyDescent="0.25">
      <c r="DO27" s="87">
        <v>500</v>
      </c>
      <c r="ED27" s="87">
        <v>500</v>
      </c>
      <c r="EH27" s="90"/>
    </row>
    <row r="28" spans="119:201" x14ac:dyDescent="0.25">
      <c r="DO28" s="87">
        <v>520</v>
      </c>
      <c r="ED28" s="87">
        <v>520</v>
      </c>
      <c r="EH28" s="90"/>
    </row>
    <row r="29" spans="119:201" x14ac:dyDescent="0.25">
      <c r="DO29" s="87">
        <v>540</v>
      </c>
      <c r="ED29" s="87">
        <v>540</v>
      </c>
      <c r="EH29" s="90"/>
    </row>
    <row r="30" spans="119:201" x14ac:dyDescent="0.25">
      <c r="DO30" s="87">
        <v>560</v>
      </c>
      <c r="ED30" s="87">
        <v>560</v>
      </c>
      <c r="EH30" s="90"/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73ED7-CE48-4D6E-872B-36918CFD2F99}">
  <sheetPr codeName="Лист19"/>
  <dimension ref="A1:A3"/>
  <sheetViews>
    <sheetView workbookViewId="0">
      <selection activeCell="G15" sqref="G15"/>
    </sheetView>
  </sheetViews>
  <sheetFormatPr defaultRowHeight="15" x14ac:dyDescent="0.25"/>
  <cols>
    <col min="1" max="1" width="15.42578125" customWidth="1"/>
  </cols>
  <sheetData>
    <row r="1" spans="1:1" x14ac:dyDescent="0.25">
      <c r="A1" t="s">
        <v>1231</v>
      </c>
    </row>
    <row r="2" spans="1:1" x14ac:dyDescent="0.25">
      <c r="A2" t="s">
        <v>37</v>
      </c>
    </row>
    <row r="3" spans="1:1" x14ac:dyDescent="0.25">
      <c r="A3" t="s">
        <v>38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8E7E6-1CBC-45F2-B64B-03ACBB202E28}">
  <sheetPr codeName="Лист15"/>
  <dimension ref="A1:B4"/>
  <sheetViews>
    <sheetView workbookViewId="0">
      <selection activeCell="D8" sqref="D8"/>
    </sheetView>
  </sheetViews>
  <sheetFormatPr defaultRowHeight="15" x14ac:dyDescent="0.25"/>
  <cols>
    <col min="1" max="1" width="11.85546875" customWidth="1"/>
    <col min="2" max="2" width="24.85546875" bestFit="1" customWidth="1"/>
  </cols>
  <sheetData>
    <row r="1" spans="1:2" x14ac:dyDescent="0.25">
      <c r="A1" t="s">
        <v>0</v>
      </c>
      <c r="B1" t="s">
        <v>43</v>
      </c>
    </row>
    <row r="2" spans="1:2" x14ac:dyDescent="0.25">
      <c r="A2">
        <v>1</v>
      </c>
      <c r="B2" t="s">
        <v>261</v>
      </c>
    </row>
    <row r="3" spans="1:2" x14ac:dyDescent="0.25">
      <c r="A3">
        <v>2</v>
      </c>
      <c r="B3" t="s">
        <v>272</v>
      </c>
    </row>
    <row r="4" spans="1:2" x14ac:dyDescent="0.25">
      <c r="A4">
        <v>3</v>
      </c>
      <c r="B4" t="s">
        <v>441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6CAD2-6960-42E7-B743-B82D029FABFE}">
  <sheetPr codeName="Лист16"/>
  <dimension ref="A1:B19"/>
  <sheetViews>
    <sheetView workbookViewId="0">
      <selection activeCell="F24" sqref="F24"/>
    </sheetView>
  </sheetViews>
  <sheetFormatPr defaultRowHeight="15" x14ac:dyDescent="0.25"/>
  <cols>
    <col min="1" max="1" width="5.5703125" bestFit="1" customWidth="1"/>
    <col min="2" max="2" width="21.42578125" bestFit="1" customWidth="1"/>
  </cols>
  <sheetData>
    <row r="1" spans="1:2" x14ac:dyDescent="0.25">
      <c r="A1" t="s">
        <v>0</v>
      </c>
      <c r="B1" t="s">
        <v>44</v>
      </c>
    </row>
    <row r="2" spans="1:2" x14ac:dyDescent="0.25">
      <c r="A2">
        <v>1</v>
      </c>
      <c r="B2" t="s">
        <v>37</v>
      </c>
    </row>
    <row r="3" spans="1:2" x14ac:dyDescent="0.25">
      <c r="A3">
        <v>2</v>
      </c>
      <c r="B3" t="s">
        <v>265</v>
      </c>
    </row>
    <row r="4" spans="1:2" x14ac:dyDescent="0.25">
      <c r="A4">
        <v>3</v>
      </c>
      <c r="B4" t="s">
        <v>268</v>
      </c>
    </row>
    <row r="5" spans="1:2" x14ac:dyDescent="0.25">
      <c r="A5">
        <v>4</v>
      </c>
      <c r="B5" t="s">
        <v>273</v>
      </c>
    </row>
    <row r="6" spans="1:2" x14ac:dyDescent="0.25">
      <c r="A6">
        <v>5</v>
      </c>
      <c r="B6" t="s">
        <v>286</v>
      </c>
    </row>
    <row r="7" spans="1:2" x14ac:dyDescent="0.25">
      <c r="A7">
        <v>6</v>
      </c>
      <c r="B7" t="s">
        <v>310</v>
      </c>
    </row>
    <row r="8" spans="1:2" x14ac:dyDescent="0.25">
      <c r="A8">
        <v>7</v>
      </c>
      <c r="B8" t="s">
        <v>329</v>
      </c>
    </row>
    <row r="9" spans="1:2" x14ac:dyDescent="0.25">
      <c r="A9">
        <v>8</v>
      </c>
      <c r="B9" t="s">
        <v>332</v>
      </c>
    </row>
    <row r="10" spans="1:2" x14ac:dyDescent="0.25">
      <c r="A10">
        <v>9</v>
      </c>
      <c r="B10" t="s">
        <v>336</v>
      </c>
    </row>
    <row r="11" spans="1:2" x14ac:dyDescent="0.25">
      <c r="A11">
        <v>10</v>
      </c>
      <c r="B11" t="s">
        <v>343</v>
      </c>
    </row>
    <row r="12" spans="1:2" x14ac:dyDescent="0.25">
      <c r="A12">
        <v>11</v>
      </c>
      <c r="B12" t="s">
        <v>38</v>
      </c>
    </row>
    <row r="13" spans="1:2" x14ac:dyDescent="0.25">
      <c r="A13">
        <v>12</v>
      </c>
      <c r="B13" t="s">
        <v>353</v>
      </c>
    </row>
    <row r="14" spans="1:2" x14ac:dyDescent="0.25">
      <c r="A14">
        <v>13</v>
      </c>
      <c r="B14" t="s">
        <v>429</v>
      </c>
    </row>
    <row r="15" spans="1:2" x14ac:dyDescent="0.25">
      <c r="A15">
        <v>14</v>
      </c>
      <c r="B15" t="s">
        <v>437</v>
      </c>
    </row>
    <row r="16" spans="1:2" x14ac:dyDescent="0.25">
      <c r="A16">
        <v>15</v>
      </c>
      <c r="B16" t="s">
        <v>441</v>
      </c>
    </row>
    <row r="17" spans="1:2" x14ac:dyDescent="0.25">
      <c r="A17">
        <v>16</v>
      </c>
      <c r="B17" t="s">
        <v>447</v>
      </c>
    </row>
    <row r="18" spans="1:2" x14ac:dyDescent="0.25">
      <c r="A18">
        <v>17</v>
      </c>
      <c r="B18" t="s">
        <v>451</v>
      </c>
    </row>
    <row r="19" spans="1:2" x14ac:dyDescent="0.25">
      <c r="A19">
        <v>18</v>
      </c>
      <c r="B19" t="s">
        <v>460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J24"/>
  <sheetViews>
    <sheetView workbookViewId="0">
      <selection activeCell="B4" sqref="B4"/>
    </sheetView>
  </sheetViews>
  <sheetFormatPr defaultRowHeight="15" x14ac:dyDescent="0.25"/>
  <cols>
    <col min="1" max="1" width="6.7109375" style="9" customWidth="1"/>
    <col min="2" max="2" width="65.42578125" style="10" customWidth="1"/>
    <col min="3" max="3" width="130.28515625" style="10" customWidth="1"/>
    <col min="4" max="16384" width="9.140625" style="11"/>
  </cols>
  <sheetData>
    <row r="1" spans="1:3" x14ac:dyDescent="0.25">
      <c r="A1" s="9" t="s">
        <v>0</v>
      </c>
      <c r="B1" s="10" t="s">
        <v>25</v>
      </c>
      <c r="C1" s="10" t="s">
        <v>26</v>
      </c>
    </row>
    <row r="2" spans="1:3" x14ac:dyDescent="0.25">
      <c r="A2" s="9">
        <v>1</v>
      </c>
      <c r="B2" s="10" t="s">
        <v>27</v>
      </c>
      <c r="C2" s="10" t="s">
        <v>28</v>
      </c>
    </row>
    <row r="24" spans="10:10" x14ac:dyDescent="0.25">
      <c r="J24" s="10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C2"/>
  <sheetViews>
    <sheetView workbookViewId="0">
      <selection activeCell="C39" sqref="C39"/>
    </sheetView>
  </sheetViews>
  <sheetFormatPr defaultRowHeight="15" x14ac:dyDescent="0.25"/>
  <cols>
    <col min="1" max="1" width="9.5703125" style="4" customWidth="1"/>
    <col min="2" max="2" width="26.42578125" style="3" bestFit="1" customWidth="1"/>
    <col min="3" max="3" width="24" style="3" customWidth="1"/>
    <col min="4" max="16384" width="9.140625" style="1"/>
  </cols>
  <sheetData>
    <row r="1" spans="1:3" x14ac:dyDescent="0.25">
      <c r="A1" s="4" t="s">
        <v>0</v>
      </c>
      <c r="B1" s="3" t="s">
        <v>1</v>
      </c>
      <c r="C1" s="3" t="s">
        <v>2</v>
      </c>
    </row>
    <row r="2" spans="1:3" x14ac:dyDescent="0.25">
      <c r="A2" s="4">
        <v>1</v>
      </c>
      <c r="B2" s="3" t="s">
        <v>3</v>
      </c>
      <c r="C2" s="3" t="s">
        <v>3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A1:D33"/>
  <sheetViews>
    <sheetView workbookViewId="0">
      <selection activeCell="C11" sqref="C11"/>
    </sheetView>
  </sheetViews>
  <sheetFormatPr defaultRowHeight="15" x14ac:dyDescent="0.25"/>
  <cols>
    <col min="1" max="1" width="7.85546875" style="5" customWidth="1"/>
    <col min="2" max="2" width="20" style="3" bestFit="1" customWidth="1"/>
    <col min="3" max="3" width="35.7109375" style="3" bestFit="1" customWidth="1"/>
    <col min="4" max="4" width="35.42578125" style="3" bestFit="1" customWidth="1"/>
    <col min="5" max="16384" width="9.140625" style="1"/>
  </cols>
  <sheetData>
    <row r="1" spans="1:4" x14ac:dyDescent="0.25">
      <c r="A1" s="5" t="s">
        <v>0</v>
      </c>
      <c r="B1" s="3" t="s">
        <v>4</v>
      </c>
      <c r="C1" s="3" t="s">
        <v>5</v>
      </c>
      <c r="D1" s="3" t="s">
        <v>6</v>
      </c>
    </row>
    <row r="2" spans="1:4" x14ac:dyDescent="0.25">
      <c r="A2" s="5">
        <v>1</v>
      </c>
      <c r="B2" s="3" t="s">
        <v>7</v>
      </c>
      <c r="C2" s="3" t="s">
        <v>8</v>
      </c>
      <c r="D2" s="3" t="s">
        <v>8</v>
      </c>
    </row>
    <row r="3" spans="1:4" x14ac:dyDescent="0.25">
      <c r="A3" s="5">
        <v>2</v>
      </c>
      <c r="B3" s="3" t="s">
        <v>204</v>
      </c>
    </row>
    <row r="4" spans="1:4" x14ac:dyDescent="0.25">
      <c r="A4" s="5">
        <v>3</v>
      </c>
      <c r="B4" s="3" t="s">
        <v>201</v>
      </c>
    </row>
    <row r="5" spans="1:4" x14ac:dyDescent="0.25">
      <c r="A5" s="5">
        <v>4</v>
      </c>
      <c r="B5" s="3" t="s">
        <v>205</v>
      </c>
    </row>
    <row r="6" spans="1:4" x14ac:dyDescent="0.25">
      <c r="A6" s="5">
        <v>5</v>
      </c>
      <c r="B6" s="3" t="s">
        <v>206</v>
      </c>
    </row>
    <row r="7" spans="1:4" x14ac:dyDescent="0.25">
      <c r="A7" s="5">
        <v>6</v>
      </c>
      <c r="B7" s="3" t="s">
        <v>207</v>
      </c>
    </row>
    <row r="8" spans="1:4" x14ac:dyDescent="0.25">
      <c r="A8" s="5">
        <v>7</v>
      </c>
      <c r="B8" s="3" t="s">
        <v>208</v>
      </c>
    </row>
    <row r="9" spans="1:4" x14ac:dyDescent="0.25">
      <c r="A9" s="5">
        <v>8</v>
      </c>
      <c r="B9" s="3" t="s">
        <v>209</v>
      </c>
    </row>
    <row r="10" spans="1:4" x14ac:dyDescent="0.25">
      <c r="A10" s="5">
        <v>9</v>
      </c>
      <c r="B10" s="3" t="s">
        <v>210</v>
      </c>
    </row>
    <row r="11" spans="1:4" x14ac:dyDescent="0.25">
      <c r="A11" s="5">
        <v>10</v>
      </c>
      <c r="B11" s="3" t="s">
        <v>211</v>
      </c>
    </row>
    <row r="12" spans="1:4" x14ac:dyDescent="0.25">
      <c r="A12" s="5">
        <v>11</v>
      </c>
      <c r="B12" s="3" t="s">
        <v>212</v>
      </c>
    </row>
    <row r="13" spans="1:4" x14ac:dyDescent="0.25">
      <c r="A13" s="5">
        <v>12</v>
      </c>
      <c r="B13" s="3" t="s">
        <v>213</v>
      </c>
    </row>
    <row r="14" spans="1:4" x14ac:dyDescent="0.25">
      <c r="A14" s="5">
        <v>13</v>
      </c>
      <c r="B14" s="3" t="s">
        <v>214</v>
      </c>
    </row>
    <row r="15" spans="1:4" x14ac:dyDescent="0.25">
      <c r="A15" s="5">
        <v>14</v>
      </c>
      <c r="B15" s="3" t="s">
        <v>215</v>
      </c>
    </row>
    <row r="16" spans="1:4" x14ac:dyDescent="0.25">
      <c r="A16" s="5">
        <v>15</v>
      </c>
      <c r="B16" s="3" t="s">
        <v>216</v>
      </c>
    </row>
    <row r="17" spans="1:2" x14ac:dyDescent="0.25">
      <c r="A17" s="5">
        <v>16</v>
      </c>
      <c r="B17" s="3" t="s">
        <v>217</v>
      </c>
    </row>
    <row r="18" spans="1:2" x14ac:dyDescent="0.25">
      <c r="A18" s="5">
        <v>17</v>
      </c>
      <c r="B18" s="3" t="s">
        <v>218</v>
      </c>
    </row>
    <row r="19" spans="1:2" x14ac:dyDescent="0.25">
      <c r="A19" s="5">
        <v>18</v>
      </c>
      <c r="B19" s="3" t="s">
        <v>219</v>
      </c>
    </row>
    <row r="20" spans="1:2" x14ac:dyDescent="0.25">
      <c r="A20" s="5">
        <v>19</v>
      </c>
      <c r="B20" s="3" t="s">
        <v>220</v>
      </c>
    </row>
    <row r="21" spans="1:2" x14ac:dyDescent="0.25">
      <c r="A21" s="5">
        <v>20</v>
      </c>
      <c r="B21" s="3" t="s">
        <v>221</v>
      </c>
    </row>
    <row r="22" spans="1:2" x14ac:dyDescent="0.25">
      <c r="A22" s="5">
        <v>21</v>
      </c>
      <c r="B22" s="3" t="s">
        <v>222</v>
      </c>
    </row>
    <row r="23" spans="1:2" x14ac:dyDescent="0.25">
      <c r="A23" s="5">
        <v>22</v>
      </c>
      <c r="B23" s="3" t="s">
        <v>223</v>
      </c>
    </row>
    <row r="24" spans="1:2" x14ac:dyDescent="0.25">
      <c r="A24" s="5">
        <v>23</v>
      </c>
      <c r="B24" s="3" t="s">
        <v>224</v>
      </c>
    </row>
    <row r="25" spans="1:2" x14ac:dyDescent="0.25">
      <c r="A25" s="5">
        <v>24</v>
      </c>
      <c r="B25" s="3" t="s">
        <v>225</v>
      </c>
    </row>
    <row r="26" spans="1:2" x14ac:dyDescent="0.25">
      <c r="A26" s="5">
        <v>25</v>
      </c>
      <c r="B26" s="3" t="s">
        <v>226</v>
      </c>
    </row>
    <row r="27" spans="1:2" x14ac:dyDescent="0.25">
      <c r="A27" s="5">
        <v>26</v>
      </c>
      <c r="B27" s="3" t="s">
        <v>227</v>
      </c>
    </row>
    <row r="28" spans="1:2" x14ac:dyDescent="0.25">
      <c r="A28" s="5">
        <v>27</v>
      </c>
      <c r="B28" s="3" t="s">
        <v>202</v>
      </c>
    </row>
    <row r="29" spans="1:2" x14ac:dyDescent="0.25">
      <c r="A29" s="5">
        <v>28</v>
      </c>
      <c r="B29" s="3" t="s">
        <v>228</v>
      </c>
    </row>
    <row r="30" spans="1:2" x14ac:dyDescent="0.25">
      <c r="A30" s="5">
        <v>29</v>
      </c>
      <c r="B30" s="3" t="s">
        <v>229</v>
      </c>
    </row>
    <row r="31" spans="1:2" x14ac:dyDescent="0.25">
      <c r="A31" s="5">
        <v>30</v>
      </c>
      <c r="B31" s="3" t="s">
        <v>230</v>
      </c>
    </row>
    <row r="32" spans="1:2" x14ac:dyDescent="0.25">
      <c r="A32" s="5">
        <v>31</v>
      </c>
      <c r="B32" s="3" t="s">
        <v>231</v>
      </c>
    </row>
    <row r="33" spans="1:2" x14ac:dyDescent="0.25">
      <c r="A33" s="5">
        <v>32</v>
      </c>
      <c r="B33" s="3" t="s">
        <v>232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B5"/>
  <sheetViews>
    <sheetView workbookViewId="0">
      <selection activeCell="B4" sqref="B4"/>
    </sheetView>
  </sheetViews>
  <sheetFormatPr defaultRowHeight="15" x14ac:dyDescent="0.25"/>
  <cols>
    <col min="1" max="1" width="7.28515625" style="9" customWidth="1"/>
    <col min="2" max="2" width="39.7109375" style="6" bestFit="1" customWidth="1"/>
  </cols>
  <sheetData>
    <row r="1" spans="1:2" s="1" customFormat="1" x14ac:dyDescent="0.25">
      <c r="A1" s="9" t="s">
        <v>0</v>
      </c>
      <c r="B1" s="3" t="s">
        <v>9</v>
      </c>
    </row>
    <row r="2" spans="1:2" x14ac:dyDescent="0.25">
      <c r="A2" s="9">
        <v>1</v>
      </c>
      <c r="B2" s="6" t="s">
        <v>10</v>
      </c>
    </row>
    <row r="3" spans="1:2" x14ac:dyDescent="0.25">
      <c r="A3" s="9">
        <v>2</v>
      </c>
      <c r="B3" s="6" t="s">
        <v>248</v>
      </c>
    </row>
    <row r="4" spans="1:2" x14ac:dyDescent="0.25">
      <c r="A4" s="9">
        <v>3</v>
      </c>
      <c r="B4" s="6" t="s">
        <v>11</v>
      </c>
    </row>
    <row r="5" spans="1:2" x14ac:dyDescent="0.25">
      <c r="A5" s="9">
        <v>4</v>
      </c>
      <c r="B5" s="6" t="s">
        <v>12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E2"/>
  <sheetViews>
    <sheetView workbookViewId="0">
      <selection activeCell="C2" sqref="C2"/>
    </sheetView>
  </sheetViews>
  <sheetFormatPr defaultRowHeight="15" x14ac:dyDescent="0.25"/>
  <cols>
    <col min="1" max="1" width="5.42578125" style="11" customWidth="1"/>
    <col min="2" max="2" width="12" style="11" customWidth="1"/>
    <col min="3" max="3" width="15.7109375" style="8" customWidth="1"/>
    <col min="4" max="4" width="15.5703125" style="8" customWidth="1"/>
    <col min="5" max="5" width="19.42578125" style="15" customWidth="1"/>
  </cols>
  <sheetData>
    <row r="1" spans="1:5" ht="36" customHeight="1" x14ac:dyDescent="0.25">
      <c r="A1" s="11" t="s">
        <v>0</v>
      </c>
      <c r="B1" s="11" t="s">
        <v>18</v>
      </c>
      <c r="C1" s="12" t="s">
        <v>29</v>
      </c>
      <c r="D1" s="12" t="s">
        <v>30</v>
      </c>
      <c r="E1" s="16" t="s">
        <v>31</v>
      </c>
    </row>
    <row r="2" spans="1:5" x14ac:dyDescent="0.25">
      <c r="B2" s="11">
        <v>1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/>
  <dimension ref="A1:C3"/>
  <sheetViews>
    <sheetView workbookViewId="0"/>
  </sheetViews>
  <sheetFormatPr defaultColWidth="19.85546875" defaultRowHeight="15" x14ac:dyDescent="0.25"/>
  <cols>
    <col min="1" max="1" width="6.42578125" style="1" customWidth="1"/>
    <col min="2" max="2" width="19.85546875" style="14"/>
    <col min="3" max="3" width="26" style="2" customWidth="1"/>
  </cols>
  <sheetData>
    <row r="1" spans="1:3" x14ac:dyDescent="0.25">
      <c r="A1" s="22" t="s">
        <v>0</v>
      </c>
      <c r="B1" s="23" t="s">
        <v>31</v>
      </c>
      <c r="C1" s="24" t="s">
        <v>35</v>
      </c>
    </row>
    <row r="2" spans="1:3" x14ac:dyDescent="0.25">
      <c r="A2" s="1">
        <v>1</v>
      </c>
      <c r="B2" s="14">
        <v>43831</v>
      </c>
      <c r="C2" s="2">
        <v>55.65</v>
      </c>
    </row>
    <row r="3" spans="1:3" x14ac:dyDescent="0.25">
      <c r="A3" s="1">
        <v>2</v>
      </c>
      <c r="B3" s="14">
        <v>43863</v>
      </c>
      <c r="C3" s="2">
        <v>60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/>
  <dimension ref="A1:B8"/>
  <sheetViews>
    <sheetView workbookViewId="0">
      <selection activeCell="B8" sqref="B8"/>
    </sheetView>
  </sheetViews>
  <sheetFormatPr defaultRowHeight="15" x14ac:dyDescent="0.25"/>
  <cols>
    <col min="1" max="1" width="5.42578125" style="9" customWidth="1"/>
    <col min="2" max="2" width="24.42578125" style="1" customWidth="1"/>
  </cols>
  <sheetData>
    <row r="1" spans="1:2" x14ac:dyDescent="0.25">
      <c r="A1" s="9" t="s">
        <v>0</v>
      </c>
      <c r="B1" s="1" t="s">
        <v>36</v>
      </c>
    </row>
    <row r="2" spans="1:2" x14ac:dyDescent="0.25">
      <c r="A2" s="9">
        <v>1</v>
      </c>
      <c r="B2" s="1" t="s">
        <v>37</v>
      </c>
    </row>
    <row r="3" spans="1:2" x14ac:dyDescent="0.25">
      <c r="A3" s="9">
        <v>2</v>
      </c>
      <c r="B3" s="1" t="s">
        <v>38</v>
      </c>
    </row>
    <row r="4" spans="1:2" x14ac:dyDescent="0.25">
      <c r="A4" s="9">
        <v>3</v>
      </c>
      <c r="B4" s="1" t="s">
        <v>39</v>
      </c>
    </row>
    <row r="5" spans="1:2" x14ac:dyDescent="0.25">
      <c r="A5" s="9">
        <v>4</v>
      </c>
      <c r="B5" s="1" t="s">
        <v>249</v>
      </c>
    </row>
    <row r="6" spans="1:2" x14ac:dyDescent="0.25">
      <c r="A6" s="9">
        <v>5</v>
      </c>
      <c r="B6" s="1" t="s">
        <v>250</v>
      </c>
    </row>
    <row r="7" spans="1:2" x14ac:dyDescent="0.25">
      <c r="A7" s="9">
        <v>6</v>
      </c>
      <c r="B7" s="1" t="s">
        <v>251</v>
      </c>
    </row>
    <row r="8" spans="1:2" x14ac:dyDescent="0.25">
      <c r="A8" s="9">
        <v>7</v>
      </c>
      <c r="B8" s="1" t="s">
        <v>40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2"/>
  <dimension ref="A1:C23"/>
  <sheetViews>
    <sheetView workbookViewId="0">
      <pane ySplit="1" topLeftCell="A2" activePane="bottomLeft" state="frozen"/>
      <selection pane="bottomLeft" activeCell="F42" sqref="F42"/>
    </sheetView>
  </sheetViews>
  <sheetFormatPr defaultRowHeight="15" x14ac:dyDescent="0.25"/>
  <cols>
    <col min="1" max="1" width="9.140625" style="9" bestFit="1" customWidth="1"/>
    <col min="2" max="2" width="19.5703125" style="10" bestFit="1" customWidth="1"/>
    <col min="3" max="3" width="31.28515625" style="10" bestFit="1" customWidth="1"/>
  </cols>
  <sheetData>
    <row r="1" spans="1:3" x14ac:dyDescent="0.25">
      <c r="A1" s="9" t="s">
        <v>48</v>
      </c>
      <c r="B1" s="10" t="s">
        <v>49</v>
      </c>
      <c r="C1" s="10" t="s">
        <v>45</v>
      </c>
    </row>
    <row r="2" spans="1:3" x14ac:dyDescent="0.25">
      <c r="A2" s="9">
        <v>1</v>
      </c>
      <c r="B2" s="10" t="s">
        <v>50</v>
      </c>
      <c r="C2" s="10" t="s">
        <v>435</v>
      </c>
    </row>
    <row r="3" spans="1:3" x14ac:dyDescent="0.25">
      <c r="A3" s="9">
        <v>2</v>
      </c>
      <c r="B3" s="10" t="s">
        <v>270</v>
      </c>
      <c r="C3" s="10" t="s">
        <v>274</v>
      </c>
    </row>
    <row r="4" spans="1:3" x14ac:dyDescent="0.25">
      <c r="A4" s="9">
        <v>3</v>
      </c>
      <c r="B4" s="10" t="s">
        <v>617</v>
      </c>
      <c r="C4" s="10" t="s">
        <v>619</v>
      </c>
    </row>
    <row r="5" spans="1:3" x14ac:dyDescent="0.25">
      <c r="A5" s="9">
        <v>4</v>
      </c>
      <c r="B5" s="10" t="s">
        <v>462</v>
      </c>
      <c r="C5" s="10" t="s">
        <v>456</v>
      </c>
    </row>
    <row r="6" spans="1:3" x14ac:dyDescent="0.25">
      <c r="A6" s="9">
        <v>5</v>
      </c>
      <c r="B6" s="10" t="s">
        <v>355</v>
      </c>
      <c r="C6" s="10" t="s">
        <v>357</v>
      </c>
    </row>
    <row r="7" spans="1:3" x14ac:dyDescent="0.25">
      <c r="A7" s="9">
        <v>6</v>
      </c>
      <c r="B7" s="10" t="s">
        <v>568</v>
      </c>
      <c r="C7" s="10" t="s">
        <v>570</v>
      </c>
    </row>
    <row r="8" spans="1:3" x14ac:dyDescent="0.25">
      <c r="A8" s="9">
        <v>7</v>
      </c>
      <c r="B8" s="10" t="s">
        <v>494</v>
      </c>
      <c r="C8" s="10" t="s">
        <v>496</v>
      </c>
    </row>
    <row r="9" spans="1:3" x14ac:dyDescent="0.25">
      <c r="A9" s="9">
        <v>8</v>
      </c>
      <c r="B9" s="10" t="s">
        <v>433</v>
      </c>
      <c r="C9" s="10" t="s">
        <v>435</v>
      </c>
    </row>
    <row r="10" spans="1:3" x14ac:dyDescent="0.25">
      <c r="A10" s="9">
        <v>9</v>
      </c>
      <c r="B10" s="10" t="s">
        <v>449</v>
      </c>
      <c r="C10" s="10" t="s">
        <v>274</v>
      </c>
    </row>
    <row r="11" spans="1:3" x14ac:dyDescent="0.25">
      <c r="A11" s="9">
        <v>10</v>
      </c>
      <c r="B11" s="10" t="s">
        <v>1194</v>
      </c>
      <c r="C11" s="10" t="s">
        <v>619</v>
      </c>
    </row>
    <row r="12" spans="1:3" x14ac:dyDescent="0.25">
      <c r="A12" s="9">
        <v>11</v>
      </c>
      <c r="B12" s="10" t="s">
        <v>454</v>
      </c>
      <c r="C12" s="10" t="s">
        <v>456</v>
      </c>
    </row>
    <row r="13" spans="1:3" x14ac:dyDescent="0.25">
      <c r="A13" s="9">
        <v>12</v>
      </c>
      <c r="B13" s="10" t="s">
        <v>452</v>
      </c>
      <c r="C13" s="10" t="s">
        <v>357</v>
      </c>
    </row>
    <row r="14" spans="1:3" x14ac:dyDescent="0.25">
      <c r="A14" s="9">
        <v>13</v>
      </c>
      <c r="B14" s="10" t="s">
        <v>1195</v>
      </c>
      <c r="C14" s="10" t="s">
        <v>570</v>
      </c>
    </row>
    <row r="15" spans="1:3" x14ac:dyDescent="0.25">
      <c r="A15" s="9">
        <v>14</v>
      </c>
      <c r="B15" s="10" t="s">
        <v>1196</v>
      </c>
      <c r="C15" s="10" t="s">
        <v>496</v>
      </c>
    </row>
    <row r="16" spans="1:3" x14ac:dyDescent="0.25">
      <c r="A16" s="9">
        <v>15</v>
      </c>
      <c r="B16" s="10" t="s">
        <v>439</v>
      </c>
      <c r="C16" s="10" t="s">
        <v>442</v>
      </c>
    </row>
    <row r="17" spans="1:3" x14ac:dyDescent="0.25">
      <c r="A17" s="9">
        <v>16</v>
      </c>
      <c r="B17" s="10" t="s">
        <v>259</v>
      </c>
      <c r="C17" s="10" t="s">
        <v>262</v>
      </c>
    </row>
    <row r="18" spans="1:3" x14ac:dyDescent="0.25">
      <c r="A18" s="9">
        <v>17</v>
      </c>
      <c r="B18" s="10" t="s">
        <v>345</v>
      </c>
      <c r="C18" s="10" t="s">
        <v>347</v>
      </c>
    </row>
    <row r="19" spans="1:3" x14ac:dyDescent="0.25">
      <c r="A19" s="9">
        <v>18</v>
      </c>
      <c r="B19" s="10" t="s">
        <v>327</v>
      </c>
      <c r="C19" s="10" t="s">
        <v>330</v>
      </c>
    </row>
    <row r="20" spans="1:3" x14ac:dyDescent="0.25">
      <c r="A20" s="9">
        <v>19</v>
      </c>
      <c r="B20" s="10" t="s">
        <v>458</v>
      </c>
      <c r="C20" s="10" t="s">
        <v>461</v>
      </c>
    </row>
    <row r="21" spans="1:3" x14ac:dyDescent="0.25">
      <c r="A21" s="9">
        <v>20</v>
      </c>
      <c r="B21" s="10" t="s">
        <v>427</v>
      </c>
      <c r="C21" s="10" t="s">
        <v>430</v>
      </c>
    </row>
    <row r="22" spans="1:3" x14ac:dyDescent="0.25">
      <c r="A22" s="9">
        <v>21</v>
      </c>
      <c r="B22" s="10" t="s">
        <v>1197</v>
      </c>
      <c r="C22" s="10" t="s">
        <v>1198</v>
      </c>
    </row>
    <row r="23" spans="1:3" x14ac:dyDescent="0.25">
      <c r="A23" s="9">
        <v>22</v>
      </c>
      <c r="B23" s="10" t="s">
        <v>1199</v>
      </c>
      <c r="C23" s="10" t="s">
        <v>1198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19</vt:i4>
      </vt:variant>
    </vt:vector>
  </HeadingPairs>
  <TitlesOfParts>
    <vt:vector size="19" baseType="lpstr">
      <vt:lpstr>Товары</vt:lpstr>
      <vt:lpstr>Клиенты</vt:lpstr>
      <vt:lpstr>Скидки</vt:lpstr>
      <vt:lpstr>РРЦ</vt:lpstr>
      <vt:lpstr>DIY</vt:lpstr>
      <vt:lpstr>Планирование</vt:lpstr>
      <vt:lpstr>Прайс лист</vt:lpstr>
      <vt:lpstr>Планирование нового года шаблон</vt:lpstr>
      <vt:lpstr>Exclusives</vt:lpstr>
      <vt:lpstr>Channel type</vt:lpstr>
      <vt:lpstr>Customer status</vt:lpstr>
      <vt:lpstr>Продуктовые календари</vt:lpstr>
      <vt:lpstr>Суперкатегории</vt:lpstr>
      <vt:lpstr>Продукт группы</vt:lpstr>
      <vt:lpstr>Статусы товаров</vt:lpstr>
      <vt:lpstr>STK</vt:lpstr>
      <vt:lpstr>Бюджетные курсы</vt:lpstr>
      <vt:lpstr>Эксклюзивность</vt:lpstr>
      <vt:lpstr>GardenChannel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Arslan</dc:creator>
  <cp:lastModifiedBy>Руслан Шедиков</cp:lastModifiedBy>
  <dcterms:created xsi:type="dcterms:W3CDTF">2020-05-26T07:49:30Z</dcterms:created>
  <dcterms:modified xsi:type="dcterms:W3CDTF">2020-06-25T09:29:14Z</dcterms:modified>
</cp:coreProperties>
</file>