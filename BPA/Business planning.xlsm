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49F14EBB-D03E-49E8-BB88-3031C603DE12}" xr6:coauthVersionLast="45" xr6:coauthVersionMax="45" xr10:uidLastSave="{00000000-0000-0000-0000-000000000000}"/>
  <bookViews>
    <workbookView xWindow="810" yWindow="-120" windowWidth="23310" windowHeight="13740" firstSheet="1" activeTab="8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A7" i="22" l="1"/>
  <c r="DV7" i="22" l="1"/>
  <c r="GC7" i="22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AW4" i="5"/>
  <c r="AW5" i="5"/>
  <c r="AW6" i="5"/>
  <c r="AW7" i="5"/>
  <c r="AW8" i="5"/>
  <c r="AW9" i="5"/>
  <c r="AW10" i="5"/>
  <c r="AW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AX3" i="5"/>
  <c r="AX4" i="5"/>
  <c r="AX5" i="5"/>
  <c r="AX6" i="5"/>
  <c r="AX7" i="5"/>
  <c r="AX8" i="5"/>
  <c r="AX9" i="5"/>
  <c r="AX10" i="5"/>
  <c r="AT1" i="5"/>
  <c r="N7" i="22" l="1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D4" i="5"/>
  <c r="F4" i="5"/>
  <c r="G4" i="5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G3" i="5"/>
  <c r="F3" i="5"/>
  <c r="BV7" i="22" l="1"/>
  <c r="Q7" i="22"/>
  <c r="CI7" i="22"/>
  <c r="D3" i="5"/>
</calcChain>
</file>

<file path=xl/sharedStrings.xml><?xml version="1.0" encoding="utf-8"?>
<sst xmlns="http://schemas.openxmlformats.org/spreadsheetml/2006/main" count="3513" uniqueCount="1478">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</sst>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  <xf numFmtId="9" fontId="15" fillId="6" borderId="4" xfId="2" applyFont="1" applyFill="1" applyBorder="1" applyAlignment="1">
      <alignment horizontal="center" vertical="top" wrapText="1"/>
    </xf>
    <xf numFmtId="0" fontId="18" fillId="7" borderId="0" xfId="3" applyFont="1" applyFill="1" applyAlignment="1">
      <alignment horizontal="center" vertical="top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501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92" dataDxfId="491">
  <autoFilter ref="A2:AX10" xr:uid="{6B7FED29-D1EF-44AD-8CEA-6B36EA57CFDF}"/>
  <tableColumns count="50">
    <tableColumn id="20" xr3:uid="{F0834113-79EB-4DC4-BB50-96E4D3BC9E62}" name="№" dataDxfId="490"/>
    <tableColumn id="1" xr3:uid="{00000000-0010-0000-0300-000001000000}" name="Категория для прайс-листа диллеров" dataDxfId="489"/>
    <tableColumn id="2" xr3:uid="{00000000-0010-0000-0300-000002000000}" name="Суперкатегория (ENG)" dataDxfId="488"/>
    <tableColumn id="3" xr3:uid="{00000000-0010-0000-0300-000003000000}" name="Суперкатегория (RUS)" dataDxfId="487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86"/>
    <tableColumn id="5" xr3:uid="{00000000-0010-0000-0300-000005000000}" name="Название продукт группы (ENG)" dataDxfId="485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84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83"/>
    <tableColumn id="8" xr3:uid="{00000000-0010-0000-0300-000008000000}" name="Generic Name (long)" dataDxfId="482"/>
    <tableColumn id="9" xr3:uid="{00000000-0010-0000-0300-000009000000}" name="Model" dataDxfId="481"/>
    <tableColumn id="10" xr3:uid="{00000000-0010-0000-0300-00000A000000}" name="PNS" dataDxfId="480"/>
    <tableColumn id="11" xr3:uid="{00000000-0010-0000-0300-00000B000000}" name="Артикул" dataDxfId="479"/>
    <tableColumn id="12" xr3:uid="{00000000-0010-0000-0300-00000C000000}" name="Артикул предшественника (если есть)" dataDxfId="478"/>
    <tableColumn id="13" xr3:uid="{00000000-0010-0000-0300-00000D000000}" name="Название артикула (ENG)" dataDxfId="477"/>
    <tableColumn id="14" xr3:uid="{00000000-0010-0000-0300-00000E000000}" name="Название артикула (RUS)" dataDxfId="476"/>
    <tableColumn id="15" xr3:uid="{00000000-0010-0000-0300-00000F000000}" name="Используемый календарь" dataDxfId="475"/>
    <tableColumn id="21" xr3:uid="{22E1A367-1EE8-43BC-814E-457CB0799CE2}" name="to be sold in" dataDxfId="474"/>
    <tableColumn id="22" xr3:uid="{96D0E354-E4F0-4C0D-A215-B5053EDC93D3}" name="Sales Start Date" dataDxfId="473"/>
    <tableColumn id="23" xr3:uid="{8E8FA46F-C4EA-4B11-9002-6C2FB1732F50}" name="Preliminary Elimination Date" dataDxfId="472"/>
    <tableColumn id="24" xr3:uid="{1CD4DFA3-524A-4B3F-B75B-153436EC8505}" name="Elimination Date" dataDxfId="471"/>
    <tableColumn id="25" xr3:uid="{9E91402A-0829-46E3-BCAD-2B3FBD67E8B4}" name="GTIN-13/EAN" dataDxfId="470"/>
    <tableColumn id="26" xr3:uid="{6D670FEE-0EE3-4984-AE03-EE53C5B4F796}" name="Current Producing Factory Entity Reference" dataDxfId="469"/>
    <tableColumn id="27" xr3:uid="{5EE7ABD6-FDA4-4488-802E-A3E44391980C}" name="Country of Origin" dataDxfId="468"/>
    <tableColumn id="28" xr3:uid="{9B515A88-1ED3-4508-B5E0-8006888F9EC2}" name="Unit of measure" dataDxfId="467"/>
    <tableColumn id="29" xr3:uid="{87BE889F-2ABE-4DA6-8E30-3420049514D6}" name="Quantity in Master pack" dataDxfId="466"/>
    <tableColumn id="30" xr3:uid="{47EEE49F-81B7-4FCC-B374-69DEC03ECE66}" name="Article gross weight, preliminary" dataDxfId="465"/>
    <tableColumn id="31" xr3:uid="{EFEF2C58-568B-4F24-9FA2-6034A66D278C}" name="Article gross weight" dataDxfId="464"/>
    <tableColumn id="32" xr3:uid="{D9BFC098-81CC-44FD-9FDE-FE6F58BB8BD6}" name="Article net weight, preliminary" dataDxfId="463"/>
    <tableColumn id="33" xr3:uid="{C47E9D47-775F-4F97-AD61-45CFFC8D6D30}" name="Article net weight" dataDxfId="462"/>
    <tableColumn id="34" xr3:uid="{8FDF5358-549B-4DBC-B8D0-CFC371276F4D}" name="Packaging length" dataDxfId="461"/>
    <tableColumn id="35" xr3:uid="{6E69E3B5-4350-4ABB-89BF-8A6BD2DC4947}" name="Packaging width" dataDxfId="460"/>
    <tableColumn id="36" xr3:uid="{96879B4C-6D27-4389-8B5A-11E1CBC022EA}" name="Packaging height" dataDxfId="459"/>
    <tableColumn id="37" xr3:uid="{170F61C0-2069-494A-A33C-F39311F5A9C7}" name="Packaging volume" dataDxfId="458"/>
    <tableColumn id="38" xr3:uid="{5E3DED34-6BEE-4E8A-AFB4-2CACE6CD1835}" name="Product size length" dataDxfId="457"/>
    <tableColumn id="39" xr3:uid="{FF80A301-50E2-4D81-BB7D-1EE251460E5A}" name="Product size height" dataDxfId="456"/>
    <tableColumn id="40" xr3:uid="{37BA004B-7442-4871-93EF-B13A77E1A917}" name="Product size width" dataDxfId="455"/>
    <tableColumn id="41" xr3:uid="{9C4077D9-3E18-4C57-A4FE-24EC817418FB}" name="Units Per Pallet" dataDxfId="454"/>
    <tableColumn id="16" xr3:uid="{00000000-0010-0000-0300-000010000000}" name="Статус" dataDxfId="453"/>
    <tableColumn id="17" xr3:uid="{00000000-0010-0000-0300-000011000000}" name="Эксклюзив клиента или канала продажи" dataDxfId="452"/>
    <tableColumn id="18" xr3:uid="{00000000-0010-0000-0300-000012000000}" name="Локальный сертификат" dataDxfId="451"/>
    <tableColumn id="43" xr3:uid="{F395E6EB-A30D-4A38-AB3A-7536C9D93B73}" name="IRP, Eur" dataDxfId="450"/>
    <tableColumn id="42" xr3:uid="{05ED5D32-E5CB-4A2F-932D-7E4E79D8C3DB}" name="РРЦ текущий" dataDxfId="449"/>
    <tableColumn id="19" xr3:uid="{942DBC0D-E4D1-4CAE-964C-D4023A4F222C}" name="DIY текущий" dataDxfId="448"/>
    <tableColumn id="44" xr3:uid="{B34018FA-361B-4D7A-BB24-F38CB52B40FF}" name="Процент повышения РРЦ" dataDxfId="447"/>
    <tableColumn id="45" xr3:uid="{74423DE5-1814-4A91-B002-871E2E69DACF}" name="РРЦ расчетная, руб." dataDxfId="446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45"/>
    <tableColumn id="49" xr3:uid="{9DFD32D8-20F7-44F2-9EFD-A1D48FECC173}" name="РРЦ, евро" dataDxfId="444">
      <calculatedColumnFormula>ROUND(Товары[[#This Row],[РРЦ финальная, руб.]]/$AT$1,2)</calculatedColumnFormula>
    </tableColumn>
    <tableColumn id="47" xr3:uid="{274477BF-6DA6-42C0-8813-165D8A99D45E}" name="Индекс IRP" dataDxfId="443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2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1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0" dataDxfId="439">
  <autoFilter ref="A1:H440" xr:uid="{00000000-0009-0000-0100-00000D000000}"/>
  <tableColumns count="8">
    <tableColumn id="8" xr3:uid="{E2D1A163-1F1A-4C5F-BF19-12C204A54D1C}" name="№" dataDxfId="438"/>
    <tableColumn id="1" xr3:uid="{00000000-0010-0000-0A00-000001000000}" name="GardenaChannel" dataDxfId="437"/>
    <tableColumn id="2" xr3:uid="{00000000-0010-0000-0A00-000002000000}" name="Customer" dataDxfId="436"/>
    <tableColumn id="3" xr3:uid="{00000000-0010-0000-0A00-000003000000}" name="Channel type" dataDxfId="435"/>
    <tableColumn id="4" xr3:uid="{00000000-0010-0000-0A00-000004000000}" name="Customer status" dataDxfId="434"/>
    <tableColumn id="5" xr3:uid="{00000000-0010-0000-0A00-000005000000}" name="Sales manager" dataDxfId="433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2"/>
    <tableColumn id="7" xr3:uid="{00000000-0010-0000-0A00-000007000000}" name="CustomerBudget" dataDxfId="4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30">
  <autoFilter ref="A1:K4" xr:uid="{00000000-0009-0000-0100-00000F000000}"/>
  <tableColumns count="11">
    <tableColumn id="11" xr3:uid="{F724774D-6E5F-421B-8A8A-7AD1541FFA21}" name="№" dataDxfId="429"/>
    <tableColumn id="1" xr3:uid="{00000000-0010-0000-0C00-000001000000}" name="Channel type" dataDxfId="428"/>
    <tableColumn id="2" xr3:uid="{00000000-0010-0000-0C00-000002000000}" name="Customer status" dataDxfId="427"/>
    <tableColumn id="3" xr3:uid="{00000000-0010-0000-0C00-000003000000}" name="Период" dataDxfId="426"/>
    <tableColumn id="4" xr3:uid="{00000000-0010-0000-0C00-000004000000}" name="Оборудование для полива" dataDxfId="425"/>
    <tableColumn id="5" xr3:uid="{00000000-0010-0000-0C00-000005000000}" name="Электрика (Готовая продукция)" dataDxfId="424"/>
    <tableColumn id="6" xr3:uid="{00000000-0010-0000-0C00-000006000000}" name="Газонокосилки-роботы" dataDxfId="423"/>
    <tableColumn id="7" xr3:uid="{00000000-0010-0000-0C00-000007000000}" name="Насосное оборудование" dataDxfId="422"/>
    <tableColumn id="8" xr3:uid="{00000000-0010-0000-0C00-000008000000}" name="Ручные и режущие инструменты" dataDxfId="421"/>
    <tableColumn id="9" xr3:uid="{00000000-0010-0000-0C00-000009000000}" name="Зимние инструменты ClassicLine" dataDxfId="420"/>
    <tableColumn id="10" xr3:uid="{00000000-0010-0000-0C00-00000A000000}" name="Максимальный годовой бонус" dataDxfId="4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15" headerRowBorderDxfId="414" tableBorderDxfId="413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12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10"/>
    <tableColumn id="2" xr3:uid="{00000000-0010-0000-0700-000002000000}" name="SubGroup" dataDxfId="409"/>
    <tableColumn id="3" xr3:uid="{00000000-0010-0000-0700-000003000000}" name="Процент от РРЦ, без НДС" dataDxfId="408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407">
  <tableColumns count="122">
    <tableColumn id="1" xr3:uid="{00000000-0010-0000-0D00-000001000000}" name="№" dataDxfId="406"/>
    <tableColumn id="122" xr3:uid="{156887A3-65E5-416F-AD69-59CE1C8980E7}" name="Артикул" dataDxfId="405"/>
    <tableColumn id="2" xr3:uid="{00000000-0010-0000-0D00-000002000000}" name="Channel type" dataDxfId="404"/>
    <tableColumn id="3" xr3:uid="{00000000-0010-0000-0D00-000003000000}" name="Customer status" dataDxfId="403"/>
    <tableColumn id="4" xr3:uid="{00000000-0010-0000-0D00-000004000000}" name="Дата прогноза" dataDxfId="402"/>
    <tableColumn id="5" xr3:uid="{00000000-0010-0000-0D00-000005000000}" name="Данные справочника товаров"/>
    <tableColumn id="6" xr3:uid="{00000000-0010-0000-0D00-000006000000}" name="STK 2.5, руб." dataDxfId="401"/>
    <tableColumn id="7" xr3:uid="{00000000-0010-0000-0D00-000007000000}" name="IRP, Eur" dataDxfId="400"/>
    <tableColumn id="8" xr3:uid="{00000000-0010-0000-0D00-000008000000}" name="РРЦ, руб.с НДС" dataDxfId="399"/>
    <tableColumn id="9" xr3:uid="{00000000-0010-0000-0D00-000009000000}" name="Индекс IRP" dataDxfId="398"/>
    <tableColumn id="10" xr3:uid="{00000000-0010-0000-0D00-00000A000000}" name="DIY price list, руб. без НДС" dataDxfId="397"/>
    <tableColumn id="11" xr3:uid="{00000000-0010-0000-0D00-00000B000000}" name="2 net цена, руб." dataDxfId="396"/>
    <tableColumn id="12" xr3:uid="{00000000-0010-0000-0D00-00000C000000}" name="3 net цена, руб." dataDxfId="395"/>
    <tableColumn id="13" xr3:uid="{00000000-0010-0000-0D00-00000D000000}" name="Transfer цена, руб." dataDxfId="394"/>
    <tableColumn id="14" xr3:uid="{00000000-0010-0000-0D00-00000E000000}" name="Price-list январь" dataDxfId="393"/>
    <tableColumn id="15" xr3:uid="{00000000-0010-0000-0D00-00000F000000}" name="Price-list февраль" dataDxfId="392"/>
    <tableColumn id="16" xr3:uid="{00000000-0010-0000-0D00-000010000000}" name="Price-list март" dataDxfId="391"/>
    <tableColumn id="17" xr3:uid="{00000000-0010-0000-0D00-000011000000}" name="Price-list апрель" dataDxfId="390"/>
    <tableColumn id="18" xr3:uid="{00000000-0010-0000-0D00-000012000000}" name="Price-list май" dataDxfId="389"/>
    <tableColumn id="19" xr3:uid="{00000000-0010-0000-0D00-000013000000}" name="Price-list июнь" dataDxfId="388"/>
    <tableColumn id="20" xr3:uid="{00000000-0010-0000-0D00-000014000000}" name="Price-list июль" dataDxfId="387"/>
    <tableColumn id="21" xr3:uid="{00000000-0010-0000-0D00-000015000000}" name="Price-list август" dataDxfId="386"/>
    <tableColumn id="22" xr3:uid="{00000000-0010-0000-0D00-000016000000}" name="Price-list сентябрь" dataDxfId="385"/>
    <tableColumn id="23" xr3:uid="{00000000-0010-0000-0D00-000017000000}" name="Price-list октябрь" dataDxfId="384"/>
    <tableColumn id="24" xr3:uid="{00000000-0010-0000-0D00-000018000000}" name="Price-list ноябрь" dataDxfId="383"/>
    <tableColumn id="25" xr3:uid="{00000000-0010-0000-0D00-000019000000}" name="Price-list декабрь" dataDxfId="382"/>
    <tableColumn id="26" xr3:uid="{00000000-0010-0000-0D00-00001A000000}" name="Объем продаж январь" dataDxfId="381"/>
    <tableColumn id="27" xr3:uid="{00000000-0010-0000-0D00-00001B000000}" name="Объем продаж февраль" dataDxfId="380"/>
    <tableColumn id="28" xr3:uid="{00000000-0010-0000-0D00-00001C000000}" name="Объем продаж март" dataDxfId="379"/>
    <tableColumn id="29" xr3:uid="{00000000-0010-0000-0D00-00001D000000}" name="Объем продаж апрель" dataDxfId="378"/>
    <tableColumn id="30" xr3:uid="{00000000-0010-0000-0D00-00001E000000}" name="Объем продаж май" dataDxfId="377"/>
    <tableColumn id="31" xr3:uid="{00000000-0010-0000-0D00-00001F000000}" name="Объем продаж июнь" dataDxfId="376"/>
    <tableColumn id="32" xr3:uid="{00000000-0010-0000-0D00-000020000000}" name="Объем продаж июль" dataDxfId="375"/>
    <tableColumn id="33" xr3:uid="{00000000-0010-0000-0D00-000021000000}" name="Объем продаж август" dataDxfId="374"/>
    <tableColumn id="34" xr3:uid="{00000000-0010-0000-0D00-000022000000}" name="Объем продаж сентябрь" dataDxfId="373"/>
    <tableColumn id="35" xr3:uid="{00000000-0010-0000-0D00-000023000000}" name="Объем продаж октябрь" dataDxfId="372"/>
    <tableColumn id="36" xr3:uid="{00000000-0010-0000-0D00-000024000000}" name="Объем продаж ноябрь" dataDxfId="371"/>
    <tableColumn id="37" xr3:uid="{00000000-0010-0000-0D00-000025000000}" name="Объем продаж декабрь" dataDxfId="370"/>
    <tableColumn id="38" xr3:uid="{00000000-0010-0000-0D00-000026000000}" name="GS январь" dataDxfId="369"/>
    <tableColumn id="39" xr3:uid="{00000000-0010-0000-0D00-000027000000}" name="GS февраль" dataDxfId="368"/>
    <tableColumn id="40" xr3:uid="{00000000-0010-0000-0D00-000028000000}" name="GS март" dataDxfId="367"/>
    <tableColumn id="41" xr3:uid="{00000000-0010-0000-0D00-000029000000}" name="GS апрель" dataDxfId="366"/>
    <tableColumn id="42" xr3:uid="{00000000-0010-0000-0D00-00002A000000}" name="GS май" dataDxfId="365"/>
    <tableColumn id="43" xr3:uid="{00000000-0010-0000-0D00-00002B000000}" name="GS июнь" dataDxfId="364"/>
    <tableColumn id="44" xr3:uid="{00000000-0010-0000-0D00-00002C000000}" name="GS июль" dataDxfId="363"/>
    <tableColumn id="45" xr3:uid="{00000000-0010-0000-0D00-00002D000000}" name="GS август" dataDxfId="362"/>
    <tableColumn id="46" xr3:uid="{00000000-0010-0000-0D00-00002E000000}" name="GS сентябрь" dataDxfId="361"/>
    <tableColumn id="47" xr3:uid="{00000000-0010-0000-0D00-00002F000000}" name="GS октябрь" dataDxfId="360"/>
    <tableColumn id="48" xr3:uid="{00000000-0010-0000-0D00-000030000000}" name="GS ноябрь" dataDxfId="359"/>
    <tableColumn id="49" xr3:uid="{00000000-0010-0000-0D00-000031000000}" name="GS декабрь" dataDxfId="358"/>
    <tableColumn id="50" xr3:uid="{00000000-0010-0000-0D00-000032000000}" name="NS Январь" dataDxfId="357"/>
    <tableColumn id="51" xr3:uid="{00000000-0010-0000-0D00-000033000000}" name="NS февраль" dataDxfId="356"/>
    <tableColumn id="52" xr3:uid="{00000000-0010-0000-0D00-000034000000}" name="NS март" dataDxfId="355"/>
    <tableColumn id="53" xr3:uid="{00000000-0010-0000-0D00-000035000000}" name="NS апрель" dataDxfId="354"/>
    <tableColumn id="54" xr3:uid="{00000000-0010-0000-0D00-000036000000}" name="NS май" dataDxfId="353"/>
    <tableColumn id="55" xr3:uid="{00000000-0010-0000-0D00-000037000000}" name="NS июнь" dataDxfId="352"/>
    <tableColumn id="56" xr3:uid="{00000000-0010-0000-0D00-000038000000}" name="NS июль" dataDxfId="351"/>
    <tableColumn id="57" xr3:uid="{00000000-0010-0000-0D00-000039000000}" name="NS август" dataDxfId="350"/>
    <tableColumn id="58" xr3:uid="{00000000-0010-0000-0D00-00003A000000}" name="NS сентябрь" dataDxfId="349"/>
    <tableColumn id="59" xr3:uid="{00000000-0010-0000-0D00-00003B000000}" name="NS октябрь" dataDxfId="348"/>
    <tableColumn id="60" xr3:uid="{00000000-0010-0000-0D00-00003C000000}" name="NS ноябрь" dataDxfId="347"/>
    <tableColumn id="61" xr3:uid="{00000000-0010-0000-0D00-00003D000000}" name="NS декабрь" dataDxfId="346"/>
    <tableColumn id="62" xr3:uid="{00000000-0010-0000-0D00-00003E000000}" name="Promo Price-list январь" dataDxfId="345"/>
    <tableColumn id="63" xr3:uid="{00000000-0010-0000-0D00-00003F000000}" name="Promo Price-list февраль" dataDxfId="344"/>
    <tableColumn id="64" xr3:uid="{00000000-0010-0000-0D00-000040000000}" name="Promo Price-list март" dataDxfId="343"/>
    <tableColumn id="65" xr3:uid="{00000000-0010-0000-0D00-000041000000}" name="Promo Price-list апрель" dataDxfId="342"/>
    <tableColumn id="66" xr3:uid="{00000000-0010-0000-0D00-000042000000}" name="Promo Price-list май" dataDxfId="341"/>
    <tableColumn id="67" xr3:uid="{00000000-0010-0000-0D00-000043000000}" name="Promo Price-list июнь" dataDxfId="340"/>
    <tableColumn id="68" xr3:uid="{00000000-0010-0000-0D00-000044000000}" name="Promo Price-list июль" dataDxfId="339"/>
    <tableColumn id="69" xr3:uid="{00000000-0010-0000-0D00-000045000000}" name="Promo Price-list август" dataDxfId="338"/>
    <tableColumn id="70" xr3:uid="{00000000-0010-0000-0D00-000046000000}" name="Promo Price-list сентябрь" dataDxfId="337"/>
    <tableColumn id="71" xr3:uid="{00000000-0010-0000-0D00-000047000000}" name="Promo Price-list октябрь" dataDxfId="336"/>
    <tableColumn id="72" xr3:uid="{00000000-0010-0000-0D00-000048000000}" name="Promo Price-list ноябрь" dataDxfId="335"/>
    <tableColumn id="73" xr3:uid="{00000000-0010-0000-0D00-000049000000}" name="Promo Price-list декабрь" dataDxfId="334"/>
    <tableColumn id="74" xr3:uid="{00000000-0010-0000-0D00-00004A000000}" name="Promo Объем продаж январь" dataDxfId="333"/>
    <tableColumn id="75" xr3:uid="{00000000-0010-0000-0D00-00004B000000}" name="Promo Объем продаж февраль" dataDxfId="332"/>
    <tableColumn id="76" xr3:uid="{00000000-0010-0000-0D00-00004C000000}" name="Promo Объем продаж март" dataDxfId="331"/>
    <tableColumn id="77" xr3:uid="{00000000-0010-0000-0D00-00004D000000}" name="Promo Объем продаж апрель" dataDxfId="330"/>
    <tableColumn id="78" xr3:uid="{00000000-0010-0000-0D00-00004E000000}" name="Promo Объем май" dataDxfId="329"/>
    <tableColumn id="79" xr3:uid="{00000000-0010-0000-0D00-00004F000000}" name="Promo Объем продаж июнь" dataDxfId="328"/>
    <tableColumn id="80" xr3:uid="{00000000-0010-0000-0D00-000050000000}" name="Promo Объем продаж июль" dataDxfId="327"/>
    <tableColumn id="81" xr3:uid="{00000000-0010-0000-0D00-000051000000}" name="Promo Объем продаж август" dataDxfId="326"/>
    <tableColumn id="82" xr3:uid="{00000000-0010-0000-0D00-000052000000}" name="Promo Объем продаж сентябрь" dataDxfId="325"/>
    <tableColumn id="83" xr3:uid="{00000000-0010-0000-0D00-000053000000}" name="Promo Объем продаж октябрь" dataDxfId="324"/>
    <tableColumn id="84" xr3:uid="{00000000-0010-0000-0D00-000054000000}" name="Promo Объем продаж ноябрь" dataDxfId="323"/>
    <tableColumn id="85" xr3:uid="{00000000-0010-0000-0D00-000055000000}" name="Promo Объем продаж декабрь" dataDxfId="322"/>
    <tableColumn id="86" xr3:uid="{00000000-0010-0000-0D00-000056000000}" name="Promo GS январь" dataDxfId="321"/>
    <tableColumn id="87" xr3:uid="{00000000-0010-0000-0D00-000057000000}" name="Promo GS февраль" dataDxfId="320"/>
    <tableColumn id="88" xr3:uid="{00000000-0010-0000-0D00-000058000000}" name="Promo GS март" dataDxfId="319"/>
    <tableColumn id="89" xr3:uid="{00000000-0010-0000-0D00-000059000000}" name="Promo GS апрель" dataDxfId="318"/>
    <tableColumn id="90" xr3:uid="{00000000-0010-0000-0D00-00005A000000}" name="Promo GS май" dataDxfId="317"/>
    <tableColumn id="91" xr3:uid="{00000000-0010-0000-0D00-00005B000000}" name="Promo GS июнь" dataDxfId="316"/>
    <tableColumn id="92" xr3:uid="{00000000-0010-0000-0D00-00005C000000}" name="Promo GS июль" dataDxfId="315"/>
    <tableColumn id="93" xr3:uid="{00000000-0010-0000-0D00-00005D000000}" name="Promo GS август" dataDxfId="314"/>
    <tableColumn id="94" xr3:uid="{00000000-0010-0000-0D00-00005E000000}" name="Promo GS сентябрь" dataDxfId="313"/>
    <tableColumn id="95" xr3:uid="{00000000-0010-0000-0D00-00005F000000}" name="Promo GS октябрь" dataDxfId="312"/>
    <tableColumn id="96" xr3:uid="{00000000-0010-0000-0D00-000060000000}" name="Promo GS ноябрь" dataDxfId="311"/>
    <tableColumn id="97" xr3:uid="{00000000-0010-0000-0D00-000061000000}" name="Promo GS декабрь" dataDxfId="310"/>
    <tableColumn id="98" xr3:uid="{00000000-0010-0000-0D00-000062000000}" name="Promo NS январь" dataDxfId="309"/>
    <tableColumn id="99" xr3:uid="{00000000-0010-0000-0D00-000063000000}" name="Promo NS февраль" dataDxfId="308"/>
    <tableColumn id="100" xr3:uid="{00000000-0010-0000-0D00-000064000000}" name="Promo NS март" dataDxfId="307"/>
    <tableColumn id="101" xr3:uid="{00000000-0010-0000-0D00-000065000000}" name="Promo NS апрель" dataDxfId="306"/>
    <tableColumn id="102" xr3:uid="{00000000-0010-0000-0D00-000066000000}" name="Promo NS май" dataDxfId="305"/>
    <tableColumn id="103" xr3:uid="{00000000-0010-0000-0D00-000067000000}" name="Promo NS июнь" dataDxfId="304"/>
    <tableColumn id="104" xr3:uid="{00000000-0010-0000-0D00-000068000000}" name="Promo NS июль" dataDxfId="303"/>
    <tableColumn id="105" xr3:uid="{00000000-0010-0000-0D00-000069000000}" name="Promo NS август" dataDxfId="302"/>
    <tableColumn id="106" xr3:uid="{00000000-0010-0000-0D00-00006A000000}" name="Promo NS сентябрь" dataDxfId="301"/>
    <tableColumn id="107" xr3:uid="{00000000-0010-0000-0D00-00006B000000}" name="Promo NS октябрь" dataDxfId="300"/>
    <tableColumn id="108" xr3:uid="{00000000-0010-0000-0D00-00006C000000}" name="Promo NS ноябрь" dataDxfId="299"/>
    <tableColumn id="109" xr3:uid="{00000000-0010-0000-0D00-00006D000000}" name="Promo NS декабрь" dataDxfId="298"/>
    <tableColumn id="110" xr3:uid="{00000000-0010-0000-0D00-00006E000000}" name="GP Value январь" dataDxfId="297"/>
    <tableColumn id="111" xr3:uid="{00000000-0010-0000-0D00-00006F000000}" name="GP Value февраль" dataDxfId="296"/>
    <tableColumn id="112" xr3:uid="{00000000-0010-0000-0D00-000070000000}" name="GP Value март" dataDxfId="295"/>
    <tableColumn id="113" xr3:uid="{00000000-0010-0000-0D00-000071000000}" name="GP Value апрель" dataDxfId="294"/>
    <tableColumn id="114" xr3:uid="{00000000-0010-0000-0D00-000072000000}" name="GP Value май" dataDxfId="293"/>
    <tableColumn id="115" xr3:uid="{00000000-0010-0000-0D00-000073000000}" name="GP Value июнь" dataDxfId="292"/>
    <tableColumn id="116" xr3:uid="{00000000-0010-0000-0D00-000074000000}" name="GP Value июль" dataDxfId="291"/>
    <tableColumn id="117" xr3:uid="{00000000-0010-0000-0D00-000075000000}" name="GP Value август" dataDxfId="290"/>
    <tableColumn id="118" xr3:uid="{00000000-0010-0000-0D00-000076000000}" name="GP Value сентябрь" dataDxfId="289"/>
    <tableColumn id="119" xr3:uid="{00000000-0010-0000-0D00-000077000000}" name="GP Value октябрь" dataDxfId="288"/>
    <tableColumn id="120" xr3:uid="{00000000-0010-0000-0D00-000078000000}" name="GP Value ноябрь" dataDxfId="287"/>
    <tableColumn id="121" xr3:uid="{00000000-0010-0000-0D00-000079000000}" name="GP Value декабрь" dataDxfId="2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85" dataDxfId="284" headerRowCellStyle="Обычный 2" dataCellStyle="Обычный 2">
  <autoFilter ref="A13:V14" xr:uid="{ADF718DD-67AC-4401-B168-AFEE638B048C}"/>
  <tableColumns count="22">
    <tableColumn id="22" xr3:uid="{361E8588-935C-493B-A7CF-935B5D4480B5}" name="Id" dataDxfId="283" dataCellStyle="Обычный 2"/>
    <tableColumn id="1" xr3:uid="{AC1F4D41-C0A8-443D-9E3C-D9C4FF50F830}" name="КАТЕГОРИЯ" dataDxfId="282" dataCellStyle="Обычный 2"/>
    <tableColumn id="2" xr3:uid="{20B689EB-7652-4723-BFAB-8C7C64C8FD7A}" name="Фото продукта" dataDxfId="281" dataCellStyle="Обычный 2"/>
    <tableColumn id="3" xr3:uid="{8821E9F1-B085-4717-B559-CDD126769DA7}" name="Продукт группа - название" dataDxfId="280" dataCellStyle="Обычный 2"/>
    <tableColumn id="4" xr3:uid="{A99D0144-C997-463C-9A1D-9B08CF9140E1}" name="Артикул GARDENA" dataDxfId="279" dataCellStyle="Обычный 2"/>
    <tableColumn id="5" xr3:uid="{ED79FFB3-1BA8-4E97-9A5F-C09EAECD5CB1}" name="Артикул предшествующего продукта (если есть)" dataDxfId="278" dataCellStyle="Обычный 2"/>
    <tableColumn id="6" xr3:uid="{71EF79FE-B1E9-4844-9BB4-A63692EDA3AE}" name="Название" dataDxfId="277" dataCellStyle="Обычный 2"/>
    <tableColumn id="7" xr3:uid="{5A0F710D-9900-48D2-A5A0-EE9A1926CA9F}" name="Описание" dataDxfId="276" dataCellStyle="Обычный 2"/>
    <tableColumn id="8" xr3:uid="{0709C17B-24E7-4283-B7CD-103780E925FD}" name="РРЦ 2020, руб. с НДС" dataDxfId="275" dataCellStyle="Обычный 2"/>
    <tableColumn id="9" xr3:uid="{7346265F-E87E-4F08-A3D6-0027CF43A157}" name="EAN штуки" dataDxfId="274" dataCellStyle="Обычный 2"/>
    <tableColumn id="10" xr3:uid="{2C8CCB7E-EDD1-482F-A1E4-EC04C692D1EA}" name="страна производства" dataDxfId="273" dataCellStyle="Обычный 2"/>
    <tableColumn id="11" xr3:uid="{6995D219-9DF9-4115-8CDC-849E890401E6}" name="единица измерения" dataDxfId="272" dataCellStyle="Обычный 2"/>
    <tableColumn id="12" xr3:uid="{1A1113D4-0FC3-4FC9-8993-94D48C5B7E0B}" name="кол-во в мастер-паке" dataDxfId="271" dataCellStyle="Финансовый 2"/>
    <tableColumn id="13" xr3:uid="{085F48D9-0BB4-48CA-BB0A-E910E6B6C9E8}" name="Вес гросс штуки, финальный" dataDxfId="270" dataCellStyle="Обычный 2"/>
    <tableColumn id="14" xr3:uid="{2834A4E1-0E95-43BB-97C8-392563130CF3}" name="Вес нетто штуки, финальный" dataDxfId="269" dataCellStyle="Обычный 2"/>
    <tableColumn id="15" xr3:uid="{5BEC7C38-B443-4DCB-BE49-1848A79C42F9}" name="Длина упаковки" dataDxfId="268" dataCellStyle="Обычный 2"/>
    <tableColumn id="16" xr3:uid="{7C9AB8E1-B1C6-47E3-9BE8-5A1D1C646B25}" name="Ширина упаковки" dataDxfId="267" dataCellStyle="Обычный 2"/>
    <tableColumn id="17" xr3:uid="{10918133-09A5-4117-B3B1-E785EFE65B4A}" name="Высота упаковки" dataDxfId="266" dataCellStyle="Обычный 2"/>
    <tableColumn id="18" xr3:uid="{DE26A25B-99E8-4A9D-8AFE-A2E1D13A4931}" name="Объем упаковки" dataDxfId="265" dataCellStyle="Обычный 2"/>
    <tableColumn id="19" xr3:uid="{9AF542A1-08A7-49E6-9900-1EB99D7350D1}" name="Кол-во штук на паллете" dataDxfId="264" dataCellStyle="Финансовый 2"/>
    <tableColumn id="20" xr3:uid="{9B215DDF-BCA2-477C-8AFA-BC848C8FF031}" name="Сертификация" dataDxfId="263" dataCellStyle="Обычный 2"/>
    <tableColumn id="21" xr3:uid="{76E684EA-EAE5-44EF-8156-B78DA5E17975}" name="Гарантия" dataDxfId="262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61" dataDxfId="260" tableBorderDxfId="259" headerRowCellStyle="Обычный 2" dataCellStyle="Обычный 2">
  <autoFilter ref="A6:HO7" xr:uid="{42BACFC5-5E64-476B-A3DB-892D30BB8DF2}"/>
  <tableColumns count="223">
    <tableColumn id="214" xr3:uid="{ED363292-9191-4905-92F7-B2A0D9D6DDCB}" name="№" dataDxfId="258" dataCellStyle="Обычный 2"/>
    <tableColumn id="1" xr3:uid="{4545771D-2DE7-4A36-9A9B-05CA9607D752}" name="Артикул" dataDxfId="257" dataCellStyle="Обычный 2"/>
    <tableColumn id="2" xr3:uid="{559CB638-BDA2-4A52-AA4F-7160E63546D4}" name="РРЦ, руб.с НДС" dataDxfId="256" dataCellStyle="Обычный 2"/>
    <tableColumn id="3" xr3:uid="{7D569CF0-F34D-4426-8591-FDEBCF14DE3C}" name="Процент изменения" dataDxfId="255" dataCellStyle="Обычный 2"/>
    <tableColumn id="4" xr3:uid="{1DC3AA0D-D670-4794-8AF1-C04A0A387315}" name="STK 2.5,  Eur" dataDxfId="254" dataCellStyle="Обычный 2"/>
    <tableColumn id="5" xr3:uid="{EE57BC20-AFCE-4EE3-8EDF-7461A2CA0BC6}" name="STK 2.5, руб." dataDxfId="253" dataCellStyle="Обычный 2"/>
    <tableColumn id="6" xr3:uid="{9E61B737-3111-4868-AAD1-89F1AF64D19E}" name="IRP, Eur" dataDxfId="252" dataCellStyle="Обычный 2"/>
    <tableColumn id="7" xr3:uid="{1E5FE8BF-50B0-4274-8735-FDD3DE2A74AB}" name="РРЦ, руб.с НДС2" dataDxfId="251" dataCellStyle="Обычный 2"/>
    <tableColumn id="8" xr3:uid="{68D166DE-1C85-4A99-B4EB-F67E16BF5C59}" name="Индекс IRP" dataDxfId="250" dataCellStyle="Обычный 2"/>
    <tableColumn id="9" xr3:uid="{F6A2BBA5-3D1B-42BB-A99D-100FB259FFF1}" name="DIY price list, руб. без НДС" dataDxfId="249" dataCellStyle="Обычный 2"/>
    <tableColumn id="10" xr3:uid="{A3D06AC1-53DF-47CA-BFF2-88C03E561EC8}" name="Delta, %" dataDxfId="248" dataCellStyle="Обычный 2"/>
    <tableColumn id="11" xr3:uid="{97C7AA4C-785B-49E1-94F1-B25CC649E1D7}" name="2 net цена, руб." dataDxfId="247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46" dataCellStyle="Обычный 2"/>
    <tableColumn id="13" xr3:uid="{70706C25-4209-4C19-981D-B25AB77BD90C}" name="3 net цена, руб." dataDxfId="245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44" dataCellStyle="Обычный 2"/>
    <tableColumn id="15" xr3:uid="{2813B571-CE41-4B60-B0C6-90F21E18F8CB}" name="GS, руб." dataDxfId="243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42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41" dataCellStyle="Обычный 2"/>
    <tableColumn id="18" xr3:uid="{3C62EFF9-B5FA-4914-96F9-EFAAD5645B9F}" name="GP value, руб." dataDxfId="240" dataCellStyle="Обычный 2"/>
    <tableColumn id="19" xr3:uid="{A42219DF-ACAC-4333-93B1-C63C5CF7817B}" name="GP, %" dataDxfId="239" dataCellStyle="Обычный 2"/>
    <tableColumn id="20" xr3:uid="{4470B48C-0BEC-4B12-989F-23716295C070}" name="Transfer цена, руб." dataDxfId="238" dataCellStyle="Обычный 2"/>
    <tableColumn id="21" xr3:uid="{40BBCB9C-8908-41FB-B7AE-3FE5EA62DDE2}" name="ИТОГО Прогноз за год, шт. " dataDxfId="237" dataCellStyle="Обычный 2"/>
    <tableColumn id="22" xr3:uid="{93363778-B12D-444A-A3EE-AD48320856EE}" name="ИТОГО Прогноз январь, шт." dataDxfId="236" dataCellStyle="Обычный 2"/>
    <tableColumn id="23" xr3:uid="{908E10D2-A767-4E2C-AF95-059979DCC14F}" name="ИТОГО Прогноз февраль, шт." dataDxfId="235" dataCellStyle="Обычный 2"/>
    <tableColumn id="24" xr3:uid="{46961975-0E16-49DF-9A93-F9935DD2FBD3}" name="ИТОГО Прогноз март, шт." dataDxfId="234" dataCellStyle="Обычный 2"/>
    <tableColumn id="25" xr3:uid="{BA8488E0-733B-405A-A6AD-229D98321F57}" name="ИТОГО Прогноз апрель, шт." dataDxfId="233" dataCellStyle="Обычный 2"/>
    <tableColumn id="26" xr3:uid="{18260B4F-B440-459B-A635-92661BD0DA3A}" name="ИТОГО Прогноз май, шт." dataDxfId="232" dataCellStyle="Обычный 2"/>
    <tableColumn id="27" xr3:uid="{49D181C0-3DCE-4EA3-B4FD-4BC1814A2E37}" name="ИТОГО Прогноз июнь, шт." dataDxfId="231" dataCellStyle="Обычный 2"/>
    <tableColumn id="28" xr3:uid="{2E7D2C3C-48DF-4C94-B570-077067A3F9A6}" name="ИТОГО Прогноз июль, шт." dataDxfId="230" dataCellStyle="Обычный 2"/>
    <tableColumn id="29" xr3:uid="{2847D38F-2B96-4DAD-B1E0-0399B72CA62E}" name="ИТОГО Прогноз август, шт." dataDxfId="229" dataCellStyle="Обычный 2"/>
    <tableColumn id="30" xr3:uid="{27D0291D-228A-4CA3-AB32-8089F9AAAC19}" name="ИТОГО Прогноз сентрябрь, шт." dataDxfId="228" dataCellStyle="Обычный 2"/>
    <tableColumn id="31" xr3:uid="{5A8E85B3-CAE9-4B35-B9EA-737FCC96156C}" name="ИТОГО Прогноз октябрь, шт." dataDxfId="227" dataCellStyle="Обычный 2"/>
    <tableColumn id="32" xr3:uid="{DF850F56-F718-4791-AB77-F6AB637240EE}" name="ИТОГО Прогноз ноябрь, шт." dataDxfId="226" dataCellStyle="Обычный 2"/>
    <tableColumn id="33" xr3:uid="{DEFEFE78-A0FA-4457-8E8E-F1BD5D7517F1}" name="ИТОГО Прогноз декабрь, шт." dataDxfId="225" dataCellStyle="Обычный 2"/>
    <tableColumn id="34" xr3:uid="{03678C77-B1BD-4416-8928-6B0DDFD94F86}" name="ИТОГО GS за год, руб." dataDxfId="224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23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22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21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20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19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18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17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16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рябрь, шт." dataDxfId="215" dataCellStyle="Обычный 2">
      <calculatedColumnFormula>IFERROR(Планирование_новый_год[[#This Row],[GS сентрябрь, руб.]],"")</calculatedColumnFormula>
    </tableColumn>
    <tableColumn id="44" xr3:uid="{50F7DDF4-277A-4D3C-B1B5-D855ADC9B928}" name="ИТОГО GS октябрь, шт." dataDxfId="214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13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12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11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10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09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08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07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06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05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04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03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рябрь, шт." dataDxfId="202" dataCellStyle="Обычный 2">
      <calculatedColumnFormula>IFERROR(Планирование_новый_год[[#This Row],[NS сентрябрь, руб.]],"")</calculatedColumnFormula>
    </tableColumn>
    <tableColumn id="56" xr3:uid="{A619A9F2-29C1-4568-B8B5-7AF0757568B5}" name="ИТОГО NS октябрь, шт." dataDxfId="201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00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199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198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197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196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195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194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193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192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191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190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рябрь, руб." dataDxfId="189" dataCellStyle="Обычный 2">
      <calculatedColumnFormula>IFERROR(Планирование_новый_год[[#This Row],[ИТОГО Прогноз сентрябрь, шт.]]*Планирование_новый_год[[#This Row],[STK 2.5, руб.]],"")</calculatedColumnFormula>
    </tableColumn>
    <tableColumn id="68" xr3:uid="{6C7314D7-062A-4B94-A7AF-1DD87D0CB235}" name="ИТОГО LC октябрь, руб." dataDxfId="188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87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86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85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84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83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82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81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80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79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78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77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рябрь, руб." dataDxfId="176" dataCellStyle="Обычный 2">
      <calculatedColumnFormula>IFERROR(Планирование_новый_год[[#This Row],[GP, %]]/Планирование_новый_год[[#This Row],[ИТОГО NS сентрябрь, шт.]],"")</calculatedColumnFormula>
    </tableColumn>
    <tableColumn id="81" xr3:uid="{7A1CD32C-E00F-46B3-AB1C-6E87C8996EB1}" name="ИТОГО GP value октябрь, руб." dataDxfId="175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74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73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72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71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70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69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68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67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66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65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64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рябрь" dataDxfId="163" dataCellStyle="Обычный 2">
      <calculatedColumnFormula>IFERROR(1-Планирование_новый_год[[#This Row],[LC, руб.]]/Планирование_новый_год[[#This Row],[ИТОГО NS сентрябрь, шт.]],"")</calculatedColumnFormula>
    </tableColumn>
    <tableColumn id="93" xr3:uid="{269D5AA7-C0CA-43DF-A58F-6398B2F52C53}" name="ИТОГО GP % октябрь" dataDxfId="162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61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60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59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58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57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56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55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54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53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52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51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рябрь" dataDxfId="150" dataCellStyle="Обычный 2">
      <calculatedColumnFormula>IFERROR(Планирование_новый_год[[#This Row],[ИТОГО GS сентрябрь, шт.]]/Планирование_новый_год[[#This Row],[ИТОГО Прогноз сентрябрь, шт.]],"")</calculatedColumnFormula>
    </tableColumn>
    <tableColumn id="105" xr3:uid="{5FA2E3B0-BC4D-4654-83AC-CE8C95E2B453}" name="ИТОГО 2 net цена октябрь" dataDxfId="149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48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47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46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45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44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43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42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41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40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39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38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рябрь" dataDxfId="137" dataCellStyle="Обычный 2">
      <calculatedColumnFormula>IFERROR(Планирование_новый_год[[#This Row],[ИТОГО NS сентрябрь, шт.]]/Планирование_новый_год[[#This Row],[ИТОГО Прогноз сентрябрь, шт.]],"")</calculatedColumnFormula>
    </tableColumn>
    <tableColumn id="117" xr3:uid="{4D6F8372-E0B1-4F55-9C50-EFA57FA4E71F}" name="ИТОГО 3 net цена октябрь" dataDxfId="136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35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34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33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32" dataCellStyle="Обычный 2"/>
    <tableColumn id="121" xr3:uid="{AEBFF562-F492-4939-AD61-FC704C42BB1A}" name="Прогноз за год, шт. " dataDxfId="131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30" dataCellStyle="Обычный 2"/>
    <tableColumn id="123" xr3:uid="{2839AD92-79C7-4E71-86D9-300214B21A9F}" name="Прогноз февраль, шт." dataDxfId="129" dataCellStyle="Обычный 2"/>
    <tableColumn id="124" xr3:uid="{D42301EC-9C8F-4BAE-9D6D-E85D88213C3D}" name="Прогноз март, шт." dataDxfId="128" dataCellStyle="Обычный 2"/>
    <tableColumn id="125" xr3:uid="{70D21021-AF36-448A-9C16-802308CF3A04}" name="Прогноз апрель, шт." dataDxfId="127" dataCellStyle="Обычный 2"/>
    <tableColumn id="126" xr3:uid="{287963E4-1476-42B8-9811-E72429AC5302}" name="Прогноз май, шт." dataDxfId="126" dataCellStyle="Обычный 2"/>
    <tableColumn id="127" xr3:uid="{E05A0901-8206-4D05-A43B-AC909AB7A0DA}" name="Прогноз июнь, шт." dataDxfId="125" dataCellStyle="Обычный 2"/>
    <tableColumn id="128" xr3:uid="{B898803E-8C15-43CB-81B5-B5D48EAEA11C}" name="Прогноз июль, шт." dataDxfId="124" dataCellStyle="Обычный 2"/>
    <tableColumn id="129" xr3:uid="{91354A95-A1CB-444F-97FC-F4DD6D08B671}" name="Прогноз август, шт." dataDxfId="123" dataCellStyle="Обычный 2"/>
    <tableColumn id="130" xr3:uid="{2F35C430-D3FE-496C-A9F9-8092F794A4A3}" name="Прогноз сентрябрь, шт." dataDxfId="122" dataCellStyle="Обычный 2"/>
    <tableColumn id="131" xr3:uid="{5642E94C-9632-4B78-B204-7E2258E25461}" name="Прогноз октябрь, шт." dataDxfId="121" dataCellStyle="Обычный 2"/>
    <tableColumn id="132" xr3:uid="{0FD7506A-FCE6-457F-B536-83CFBA0D544B}" name="Прогноз ноябрь, шт." dataDxfId="120" dataCellStyle="Обычный 2"/>
    <tableColumn id="133" xr3:uid="{B9005289-3DFC-4152-9FAE-1A46A1FD427B}" name="Прогноз декабрь, шт." dataDxfId="119" dataCellStyle="Обычный 2"/>
    <tableColumn id="134" xr3:uid="{34CCD620-1AE3-43AA-B1CA-928C73F0C342}" name="Price list цена, руб.2" dataDxfId="118" dataCellStyle="Обычный 2"/>
    <tableColumn id="135" xr3:uid="{18DE723F-7EAE-46E1-BD94-23DDFE848850}" name="Отличие" dataDxfId="117" dataCellStyle="Обычный 2"/>
    <tableColumn id="136" xr3:uid="{07ED3DCB-598E-4755-9D06-B55F6E64C6A8}" name="Скидка от РРЦ, %6" dataDxfId="116" dataCellStyle="Обычный 2"/>
    <tableColumn id="137" xr3:uid="{7745B9F0-FDA3-438D-9CB3-26704906639D}" name="Прогноз за год, шт." dataDxfId="115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14" dataCellStyle="Обычный 2"/>
    <tableColumn id="139" xr3:uid="{8F918225-74A1-40BA-9D1A-68D1E9052381}" name="Прогноз февраль, шт.2" dataDxfId="113" dataCellStyle="Обычный 2"/>
    <tableColumn id="140" xr3:uid="{FB441A4E-5B99-442C-9DF0-5BF7A912AA26}" name="Прогноз март, шт.2" dataDxfId="112" dataCellStyle="Обычный 2"/>
    <tableColumn id="141" xr3:uid="{1D70896F-B896-424A-908E-EB7EE2ED4E4C}" name="Прогноз апрель, шт.2" dataDxfId="111" dataCellStyle="Обычный 2"/>
    <tableColumn id="142" xr3:uid="{1F5F06C9-4AD9-4A32-8F58-B3CC863077A3}" name="Прогноз май, шт.2" dataDxfId="110" dataCellStyle="Обычный 2"/>
    <tableColumn id="143" xr3:uid="{D57F2ED5-3913-4AF3-BE27-B6219DBA160C}" name="Прогноз июнь, шт.2" dataDxfId="109" dataCellStyle="Обычный 2"/>
    <tableColumn id="144" xr3:uid="{C8D040E0-B2C3-41D6-80D8-01EA4F15331B}" name="Прогноз июль, шт.2" dataDxfId="108" dataCellStyle="Обычный 2"/>
    <tableColumn id="145" xr3:uid="{E09D2FAF-B4FE-466A-8EE0-9177DE92B8B0}" name="Прогноз август, шт.2" dataDxfId="107" dataCellStyle="Обычный 2"/>
    <tableColumn id="146" xr3:uid="{B8CAD14D-F7C2-46BE-9BD0-D48769055988}" name="Прогноз сентрябрь, шт.2" dataDxfId="106" dataCellStyle="Обычный 2"/>
    <tableColumn id="147" xr3:uid="{3A858A45-F298-49DA-93A0-FA8D96C940A3}" name="Прогноз октябрь, шт.2" dataDxfId="105" dataCellStyle="Обычный 2"/>
    <tableColumn id="148" xr3:uid="{A9A047C5-3BA3-4C24-BAA6-CF870EB4EB1D}" name="Прогноз ноябрь, шт.2" dataDxfId="104" dataCellStyle="Обычный 2"/>
    <tableColumn id="149" xr3:uid="{C0C91EAC-DC10-4FB4-AF3C-C5CB3C52F470}" name="Прогноз декабрь, шт.2" dataDxfId="103" dataCellStyle="Обычный 2"/>
    <tableColumn id="150" xr3:uid="{95720B67-BEFB-46F9-9D7A-EACBE0C27803}" name="GS за год, руб." dataDxfId="102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01" dataCellStyle="Обычный 2"/>
    <tableColumn id="152" xr3:uid="{B154345C-3FA0-4C0F-9F21-B63FAA764159}" name="GS февраль, руб." dataDxfId="100" dataCellStyle="Обычный 2"/>
    <tableColumn id="153" xr3:uid="{047FCAB3-68C1-4141-BEB6-1F17D576B519}" name="GS март, руб." dataDxfId="99" dataCellStyle="Обычный 2"/>
    <tableColumn id="154" xr3:uid="{144321B0-B9C9-4251-BC6E-05C88CBA678E}" name="GS апрель, руб." dataDxfId="98" dataCellStyle="Обычный 2"/>
    <tableColumn id="155" xr3:uid="{282D38BD-530D-413E-B5BC-88C70FA35407}" name="GS май, руб." dataDxfId="97" dataCellStyle="Обычный 2"/>
    <tableColumn id="156" xr3:uid="{39A60F2C-3CE1-4BD0-8204-F53CE0263C23}" name="GS июнь, руб." dataDxfId="96" dataCellStyle="Обычный 2"/>
    <tableColumn id="157" xr3:uid="{A6D6278E-A5A9-44B9-865B-87A7FDE62A61}" name="GS июль, руб." dataDxfId="95" dataCellStyle="Обычный 2"/>
    <tableColumn id="158" xr3:uid="{7539F5C4-7C22-4F45-BCFF-6302D7BD2189}" name="GS август, руб." dataDxfId="94" dataCellStyle="Обычный 2"/>
    <tableColumn id="159" xr3:uid="{8D652B08-AEFA-48ED-A4F8-C6C181C8746E}" name="GS сентрябрь, руб." dataDxfId="93" dataCellStyle="Обычный 2"/>
    <tableColumn id="160" xr3:uid="{5F7F7B9E-B71C-4899-A7D9-61B47EB77DCC}" name="GS октябрь, руб." dataDxfId="92" dataCellStyle="Обычный 2"/>
    <tableColumn id="217" xr3:uid="{D3A908E8-1569-49F8-B631-15C0F5978FCF}" name="GS ноябрь, руб." dataDxfId="91" dataCellStyle="Обычный 2"/>
    <tableColumn id="161" xr3:uid="{206E31E0-1F5E-42FE-A4FE-47A5CBD7A439}" name="GS декабрь, руб." dataDxfId="90" dataCellStyle="Обычный 2"/>
    <tableColumn id="162" xr3:uid="{AFB09ECD-C050-4EA7-BD09-6BB5C6A3140F}" name="NS за год, руб." dataDxfId="89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88" dataCellStyle="Обычный 2"/>
    <tableColumn id="164" xr3:uid="{D54B5704-8F04-4DF2-8F35-91A35DFB62AF}" name="NS февраль, руб." dataDxfId="87" dataCellStyle="Обычный 2"/>
    <tableColumn id="165" xr3:uid="{1347DE14-4422-4B27-862F-D4B866C3E2A9}" name="NS март, руб." dataDxfId="86" dataCellStyle="Обычный 2"/>
    <tableColumn id="166" xr3:uid="{A52CB30A-6520-493C-9C46-DFCACC9E4CFF}" name="NS апрель, руб." dataDxfId="85" dataCellStyle="Обычный 2"/>
    <tableColumn id="167" xr3:uid="{4FACDA9F-2874-40F2-8773-8D83A50FB1F6}" name="NS май, руб." dataDxfId="84" dataCellStyle="Обычный 2"/>
    <tableColumn id="168" xr3:uid="{4B4794F3-CE7B-49BF-B94B-C7017A225C3D}" name="NS июнь, руб." dataDxfId="83" dataCellStyle="Обычный 2"/>
    <tableColumn id="169" xr3:uid="{DC7EED99-8803-4798-B203-076E3BD5E593}" name="NS июль, руб." dataDxfId="82" dataCellStyle="Обычный 2"/>
    <tableColumn id="170" xr3:uid="{C1514E80-3555-441E-8C30-9AF8AFAE9A8A}" name="NS август, руб." dataDxfId="81" dataCellStyle="Обычный 2"/>
    <tableColumn id="171" xr3:uid="{7544C462-E994-4D9D-BA94-942FF60B7050}" name="NS сентрябрь, руб." dataDxfId="80" dataCellStyle="Обычный 2"/>
    <tableColumn id="172" xr3:uid="{3B004F10-4B0A-42A5-B230-BF575CDE7DDC}" name="NS октябрь, руб." dataDxfId="79" dataCellStyle="Обычный 2"/>
    <tableColumn id="173" xr3:uid="{1F873C73-8E9D-44B4-98C1-6F3B641C65A8}" name="NS ноябрь, руб." dataDxfId="78" dataCellStyle="Обычный 2"/>
    <tableColumn id="174" xr3:uid="{7975EF04-71E5-4B54-99CD-904D7CBBDB3C}" name="NS декабрь, шт." dataDxfId="77" dataCellStyle="Обычный 2"/>
    <tableColumn id="175" xr3:uid="{F1CF01AA-9991-48AF-A677-74B1846236D2}" name="Промо цена, руб." dataDxfId="76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75" dataCellStyle="Обычный 2"/>
    <tableColumn id="177" xr3:uid="{D39B0F7F-FD54-4EAC-A3A5-894EB33CADE4}" name="Промо прогноз за год, шт. " dataDxfId="74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73" dataCellStyle="Обычный 2"/>
    <tableColumn id="179" xr3:uid="{0F88930D-A57D-47EF-AE42-9DFAF94D17BE}" name="Промо прогноз февраль, шт." dataDxfId="72" dataCellStyle="Обычный 2"/>
    <tableColumn id="180" xr3:uid="{C945DC34-6A08-4C5D-A199-143506BF490B}" name="Промо прогноз март, шт." dataDxfId="71" dataCellStyle="Обычный 2"/>
    <tableColumn id="181" xr3:uid="{6661CDAD-6FDA-493A-867A-C46B8CA9B709}" name="Промо прогноз апрель, шт." dataDxfId="70" dataCellStyle="Обычный 2"/>
    <tableColumn id="182" xr3:uid="{F8340B39-63B5-4596-A24E-DA8929E9C81D}" name="Промо прогноз май, шт." dataDxfId="69" dataCellStyle="Обычный 2"/>
    <tableColumn id="183" xr3:uid="{66F0D4F8-0ABB-42EE-8CB1-FEF1BE84D9F0}" name="Промо прогноз июнь, шт." dataDxfId="68" dataCellStyle="Обычный 2"/>
    <tableColumn id="184" xr3:uid="{6E84C991-4323-493F-B846-129CAE7AE021}" name="Промо прогноз июль, шт." dataDxfId="67" dataCellStyle="Обычный 2"/>
    <tableColumn id="185" xr3:uid="{E503C206-2D69-4EA7-B94D-4F8146B5B91F}" name="Промо прогноз август, шт." dataDxfId="66" dataCellStyle="Обычный 2"/>
    <tableColumn id="186" xr3:uid="{7CBFEC54-C246-420A-8A2E-8F940D85414B}" name="Промо прогноз сентрябрь, шт." dataDxfId="65" dataCellStyle="Обычный 2"/>
    <tableColumn id="187" xr3:uid="{DA64A246-B583-47DF-87C4-DD4C3D934623}" name="Промо прогноз октябрь, шт." dataDxfId="64" dataCellStyle="Обычный 2"/>
    <tableColumn id="188" xr3:uid="{EFA6D77C-0A52-48C3-9325-6A0345C55136}" name="Промо прогноз ноябрь, шт." dataDxfId="63" dataCellStyle="Обычный 2"/>
    <tableColumn id="189" xr3:uid="{9ECDA3F6-5006-4D02-921F-BBF7A4430342}" name="Промо прогноз декабрь, шт." dataDxfId="62" dataCellStyle="Обычный 2"/>
    <tableColumn id="190" xr3:uid="{2E9B801B-4FA2-4A70-B686-F55613792C7E}" name="Промо GS за год, руб." dataDxfId="61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60" dataCellStyle="Обычный 2"/>
    <tableColumn id="192" xr3:uid="{27E1950D-DEDD-42CB-8B11-530BFB23DA7B}" name="Промо GS февраль, руб." dataDxfId="59" dataCellStyle="Обычный 2"/>
    <tableColumn id="193" xr3:uid="{157C481E-E786-42F1-A5E3-C518C3878114}" name="Промо GS март, руб." dataDxfId="58" dataCellStyle="Обычный 2"/>
    <tableColumn id="194" xr3:uid="{2D7AB503-6E7C-47A0-A13C-95E44A53E45F}" name="Промо GS апрель, руб." dataDxfId="57" dataCellStyle="Обычный 2"/>
    <tableColumn id="195" xr3:uid="{5EEBE0D8-485D-44E6-AB1A-21BC6D54C67C}" name="Промо GS май, руб." dataDxfId="56" dataCellStyle="Обычный 2"/>
    <tableColumn id="196" xr3:uid="{ECA30F18-8263-4C20-9898-F58F3B4C0C61}" name="Промо GS июнь, руб." dataDxfId="55" dataCellStyle="Обычный 2"/>
    <tableColumn id="197" xr3:uid="{C0DA0FC5-FBEB-45F6-A4CD-BCDA7E3200B0}" name="Промо GS июль, руб." dataDxfId="54" dataCellStyle="Обычный 2"/>
    <tableColumn id="198" xr3:uid="{B3915587-754B-4135-B1E8-8145147CE2C7}" name="Промо GS август, руб." dataDxfId="53" dataCellStyle="Обычный 2"/>
    <tableColumn id="199" xr3:uid="{D17DE2C7-DC0C-4950-A166-9025469D6D65}" name="Промо GS сентрябрь, руб." dataDxfId="52" dataCellStyle="Обычный 2"/>
    <tableColumn id="200" xr3:uid="{2B2AE1C2-7433-48B7-BA08-11D2F0620A1D}" name="Промо GS октябрь, руб." dataDxfId="51" dataCellStyle="Обычный 2"/>
    <tableColumn id="216" xr3:uid="{354BFC04-1A0F-4B87-8627-44410ED6D43E}" name="Промо GS ноябрь, руб." dataDxfId="50" dataCellStyle="Обычный 2"/>
    <tableColumn id="201" xr3:uid="{9AC442F2-2998-4CAB-AAE7-2B1A21693F5A}" name="Промо GS декабрь, руб." dataDxfId="49" dataCellStyle="Обычный 2"/>
    <tableColumn id="202" xr3:uid="{DAFF80EF-3813-4B72-B3F7-2CAA028854D6}" name="Промо NS за год, руб." dataDxfId="48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47" dataCellStyle="Обычный 2"/>
    <tableColumn id="204" xr3:uid="{35E3D396-28F4-413D-B2B2-0E2BB0585244}" name="Промо NS февраль, руб." dataDxfId="46" dataCellStyle="Обычный 2"/>
    <tableColumn id="205" xr3:uid="{4F318F4D-E885-4D9C-9D9F-CF0A3C2C6BA2}" name="Промо NS март, руб." dataDxfId="45" dataCellStyle="Обычный 2"/>
    <tableColumn id="206" xr3:uid="{99B1517D-168F-4186-89B6-63BF7A239C96}" name="Промо NS апрель, руб." dataDxfId="44" dataCellStyle="Обычный 2"/>
    <tableColumn id="207" xr3:uid="{DBBF432E-D647-43CC-A714-38C9901F1894}" name="Промо NS май, руб." dataDxfId="43" dataCellStyle="Обычный 2"/>
    <tableColumn id="208" xr3:uid="{93A08434-326F-4361-BE56-4A70696F5830}" name="Промо NS июнь, руб." dataDxfId="42" dataCellStyle="Обычный 2"/>
    <tableColumn id="209" xr3:uid="{593FE06D-D4C0-47A8-92DD-754488C80C51}" name="Промо NS июль, руб." dataDxfId="41" dataCellStyle="Обычный 2"/>
    <tableColumn id="210" xr3:uid="{D178C12F-4DB2-4EAA-8EEE-7D7C4BB872E4}" name="Промо NS август, руб." dataDxfId="40" dataCellStyle="Обычный 2"/>
    <tableColumn id="211" xr3:uid="{B41DFE96-B74A-4542-BD55-0B04CFAE9EF2}" name="Промо NS сентрябрь, руб." dataDxfId="39" dataCellStyle="Обычный 2"/>
    <tableColumn id="212" xr3:uid="{3163229D-ADBC-40C9-AA76-04B56B188315}" name="Промо NS октябрь, руб." dataDxfId="38" dataCellStyle="Обычный 2"/>
    <tableColumn id="215" xr3:uid="{2F796790-7D20-4A03-8014-43D2CB92CD70}" name="Промо NS ноябрь, руб." dataDxfId="37" dataCellStyle="Обычный 2"/>
    <tableColumn id="213" xr3:uid="{F14CE16E-EA38-415A-819F-EB069FF96078}" name="Промо NS декабрь, руб." dataDxfId="36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5">
  <autoFilter ref="A1:C2" xr:uid="{00000000-0009-0000-0100-000005000000}"/>
  <tableColumns count="3">
    <tableColumn id="1" xr3:uid="{00000000-0010-0000-0400-000001000000}" name="№" dataDxfId="34"/>
    <tableColumn id="2" xr3:uid="{00000000-0010-0000-0400-000002000000}" name="Название" dataDxfId="33"/>
    <tableColumn id="3" xr3:uid="{00000000-0010-0000-0400-000003000000}" name="Путь к файлу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31" dataCellStyle="Финансовый"/>
    <tableColumn id="2" xr3:uid="{00000000-0010-0000-0000-000002000000}" name="Суперкатегория (ENG)" dataDxfId="30"/>
    <tableColumn id="3" xr3:uid="{00000000-0010-0000-0000-000003000000}" name="Суперкатегория (RUS)" dataDxfId="29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8" dataDxfId="27">
  <autoFilter ref="A1:D33" xr:uid="{00000000-0009-0000-0100-000002000000}"/>
  <tableColumns count="4">
    <tableColumn id="1" xr3:uid="{00000000-0010-0000-0100-000001000000}" name="№" dataDxfId="26"/>
    <tableColumn id="2" xr3:uid="{00000000-0010-0000-0100-000002000000}" name="Продукт группа" dataDxfId="25"/>
    <tableColumn id="3" xr3:uid="{00000000-0010-0000-0100-000003000000}" name="Название продукт группы (ENG)" dataDxfId="24"/>
    <tableColumn id="4" xr3:uid="{00000000-0010-0000-0100-000004000000}" name="Название продукт группы (RUS)" dataDxfId="23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2"/>
    <tableColumn id="2" xr3:uid="{00000000-0010-0000-0200-000002000000}" name="Статус" dataDxfId="21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7" dataDxfId="16">
  <autoFilter ref="A1:E9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0" tableBorderDxfId="9">
  <autoFilter ref="A1:C3" xr:uid="{00000000-0009-0000-0100-00000B000000}"/>
  <tableColumns count="3">
    <tableColumn id="1" xr3:uid="{00000000-0010-0000-0800-000001000000}" name="№" dataDxfId="8"/>
    <tableColumn id="2" xr3:uid="{00000000-0010-0000-0800-000002000000}" name="Дата принятия" dataDxfId="7"/>
    <tableColumn id="3" xr3:uid="{00000000-0010-0000-0800-000003000000}" name="Процент от РРЦ, без НДС" dataDxfId="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opLeftCell="AL1" zoomScaleNormal="100" workbookViewId="0">
      <pane ySplit="2" topLeftCell="A3" activePane="bottomLeft" state="frozen"/>
      <selection pane="bottomLeft" activeCell="AP14" sqref="AP14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246</v>
      </c>
      <c r="AP1" s="56">
        <v>43863</v>
      </c>
      <c r="AQ1" s="53"/>
      <c r="AS1" s="36" t="s">
        <v>245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170</v>
      </c>
      <c r="R2" s="52" t="s">
        <v>171</v>
      </c>
      <c r="S2" s="52" t="s">
        <v>172</v>
      </c>
      <c r="T2" s="52" t="s">
        <v>189</v>
      </c>
      <c r="U2" s="45" t="s">
        <v>188</v>
      </c>
      <c r="V2" s="45" t="s">
        <v>173</v>
      </c>
      <c r="W2" s="45" t="s">
        <v>192</v>
      </c>
      <c r="X2" s="45" t="s">
        <v>174</v>
      </c>
      <c r="Y2" s="45" t="s">
        <v>187</v>
      </c>
      <c r="Z2" s="45" t="s">
        <v>175</v>
      </c>
      <c r="AA2" s="45" t="s">
        <v>186</v>
      </c>
      <c r="AB2" s="45" t="s">
        <v>185</v>
      </c>
      <c r="AC2" s="45" t="s">
        <v>176</v>
      </c>
      <c r="AD2" s="45" t="s">
        <v>177</v>
      </c>
      <c r="AE2" s="45" t="s">
        <v>184</v>
      </c>
      <c r="AF2" s="45" t="s">
        <v>178</v>
      </c>
      <c r="AG2" s="45" t="s">
        <v>179</v>
      </c>
      <c r="AH2" s="45" t="s">
        <v>183</v>
      </c>
      <c r="AI2" s="45" t="s">
        <v>182</v>
      </c>
      <c r="AJ2" s="45" t="s">
        <v>180</v>
      </c>
      <c r="AK2" s="45" t="s">
        <v>181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1216</v>
      </c>
      <c r="AQ2" s="33" t="s">
        <v>1217</v>
      </c>
      <c r="AR2" s="33" t="s">
        <v>241</v>
      </c>
      <c r="AS2" s="33" t="s">
        <v>243</v>
      </c>
      <c r="AT2" s="33" t="s">
        <v>242</v>
      </c>
      <c r="AU2" s="33" t="s">
        <v>244</v>
      </c>
      <c r="AV2" s="33" t="s">
        <v>67</v>
      </c>
      <c r="AW2" s="33" t="s">
        <v>247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222</v>
      </c>
      <c r="J3" s="37">
        <v>2900</v>
      </c>
      <c r="K3" s="38">
        <v>901022601</v>
      </c>
      <c r="L3" s="37" t="s">
        <v>223</v>
      </c>
      <c r="O3" s="39" t="s">
        <v>232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222</v>
      </c>
      <c r="J4" s="37">
        <v>18200</v>
      </c>
      <c r="K4" s="38">
        <v>967311901</v>
      </c>
      <c r="L4" s="37" t="s">
        <v>224</v>
      </c>
      <c r="O4" s="39" t="s">
        <v>232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222</v>
      </c>
      <c r="J5" s="37">
        <v>18240</v>
      </c>
      <c r="K5" s="38">
        <v>967668901</v>
      </c>
      <c r="L5" s="37" t="s">
        <v>225</v>
      </c>
      <c r="M5" s="37" t="s">
        <v>231</v>
      </c>
      <c r="O5" s="39" t="s">
        <v>233</v>
      </c>
      <c r="AL5" s="44" t="s">
        <v>237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222</v>
      </c>
      <c r="J6" s="37">
        <v>2901</v>
      </c>
      <c r="K6" s="38">
        <v>901023001</v>
      </c>
      <c r="L6" s="37" t="s">
        <v>226</v>
      </c>
      <c r="O6" s="39" t="s">
        <v>234</v>
      </c>
      <c r="AL6" s="44" t="s">
        <v>12</v>
      </c>
      <c r="AM6" s="37" t="s">
        <v>238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222</v>
      </c>
      <c r="J7" s="37">
        <v>18201</v>
      </c>
      <c r="K7" s="38">
        <v>967312401</v>
      </c>
      <c r="L7" s="37" t="s">
        <v>227</v>
      </c>
      <c r="O7" s="39" t="s">
        <v>234</v>
      </c>
      <c r="AM7" s="37" t="s">
        <v>239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222</v>
      </c>
      <c r="J8" s="37">
        <v>18241</v>
      </c>
      <c r="K8" s="38">
        <v>967666401</v>
      </c>
      <c r="L8" s="37" t="s">
        <v>228</v>
      </c>
      <c r="M8" s="37" t="s">
        <v>231</v>
      </c>
      <c r="O8" s="39" t="s">
        <v>235</v>
      </c>
      <c r="AM8" s="37" t="s">
        <v>240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222</v>
      </c>
      <c r="J9" s="37">
        <v>2902</v>
      </c>
      <c r="K9" s="38">
        <v>901023401</v>
      </c>
      <c r="L9" s="37" t="s">
        <v>229</v>
      </c>
      <c r="O9" s="39" t="s">
        <v>236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222</v>
      </c>
      <c r="J10" s="37">
        <v>18202</v>
      </c>
      <c r="K10" s="38">
        <v>967312801</v>
      </c>
      <c r="L10" s="37" t="s">
        <v>230</v>
      </c>
      <c r="O10" s="39" t="s">
        <v>236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500" priority="6">
      <formula>$AL3="Новинка следующего года"</formula>
    </cfRule>
    <cfRule type="expression" dxfId="499" priority="7">
      <formula>$AL3="Новинка текущего года"</formula>
    </cfRule>
    <cfRule type="expression" dxfId="498" priority="8">
      <formula>$AL3="Выведено из ассортимента текущего года"</formula>
    </cfRule>
  </conditionalFormatting>
  <conditionalFormatting sqref="AM3:AM10">
    <cfRule type="expression" dxfId="497" priority="2">
      <formula>OR(AM3="Dealer",AM3="Regional",AM3="Online")</formula>
    </cfRule>
    <cfRule type="cellIs" dxfId="496" priority="3" operator="equal">
      <formula>"DIY канал"</formula>
    </cfRule>
    <cfRule type="cellIs" dxfId="495" priority="4" operator="equal">
      <formula>"ОБИ"</formula>
    </cfRule>
    <cfRule type="cellIs" dxfId="494" priority="5" operator="equal">
      <formula>"ЛЕРУА МЕРЛЕН"</formula>
    </cfRule>
  </conditionalFormatting>
  <conditionalFormatting sqref="AV3:AV10">
    <cfRule type="cellIs" dxfId="493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744</v>
      </c>
      <c r="B2" s="27" t="s">
        <v>248</v>
      </c>
      <c r="C2" s="54" t="s">
        <v>249</v>
      </c>
      <c r="D2" s="27" t="s">
        <v>250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252</v>
      </c>
      <c r="H2" s="27">
        <v>2555</v>
      </c>
    </row>
    <row r="3" spans="1:8" x14ac:dyDescent="0.25">
      <c r="A3" s="32" t="s">
        <v>745</v>
      </c>
      <c r="B3" s="27" t="s">
        <v>248</v>
      </c>
      <c r="C3" s="54" t="s">
        <v>253</v>
      </c>
      <c r="D3" s="27" t="s">
        <v>250</v>
      </c>
      <c r="E3" s="27" t="s">
        <v>254</v>
      </c>
      <c r="F3" s="55" t="str">
        <f>VLOOKUP(Клиенты[[#This Row],[GardenaChannel]],GardenChannel[[GardenChannel]:[Sales manager]],2,0)</f>
        <v>ТАРХОВА ТАТЬЯНА</v>
      </c>
      <c r="G3" s="27" t="s">
        <v>255</v>
      </c>
    </row>
    <row r="4" spans="1:8" x14ac:dyDescent="0.25">
      <c r="A4" s="32" t="s">
        <v>746</v>
      </c>
      <c r="B4" s="27" t="s">
        <v>248</v>
      </c>
      <c r="C4" s="54" t="s">
        <v>256</v>
      </c>
      <c r="D4" s="27" t="s">
        <v>250</v>
      </c>
      <c r="E4" s="27" t="s">
        <v>257</v>
      </c>
      <c r="F4" s="55" t="str">
        <f>VLOOKUP(Клиенты[[#This Row],[GardenaChannel]],GardenChannel[[GardenChannel]:[Sales manager]],2,0)</f>
        <v>ТАРХОВА ТАТЬЯНА</v>
      </c>
      <c r="G4" s="27" t="s">
        <v>258</v>
      </c>
    </row>
    <row r="5" spans="1:8" x14ac:dyDescent="0.25">
      <c r="A5" s="32" t="s">
        <v>747</v>
      </c>
      <c r="B5" s="27" t="s">
        <v>259</v>
      </c>
      <c r="C5" s="54" t="s">
        <v>260</v>
      </c>
      <c r="D5" s="27" t="s">
        <v>430</v>
      </c>
      <c r="E5" s="27" t="s">
        <v>262</v>
      </c>
      <c r="F5" s="55" t="str">
        <f>VLOOKUP(Клиенты[[#This Row],[GardenaChannel]],GardenChannel[[GardenChannel]:[Sales manager]],2,0)</f>
        <v>АЛЕКСАНДРОВ ИГОРЬ</v>
      </c>
      <c r="H5" s="27" t="s">
        <v>259</v>
      </c>
    </row>
    <row r="6" spans="1:8" x14ac:dyDescent="0.25">
      <c r="A6" s="32" t="s">
        <v>748</v>
      </c>
      <c r="B6" s="27" t="s">
        <v>259</v>
      </c>
      <c r="C6" s="54" t="s">
        <v>264</v>
      </c>
      <c r="D6" s="27" t="s">
        <v>261</v>
      </c>
      <c r="E6" s="27" t="s">
        <v>262</v>
      </c>
      <c r="F6" s="55" t="str">
        <f>VLOOKUP(Клиенты[[#This Row],[GardenaChannel]],GardenChannel[[GardenChannel]:[Sales manager]],2,0)</f>
        <v>АЛЕКСАНДРОВ ИГОРЬ</v>
      </c>
      <c r="H6" s="27" t="s">
        <v>259</v>
      </c>
    </row>
    <row r="7" spans="1:8" x14ac:dyDescent="0.25">
      <c r="A7" s="32" t="s">
        <v>749</v>
      </c>
      <c r="B7" s="27" t="s">
        <v>259</v>
      </c>
      <c r="C7" s="54" t="s">
        <v>265</v>
      </c>
      <c r="D7" s="27" t="s">
        <v>261</v>
      </c>
      <c r="E7" s="27" t="s">
        <v>262</v>
      </c>
      <c r="F7" s="55" t="str">
        <f>VLOOKUP(Клиенты[[#This Row],[GardenaChannel]],GardenChannel[[GardenChannel]:[Sales manager]],2,0)</f>
        <v>АЛЕКСАНДРОВ ИГОРЬ</v>
      </c>
      <c r="H7" s="27" t="s">
        <v>259</v>
      </c>
    </row>
    <row r="8" spans="1:8" x14ac:dyDescent="0.25">
      <c r="A8" s="32" t="s">
        <v>750</v>
      </c>
      <c r="B8" s="26" t="s">
        <v>259</v>
      </c>
      <c r="C8" s="54" t="s">
        <v>266</v>
      </c>
      <c r="D8" s="27" t="s">
        <v>261</v>
      </c>
      <c r="E8" s="27" t="s">
        <v>262</v>
      </c>
      <c r="F8" s="55" t="str">
        <f>VLOOKUP(Клиенты[[#This Row],[GardenaChannel]],GardenChannel[[GardenChannel]:[Sales manager]],2,0)</f>
        <v>АЛЕКСАНДРОВ ИГОРЬ</v>
      </c>
      <c r="H8" s="27" t="s">
        <v>259</v>
      </c>
    </row>
    <row r="9" spans="1:8" x14ac:dyDescent="0.25">
      <c r="A9" s="32" t="s">
        <v>751</v>
      </c>
      <c r="B9" s="27" t="s">
        <v>259</v>
      </c>
      <c r="C9" s="54" t="s">
        <v>267</v>
      </c>
      <c r="D9" s="27" t="s">
        <v>261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259</v>
      </c>
    </row>
    <row r="10" spans="1:8" x14ac:dyDescent="0.25">
      <c r="A10" s="32" t="s">
        <v>752</v>
      </c>
      <c r="B10" s="27" t="s">
        <v>259</v>
      </c>
      <c r="C10" s="54" t="s">
        <v>268</v>
      </c>
      <c r="D10" s="27" t="s">
        <v>261</v>
      </c>
      <c r="E10" s="27" t="s">
        <v>262</v>
      </c>
      <c r="F10" s="55" t="str">
        <f>VLOOKUP(Клиенты[[#This Row],[GardenaChannel]],GardenChannel[[GardenChannel]:[Sales manager]],2,0)</f>
        <v>АЛЕКСАНДРОВ ИГОРЬ</v>
      </c>
      <c r="H10" s="27" t="s">
        <v>259</v>
      </c>
    </row>
    <row r="11" spans="1:8" x14ac:dyDescent="0.25">
      <c r="A11" s="32" t="s">
        <v>753</v>
      </c>
      <c r="B11" s="27" t="s">
        <v>259</v>
      </c>
      <c r="C11" s="54" t="s">
        <v>269</v>
      </c>
      <c r="D11" s="27" t="s">
        <v>261</v>
      </c>
      <c r="E11" s="27" t="s">
        <v>262</v>
      </c>
      <c r="F11" s="55" t="str">
        <f>VLOOKUP(Клиенты[[#This Row],[GardenaChannel]],GardenChannel[[GardenChannel]:[Sales manager]],2,0)</f>
        <v>АЛЕКСАНДРОВ ИГОРЬ</v>
      </c>
      <c r="H11" s="27" t="s">
        <v>259</v>
      </c>
    </row>
    <row r="12" spans="1:8" x14ac:dyDescent="0.25">
      <c r="A12" s="32" t="s">
        <v>754</v>
      </c>
      <c r="B12" s="27" t="s">
        <v>259</v>
      </c>
      <c r="C12" s="54" t="s">
        <v>270</v>
      </c>
      <c r="D12" s="27" t="s">
        <v>261</v>
      </c>
      <c r="E12" s="27" t="s">
        <v>262</v>
      </c>
      <c r="F12" s="55" t="str">
        <f>VLOOKUP(Клиенты[[#This Row],[GardenaChannel]],GardenChannel[[GardenChannel]:[Sales manager]],2,0)</f>
        <v>АЛЕКСАНДРОВ ИГОРЬ</v>
      </c>
      <c r="H12" s="27" t="s">
        <v>259</v>
      </c>
    </row>
    <row r="13" spans="1:8" x14ac:dyDescent="0.25">
      <c r="A13" s="32" t="s">
        <v>755</v>
      </c>
      <c r="B13" s="27" t="s">
        <v>259</v>
      </c>
      <c r="C13" s="54" t="s">
        <v>271</v>
      </c>
      <c r="D13" s="27" t="s">
        <v>261</v>
      </c>
      <c r="E13" s="27" t="s">
        <v>262</v>
      </c>
      <c r="F13" s="55" t="str">
        <f>VLOOKUP(Клиенты[[#This Row],[GardenaChannel]],GardenChannel[[GardenChannel]:[Sales manager]],2,0)</f>
        <v>АЛЕКСАНДРОВ ИГОРЬ</v>
      </c>
      <c r="H13" s="27" t="s">
        <v>259</v>
      </c>
    </row>
    <row r="14" spans="1:8" x14ac:dyDescent="0.25">
      <c r="A14" s="32" t="s">
        <v>756</v>
      </c>
      <c r="B14" s="27" t="s">
        <v>259</v>
      </c>
      <c r="C14" s="54" t="s">
        <v>272</v>
      </c>
      <c r="D14" s="27" t="s">
        <v>261</v>
      </c>
      <c r="E14" s="27" t="s">
        <v>262</v>
      </c>
      <c r="F14" s="55" t="str">
        <f>VLOOKUP(Клиенты[[#This Row],[GardenaChannel]],GardenChannel[[GardenChannel]:[Sales manager]],2,0)</f>
        <v>АЛЕКСАНДРОВ ИГОРЬ</v>
      </c>
      <c r="H14" s="27" t="s">
        <v>259</v>
      </c>
    </row>
    <row r="15" spans="1:8" x14ac:dyDescent="0.25">
      <c r="A15" s="32" t="s">
        <v>757</v>
      </c>
      <c r="B15" s="27" t="s">
        <v>259</v>
      </c>
      <c r="C15" s="54" t="s">
        <v>273</v>
      </c>
      <c r="D15" s="27" t="s">
        <v>261</v>
      </c>
      <c r="E15" s="27" t="s">
        <v>262</v>
      </c>
      <c r="F15" s="55" t="str">
        <f>VLOOKUP(Клиенты[[#This Row],[GardenaChannel]],GardenChannel[[GardenChannel]:[Sales manager]],2,0)</f>
        <v>АЛЕКСАНДРОВ ИГОРЬ</v>
      </c>
      <c r="H15" s="27" t="s">
        <v>259</v>
      </c>
    </row>
    <row r="16" spans="1:8" x14ac:dyDescent="0.25">
      <c r="A16" s="32" t="s">
        <v>758</v>
      </c>
      <c r="B16" s="27" t="s">
        <v>259</v>
      </c>
      <c r="C16" s="54" t="s">
        <v>274</v>
      </c>
      <c r="D16" s="27" t="s">
        <v>261</v>
      </c>
      <c r="E16" s="27" t="s">
        <v>275</v>
      </c>
      <c r="F16" s="55" t="str">
        <f>VLOOKUP(Клиенты[[#This Row],[GardenaChannel]],GardenChannel[[GardenChannel]:[Sales manager]],2,0)</f>
        <v>АЛЕКСАНДРОВ ИГОРЬ</v>
      </c>
      <c r="H16" s="27" t="s">
        <v>259</v>
      </c>
    </row>
    <row r="17" spans="1:8" x14ac:dyDescent="0.25">
      <c r="A17" s="32" t="s">
        <v>759</v>
      </c>
      <c r="B17" s="27" t="s">
        <v>259</v>
      </c>
      <c r="C17" s="54" t="s">
        <v>276</v>
      </c>
      <c r="D17" s="27" t="s">
        <v>261</v>
      </c>
      <c r="E17" s="27" t="s">
        <v>262</v>
      </c>
      <c r="F17" s="55" t="str">
        <f>VLOOKUP(Клиенты[[#This Row],[GardenaChannel]],GardenChannel[[GardenChannel]:[Sales manager]],2,0)</f>
        <v>АЛЕКСАНДРОВ ИГОРЬ</v>
      </c>
      <c r="H17" s="27" t="s">
        <v>259</v>
      </c>
    </row>
    <row r="18" spans="1:8" x14ac:dyDescent="0.25">
      <c r="A18" s="32" t="s">
        <v>760</v>
      </c>
      <c r="B18" s="27" t="s">
        <v>259</v>
      </c>
      <c r="C18" s="54" t="s">
        <v>277</v>
      </c>
      <c r="D18" s="27" t="s">
        <v>261</v>
      </c>
      <c r="E18" s="27" t="s">
        <v>262</v>
      </c>
      <c r="F18" s="55" t="str">
        <f>VLOOKUP(Клиенты[[#This Row],[GardenaChannel]],GardenChannel[[GardenChannel]:[Sales manager]],2,0)</f>
        <v>АЛЕКСАНДРОВ ИГОРЬ</v>
      </c>
      <c r="H18" s="27" t="s">
        <v>259</v>
      </c>
    </row>
    <row r="19" spans="1:8" x14ac:dyDescent="0.25">
      <c r="A19" s="32" t="s">
        <v>761</v>
      </c>
      <c r="B19" s="27" t="s">
        <v>259</v>
      </c>
      <c r="C19" s="54" t="s">
        <v>278</v>
      </c>
      <c r="D19" s="27" t="s">
        <v>261</v>
      </c>
      <c r="E19" s="27" t="s">
        <v>262</v>
      </c>
      <c r="F19" s="55" t="str">
        <f>VLOOKUP(Клиенты[[#This Row],[GardenaChannel]],GardenChannel[[GardenChannel]:[Sales manager]],2,0)</f>
        <v>АЛЕКСАНДРОВ ИГОРЬ</v>
      </c>
      <c r="H19" s="27" t="s">
        <v>259</v>
      </c>
    </row>
    <row r="20" spans="1:8" x14ac:dyDescent="0.25">
      <c r="A20" s="32" t="s">
        <v>762</v>
      </c>
      <c r="B20" s="27" t="s">
        <v>259</v>
      </c>
      <c r="C20" s="54" t="s">
        <v>279</v>
      </c>
      <c r="D20" s="27" t="s">
        <v>261</v>
      </c>
      <c r="E20" s="27" t="s">
        <v>262</v>
      </c>
      <c r="F20" s="55" t="str">
        <f>VLOOKUP(Клиенты[[#This Row],[GardenaChannel]],GardenChannel[[GardenChannel]:[Sales manager]],2,0)</f>
        <v>АЛЕКСАНДРОВ ИГОРЬ</v>
      </c>
      <c r="H20" s="27" t="s">
        <v>259</v>
      </c>
    </row>
    <row r="21" spans="1:8" x14ac:dyDescent="0.25">
      <c r="A21" s="32" t="s">
        <v>763</v>
      </c>
      <c r="B21" s="27" t="s">
        <v>259</v>
      </c>
      <c r="C21" s="54" t="s">
        <v>280</v>
      </c>
      <c r="D21" s="27" t="s">
        <v>261</v>
      </c>
      <c r="E21" s="27" t="s">
        <v>262</v>
      </c>
      <c r="F21" s="55" t="str">
        <f>VLOOKUP(Клиенты[[#This Row],[GardenaChannel]],GardenChannel[[GardenChannel]:[Sales manager]],2,0)</f>
        <v>АЛЕКСАНДРОВ ИГОРЬ</v>
      </c>
      <c r="H21" s="27" t="s">
        <v>259</v>
      </c>
    </row>
    <row r="22" spans="1:8" x14ac:dyDescent="0.25">
      <c r="A22" s="32" t="s">
        <v>764</v>
      </c>
      <c r="B22" s="27" t="s">
        <v>259</v>
      </c>
      <c r="C22" s="54" t="s">
        <v>281</v>
      </c>
      <c r="D22" s="27" t="s">
        <v>261</v>
      </c>
      <c r="E22" s="27" t="s">
        <v>262</v>
      </c>
      <c r="F22" s="55" t="str">
        <f>VLOOKUP(Клиенты[[#This Row],[GardenaChannel]],GardenChannel[[GardenChannel]:[Sales manager]],2,0)</f>
        <v>АЛЕКСАНДРОВ ИГОРЬ</v>
      </c>
      <c r="H22" s="27" t="s">
        <v>259</v>
      </c>
    </row>
    <row r="23" spans="1:8" x14ac:dyDescent="0.25">
      <c r="A23" s="32" t="s">
        <v>765</v>
      </c>
      <c r="B23" s="27" t="s">
        <v>259</v>
      </c>
      <c r="C23" s="54" t="s">
        <v>282</v>
      </c>
      <c r="D23" s="27" t="s">
        <v>261</v>
      </c>
      <c r="E23" s="27" t="s">
        <v>262</v>
      </c>
      <c r="F23" s="55" t="str">
        <f>VLOOKUP(Клиенты[[#This Row],[GardenaChannel]],GardenChannel[[GardenChannel]:[Sales manager]],2,0)</f>
        <v>АЛЕКСАНДРОВ ИГОРЬ</v>
      </c>
      <c r="H23" s="27" t="s">
        <v>259</v>
      </c>
    </row>
    <row r="24" spans="1:8" x14ac:dyDescent="0.25">
      <c r="A24" s="32" t="s">
        <v>766</v>
      </c>
      <c r="B24" s="27" t="s">
        <v>259</v>
      </c>
      <c r="C24" s="54" t="s">
        <v>283</v>
      </c>
      <c r="D24" s="27" t="s">
        <v>261</v>
      </c>
      <c r="E24" s="27" t="s">
        <v>262</v>
      </c>
      <c r="F24" s="55" t="str">
        <f>VLOOKUP(Клиенты[[#This Row],[GardenaChannel]],GardenChannel[[GardenChannel]:[Sales manager]],2,0)</f>
        <v>АЛЕКСАНДРОВ ИГОРЬ</v>
      </c>
      <c r="H24" s="27" t="s">
        <v>259</v>
      </c>
    </row>
    <row r="25" spans="1:8" x14ac:dyDescent="0.25">
      <c r="A25" s="32" t="s">
        <v>767</v>
      </c>
      <c r="B25" s="27" t="s">
        <v>259</v>
      </c>
      <c r="C25" s="54" t="s">
        <v>284</v>
      </c>
      <c r="D25" s="27" t="s">
        <v>261</v>
      </c>
      <c r="E25" s="27" t="s">
        <v>262</v>
      </c>
      <c r="F25" s="55" t="str">
        <f>VLOOKUP(Клиенты[[#This Row],[GardenaChannel]],GardenChannel[[GardenChannel]:[Sales manager]],2,0)</f>
        <v>АЛЕКСАНДРОВ ИГОРЬ</v>
      </c>
      <c r="H25" s="27" t="s">
        <v>259</v>
      </c>
    </row>
    <row r="26" spans="1:8" x14ac:dyDescent="0.25">
      <c r="A26" s="32" t="s">
        <v>768</v>
      </c>
      <c r="B26" s="27" t="s">
        <v>259</v>
      </c>
      <c r="C26" s="54" t="s">
        <v>285</v>
      </c>
      <c r="D26" s="27" t="s">
        <v>261</v>
      </c>
      <c r="E26" s="27" t="s">
        <v>262</v>
      </c>
      <c r="F26" s="55" t="str">
        <f>VLOOKUP(Клиенты[[#This Row],[GardenaChannel]],GardenChannel[[GardenChannel]:[Sales manager]],2,0)</f>
        <v>АЛЕКСАНДРОВ ИГОРЬ</v>
      </c>
      <c r="H26" s="27" t="s">
        <v>259</v>
      </c>
    </row>
    <row r="27" spans="1:8" x14ac:dyDescent="0.25">
      <c r="A27" s="32" t="s">
        <v>769</v>
      </c>
      <c r="B27" s="27" t="s">
        <v>259</v>
      </c>
      <c r="C27" s="54" t="s">
        <v>286</v>
      </c>
      <c r="D27" s="27" t="s">
        <v>261</v>
      </c>
      <c r="E27" s="27" t="s">
        <v>262</v>
      </c>
      <c r="F27" s="55" t="str">
        <f>VLOOKUP(Клиенты[[#This Row],[GardenaChannel]],GardenChannel[[GardenChannel]:[Sales manager]],2,0)</f>
        <v>АЛЕКСАНДРОВ ИГОРЬ</v>
      </c>
      <c r="H27" s="27" t="s">
        <v>259</v>
      </c>
    </row>
    <row r="28" spans="1:8" x14ac:dyDescent="0.25">
      <c r="A28" s="32" t="s">
        <v>770</v>
      </c>
      <c r="B28" s="27" t="s">
        <v>259</v>
      </c>
      <c r="C28" s="54" t="s">
        <v>287</v>
      </c>
      <c r="D28" s="27" t="s">
        <v>261</v>
      </c>
      <c r="E28" s="27" t="s">
        <v>262</v>
      </c>
      <c r="F28" s="55" t="str">
        <f>VLOOKUP(Клиенты[[#This Row],[GardenaChannel]],GardenChannel[[GardenChannel]:[Sales manager]],2,0)</f>
        <v>АЛЕКСАНДРОВ ИГОРЬ</v>
      </c>
      <c r="H28" s="27" t="s">
        <v>259</v>
      </c>
    </row>
    <row r="29" spans="1:8" x14ac:dyDescent="0.25">
      <c r="A29" s="32" t="s">
        <v>771</v>
      </c>
      <c r="B29" s="27" t="s">
        <v>259</v>
      </c>
      <c r="C29" s="54" t="s">
        <v>288</v>
      </c>
      <c r="D29" s="27" t="s">
        <v>261</v>
      </c>
      <c r="E29" s="27" t="s">
        <v>262</v>
      </c>
      <c r="F29" s="55" t="str">
        <f>VLOOKUP(Клиенты[[#This Row],[GardenaChannel]],GardenChannel[[GardenChannel]:[Sales manager]],2,0)</f>
        <v>АЛЕКСАНДРОВ ИГОРЬ</v>
      </c>
      <c r="H29" s="27" t="s">
        <v>259</v>
      </c>
    </row>
    <row r="30" spans="1:8" x14ac:dyDescent="0.25">
      <c r="A30" s="32" t="s">
        <v>772</v>
      </c>
      <c r="B30" s="27" t="s">
        <v>259</v>
      </c>
      <c r="C30" s="54" t="s">
        <v>289</v>
      </c>
      <c r="D30" s="27" t="s">
        <v>261</v>
      </c>
      <c r="E30" s="27" t="s">
        <v>262</v>
      </c>
      <c r="F30" s="55" t="str">
        <f>VLOOKUP(Клиенты[[#This Row],[GardenaChannel]],GardenChannel[[GardenChannel]:[Sales manager]],2,0)</f>
        <v>АЛЕКСАНДРОВ ИГОРЬ</v>
      </c>
      <c r="H30" s="27" t="s">
        <v>259</v>
      </c>
    </row>
    <row r="31" spans="1:8" x14ac:dyDescent="0.25">
      <c r="A31" s="32" t="s">
        <v>773</v>
      </c>
      <c r="B31" s="27" t="s">
        <v>259</v>
      </c>
      <c r="C31" s="54" t="s">
        <v>290</v>
      </c>
      <c r="D31" s="27" t="s">
        <v>261</v>
      </c>
      <c r="E31" s="27" t="s">
        <v>262</v>
      </c>
      <c r="F31" s="55" t="str">
        <f>VLOOKUP(Клиенты[[#This Row],[GardenaChannel]],GardenChannel[[GardenChannel]:[Sales manager]],2,0)</f>
        <v>АЛЕКСАНДРОВ ИГОРЬ</v>
      </c>
      <c r="H31" s="27" t="s">
        <v>259</v>
      </c>
    </row>
    <row r="32" spans="1:8" x14ac:dyDescent="0.25">
      <c r="A32" s="32" t="s">
        <v>774</v>
      </c>
      <c r="B32" s="27" t="s">
        <v>259</v>
      </c>
      <c r="C32" s="54" t="s">
        <v>291</v>
      </c>
      <c r="D32" s="27" t="s">
        <v>261</v>
      </c>
      <c r="E32" s="27" t="s">
        <v>262</v>
      </c>
      <c r="F32" s="55" t="str">
        <f>VLOOKUP(Клиенты[[#This Row],[GardenaChannel]],GardenChannel[[GardenChannel]:[Sales manager]],2,0)</f>
        <v>АЛЕКСАНДРОВ ИГОРЬ</v>
      </c>
      <c r="H32" s="27" t="s">
        <v>259</v>
      </c>
    </row>
    <row r="33" spans="1:8" x14ac:dyDescent="0.25">
      <c r="A33" s="32" t="s">
        <v>775</v>
      </c>
      <c r="B33" s="27" t="s">
        <v>259</v>
      </c>
      <c r="C33" s="54" t="s">
        <v>292</v>
      </c>
      <c r="D33" s="27" t="s">
        <v>261</v>
      </c>
      <c r="E33" s="27" t="s">
        <v>262</v>
      </c>
      <c r="F33" s="55" t="str">
        <f>VLOOKUP(Клиенты[[#This Row],[GardenaChannel]],GardenChannel[[GardenChannel]:[Sales manager]],2,0)</f>
        <v>АЛЕКСАНДРОВ ИГОРЬ</v>
      </c>
      <c r="H33" s="27" t="s">
        <v>259</v>
      </c>
    </row>
    <row r="34" spans="1:8" x14ac:dyDescent="0.25">
      <c r="A34" s="32" t="s">
        <v>776</v>
      </c>
      <c r="B34" s="27" t="s">
        <v>259</v>
      </c>
      <c r="C34" s="54" t="s">
        <v>293</v>
      </c>
      <c r="D34" s="27" t="s">
        <v>261</v>
      </c>
      <c r="E34" s="27" t="s">
        <v>262</v>
      </c>
      <c r="F34" s="55" t="str">
        <f>VLOOKUP(Клиенты[[#This Row],[GardenaChannel]],GardenChannel[[GardenChannel]:[Sales manager]],2,0)</f>
        <v>АЛЕКСАНДРОВ ИГОРЬ</v>
      </c>
      <c r="H34" s="27" t="s">
        <v>259</v>
      </c>
    </row>
    <row r="35" spans="1:8" x14ac:dyDescent="0.25">
      <c r="A35" s="32" t="s">
        <v>777</v>
      </c>
      <c r="B35" s="27" t="s">
        <v>259</v>
      </c>
      <c r="C35" s="54" t="s">
        <v>294</v>
      </c>
      <c r="D35" s="27" t="s">
        <v>261</v>
      </c>
      <c r="E35" s="27" t="s">
        <v>262</v>
      </c>
      <c r="F35" s="55" t="str">
        <f>VLOOKUP(Клиенты[[#This Row],[GardenaChannel]],GardenChannel[[GardenChannel]:[Sales manager]],2,0)</f>
        <v>АЛЕКСАНДРОВ ИГОРЬ</v>
      </c>
      <c r="H35" s="27" t="s">
        <v>259</v>
      </c>
    </row>
    <row r="36" spans="1:8" x14ac:dyDescent="0.25">
      <c r="A36" s="32" t="s">
        <v>778</v>
      </c>
      <c r="B36" s="27" t="s">
        <v>259</v>
      </c>
      <c r="C36" s="54" t="s">
        <v>295</v>
      </c>
      <c r="D36" s="27" t="s">
        <v>261</v>
      </c>
      <c r="E36" s="27" t="s">
        <v>262</v>
      </c>
      <c r="F36" s="55" t="str">
        <f>VLOOKUP(Клиенты[[#This Row],[GardenaChannel]],GardenChannel[[GardenChannel]:[Sales manager]],2,0)</f>
        <v>АЛЕКСАНДРОВ ИГОРЬ</v>
      </c>
      <c r="H36" s="27" t="s">
        <v>259</v>
      </c>
    </row>
    <row r="37" spans="1:8" x14ac:dyDescent="0.25">
      <c r="A37" s="32" t="s">
        <v>779</v>
      </c>
      <c r="B37" s="27" t="s">
        <v>259</v>
      </c>
      <c r="C37" s="54" t="s">
        <v>296</v>
      </c>
      <c r="D37" s="27" t="s">
        <v>261</v>
      </c>
      <c r="E37" s="27" t="s">
        <v>262</v>
      </c>
      <c r="F37" s="55" t="str">
        <f>VLOOKUP(Клиенты[[#This Row],[GardenaChannel]],GardenChannel[[GardenChannel]:[Sales manager]],2,0)</f>
        <v>АЛЕКСАНДРОВ ИГОРЬ</v>
      </c>
      <c r="H37" s="27" t="s">
        <v>259</v>
      </c>
    </row>
    <row r="38" spans="1:8" x14ac:dyDescent="0.25">
      <c r="A38" s="32" t="s">
        <v>780</v>
      </c>
      <c r="B38" s="27" t="s">
        <v>259</v>
      </c>
      <c r="C38" s="54" t="s">
        <v>297</v>
      </c>
      <c r="D38" s="27" t="s">
        <v>261</v>
      </c>
      <c r="E38" s="27" t="s">
        <v>262</v>
      </c>
      <c r="F38" s="55" t="str">
        <f>VLOOKUP(Клиенты[[#This Row],[GardenaChannel]],GardenChannel[[GardenChannel]:[Sales manager]],2,0)</f>
        <v>АЛЕКСАНДРОВ ИГОРЬ</v>
      </c>
      <c r="H38" s="27" t="s">
        <v>259</v>
      </c>
    </row>
    <row r="39" spans="1:8" x14ac:dyDescent="0.25">
      <c r="A39" s="32" t="s">
        <v>781</v>
      </c>
      <c r="B39" s="27" t="s">
        <v>259</v>
      </c>
      <c r="C39" s="54" t="s">
        <v>298</v>
      </c>
      <c r="D39" s="27" t="s">
        <v>261</v>
      </c>
      <c r="E39" s="27" t="s">
        <v>299</v>
      </c>
      <c r="F39" s="55" t="str">
        <f>VLOOKUP(Клиенты[[#This Row],[GardenaChannel]],GardenChannel[[GardenChannel]:[Sales manager]],2,0)</f>
        <v>АЛЕКСАНДРОВ ИГОРЬ</v>
      </c>
      <c r="H39" s="27" t="s">
        <v>259</v>
      </c>
    </row>
    <row r="40" spans="1:8" x14ac:dyDescent="0.25">
      <c r="A40" s="32" t="s">
        <v>782</v>
      </c>
      <c r="B40" s="27" t="s">
        <v>259</v>
      </c>
      <c r="C40" s="54" t="s">
        <v>300</v>
      </c>
      <c r="D40" s="27" t="s">
        <v>261</v>
      </c>
      <c r="E40" s="27" t="s">
        <v>262</v>
      </c>
      <c r="F40" s="55" t="str">
        <f>VLOOKUP(Клиенты[[#This Row],[GardenaChannel]],GardenChannel[[GardenChannel]:[Sales manager]],2,0)</f>
        <v>АЛЕКСАНДРОВ ИГОРЬ</v>
      </c>
      <c r="H40" s="27" t="s">
        <v>259</v>
      </c>
    </row>
    <row r="41" spans="1:8" x14ac:dyDescent="0.25">
      <c r="A41" s="32" t="s">
        <v>783</v>
      </c>
      <c r="B41" s="27" t="s">
        <v>259</v>
      </c>
      <c r="C41" s="54" t="s">
        <v>301</v>
      </c>
      <c r="D41" s="27" t="s">
        <v>261</v>
      </c>
      <c r="E41" s="27" t="s">
        <v>275</v>
      </c>
      <c r="F41" s="55" t="str">
        <f>VLOOKUP(Клиенты[[#This Row],[GardenaChannel]],GardenChannel[[GardenChannel]:[Sales manager]],2,0)</f>
        <v>АЛЕКСАНДРОВ ИГОРЬ</v>
      </c>
      <c r="H41" s="27" t="s">
        <v>259</v>
      </c>
    </row>
    <row r="42" spans="1:8" x14ac:dyDescent="0.25">
      <c r="A42" s="32" t="s">
        <v>784</v>
      </c>
      <c r="B42" s="27" t="s">
        <v>259</v>
      </c>
      <c r="C42" s="54" t="s">
        <v>302</v>
      </c>
      <c r="D42" s="27" t="s">
        <v>261</v>
      </c>
      <c r="E42" s="27" t="s">
        <v>262</v>
      </c>
      <c r="F42" s="55" t="str">
        <f>VLOOKUP(Клиенты[[#This Row],[GardenaChannel]],GardenChannel[[GardenChannel]:[Sales manager]],2,0)</f>
        <v>АЛЕКСАНДРОВ ИГОРЬ</v>
      </c>
      <c r="H42" s="27" t="s">
        <v>259</v>
      </c>
    </row>
    <row r="43" spans="1:8" x14ac:dyDescent="0.25">
      <c r="A43" s="32" t="s">
        <v>785</v>
      </c>
      <c r="B43" s="27" t="s">
        <v>259</v>
      </c>
      <c r="C43" s="54" t="s">
        <v>303</v>
      </c>
      <c r="D43" s="27" t="s">
        <v>261</v>
      </c>
      <c r="E43" s="27" t="s">
        <v>262</v>
      </c>
      <c r="F43" s="55" t="str">
        <f>VLOOKUP(Клиенты[[#This Row],[GardenaChannel]],GardenChannel[[GardenChannel]:[Sales manager]],2,0)</f>
        <v>АЛЕКСАНДРОВ ИГОРЬ</v>
      </c>
      <c r="H43" s="27" t="s">
        <v>259</v>
      </c>
    </row>
    <row r="44" spans="1:8" x14ac:dyDescent="0.25">
      <c r="A44" s="32" t="s">
        <v>786</v>
      </c>
      <c r="B44" s="27" t="s">
        <v>259</v>
      </c>
      <c r="C44" s="54" t="s">
        <v>304</v>
      </c>
      <c r="D44" s="27" t="s">
        <v>261</v>
      </c>
      <c r="E44" s="27" t="s">
        <v>299</v>
      </c>
      <c r="F44" s="55" t="str">
        <f>VLOOKUP(Клиенты[[#This Row],[GardenaChannel]],GardenChannel[[GardenChannel]:[Sales manager]],2,0)</f>
        <v>АЛЕКСАНДРОВ ИГОРЬ</v>
      </c>
      <c r="H44" s="27" t="s">
        <v>259</v>
      </c>
    </row>
    <row r="45" spans="1:8" x14ac:dyDescent="0.25">
      <c r="A45" s="32" t="s">
        <v>787</v>
      </c>
      <c r="B45" s="27" t="s">
        <v>259</v>
      </c>
      <c r="C45" s="54" t="s">
        <v>305</v>
      </c>
      <c r="D45" s="27" t="s">
        <v>261</v>
      </c>
      <c r="E45" s="27" t="s">
        <v>262</v>
      </c>
      <c r="F45" s="55" t="str">
        <f>VLOOKUP(Клиенты[[#This Row],[GardenaChannel]],GardenChannel[[GardenChannel]:[Sales manager]],2,0)</f>
        <v>АЛЕКСАНДРОВ ИГОРЬ</v>
      </c>
      <c r="H45" s="27" t="s">
        <v>259</v>
      </c>
    </row>
    <row r="46" spans="1:8" x14ac:dyDescent="0.25">
      <c r="A46" s="32" t="s">
        <v>788</v>
      </c>
      <c r="B46" s="27" t="s">
        <v>259</v>
      </c>
      <c r="C46" s="54" t="s">
        <v>306</v>
      </c>
      <c r="D46" s="27" t="s">
        <v>261</v>
      </c>
      <c r="E46" s="27" t="s">
        <v>262</v>
      </c>
      <c r="F46" s="55" t="str">
        <f>VLOOKUP(Клиенты[[#This Row],[GardenaChannel]],GardenChannel[[GardenChannel]:[Sales manager]],2,0)</f>
        <v>АЛЕКСАНДРОВ ИГОРЬ</v>
      </c>
      <c r="H46" s="27" t="s">
        <v>259</v>
      </c>
    </row>
    <row r="47" spans="1:8" x14ac:dyDescent="0.25">
      <c r="A47" s="32" t="s">
        <v>789</v>
      </c>
      <c r="B47" s="27" t="s">
        <v>259</v>
      </c>
      <c r="C47" s="54" t="s">
        <v>307</v>
      </c>
      <c r="D47" s="27" t="s">
        <v>261</v>
      </c>
      <c r="E47" s="27" t="s">
        <v>262</v>
      </c>
      <c r="F47" s="55" t="str">
        <f>VLOOKUP(Клиенты[[#This Row],[GardenaChannel]],GardenChannel[[GardenChannel]:[Sales manager]],2,0)</f>
        <v>АЛЕКСАНДРОВ ИГОРЬ</v>
      </c>
      <c r="H47" s="27" t="s">
        <v>259</v>
      </c>
    </row>
    <row r="48" spans="1:8" x14ac:dyDescent="0.25">
      <c r="A48" s="32" t="s">
        <v>790</v>
      </c>
      <c r="B48" s="27" t="s">
        <v>259</v>
      </c>
      <c r="C48" s="54" t="s">
        <v>308</v>
      </c>
      <c r="D48" s="27" t="s">
        <v>261</v>
      </c>
      <c r="E48" s="27" t="s">
        <v>262</v>
      </c>
      <c r="F48" s="55" t="str">
        <f>VLOOKUP(Клиенты[[#This Row],[GardenaChannel]],GardenChannel[[GardenChannel]:[Sales manager]],2,0)</f>
        <v>АЛЕКСАНДРОВ ИГОРЬ</v>
      </c>
      <c r="H48" s="27" t="s">
        <v>259</v>
      </c>
    </row>
    <row r="49" spans="1:8" x14ac:dyDescent="0.25">
      <c r="A49" s="32" t="s">
        <v>791</v>
      </c>
      <c r="B49" s="27" t="s">
        <v>259</v>
      </c>
      <c r="C49" s="54" t="s">
        <v>309</v>
      </c>
      <c r="D49" s="27" t="s">
        <v>261</v>
      </c>
      <c r="E49" s="27" t="s">
        <v>262</v>
      </c>
      <c r="F49" s="55" t="str">
        <f>VLOOKUP(Клиенты[[#This Row],[GardenaChannel]],GardenChannel[[GardenChannel]:[Sales manager]],2,0)</f>
        <v>АЛЕКСАНДРОВ ИГОРЬ</v>
      </c>
      <c r="H49" s="27" t="s">
        <v>259</v>
      </c>
    </row>
    <row r="50" spans="1:8" x14ac:dyDescent="0.25">
      <c r="A50" s="32" t="s">
        <v>792</v>
      </c>
      <c r="B50" s="27" t="s">
        <v>259</v>
      </c>
      <c r="C50" s="54" t="s">
        <v>310</v>
      </c>
      <c r="D50" s="27" t="s">
        <v>261</v>
      </c>
      <c r="E50" s="27" t="s">
        <v>262</v>
      </c>
      <c r="F50" s="55" t="str">
        <f>VLOOKUP(Клиенты[[#This Row],[GardenaChannel]],GardenChannel[[GardenChannel]:[Sales manager]],2,0)</f>
        <v>АЛЕКСАНДРОВ ИГОРЬ</v>
      </c>
      <c r="H50" s="27" t="s">
        <v>259</v>
      </c>
    </row>
    <row r="51" spans="1:8" x14ac:dyDescent="0.25">
      <c r="A51" s="32" t="s">
        <v>793</v>
      </c>
      <c r="B51" s="27" t="s">
        <v>259</v>
      </c>
      <c r="C51" s="54" t="s">
        <v>311</v>
      </c>
      <c r="D51" s="27" t="s">
        <v>261</v>
      </c>
      <c r="E51" s="27" t="s">
        <v>262</v>
      </c>
      <c r="F51" s="55" t="str">
        <f>VLOOKUP(Клиенты[[#This Row],[GardenaChannel]],GardenChannel[[GardenChannel]:[Sales manager]],2,0)</f>
        <v>АЛЕКСАНДРОВ ИГОРЬ</v>
      </c>
      <c r="H51" s="27" t="s">
        <v>259</v>
      </c>
    </row>
    <row r="52" spans="1:8" x14ac:dyDescent="0.25">
      <c r="A52" s="32" t="s">
        <v>794</v>
      </c>
      <c r="B52" s="27" t="s">
        <v>259</v>
      </c>
      <c r="C52" s="54" t="s">
        <v>312</v>
      </c>
      <c r="D52" s="27" t="s">
        <v>261</v>
      </c>
      <c r="E52" s="27" t="s">
        <v>275</v>
      </c>
      <c r="F52" s="55" t="str">
        <f>VLOOKUP(Клиенты[[#This Row],[GardenaChannel]],GardenChannel[[GardenChannel]:[Sales manager]],2,0)</f>
        <v>АЛЕКСАНДРОВ ИГОРЬ</v>
      </c>
      <c r="H52" s="27" t="s">
        <v>259</v>
      </c>
    </row>
    <row r="53" spans="1:8" x14ac:dyDescent="0.25">
      <c r="A53" s="32" t="s">
        <v>795</v>
      </c>
      <c r="B53" s="27" t="s">
        <v>259</v>
      </c>
      <c r="C53" s="54" t="s">
        <v>313</v>
      </c>
      <c r="D53" s="27" t="s">
        <v>261</v>
      </c>
      <c r="E53" s="27" t="s">
        <v>262</v>
      </c>
      <c r="F53" s="55" t="str">
        <f>VLOOKUP(Клиенты[[#This Row],[GardenaChannel]],GardenChannel[[GardenChannel]:[Sales manager]],2,0)</f>
        <v>АЛЕКСАНДРОВ ИГОРЬ</v>
      </c>
      <c r="H53" s="27" t="s">
        <v>259</v>
      </c>
    </row>
    <row r="54" spans="1:8" x14ac:dyDescent="0.25">
      <c r="A54" s="32" t="s">
        <v>796</v>
      </c>
      <c r="B54" s="27" t="s">
        <v>259</v>
      </c>
      <c r="C54" s="54" t="s">
        <v>314</v>
      </c>
      <c r="D54" s="27" t="s">
        <v>261</v>
      </c>
      <c r="E54" s="27" t="s">
        <v>262</v>
      </c>
      <c r="F54" s="55" t="str">
        <f>VLOOKUP(Клиенты[[#This Row],[GardenaChannel]],GardenChannel[[GardenChannel]:[Sales manager]],2,0)</f>
        <v>АЛЕКСАНДРОВ ИГОРЬ</v>
      </c>
      <c r="H54" s="27" t="s">
        <v>259</v>
      </c>
    </row>
    <row r="55" spans="1:8" x14ac:dyDescent="0.25">
      <c r="A55" s="32" t="s">
        <v>797</v>
      </c>
      <c r="B55" s="27" t="s">
        <v>259</v>
      </c>
      <c r="C55" s="54" t="s">
        <v>315</v>
      </c>
      <c r="D55" s="27" t="s">
        <v>261</v>
      </c>
      <c r="E55" s="27" t="s">
        <v>262</v>
      </c>
      <c r="F55" s="55" t="str">
        <f>VLOOKUP(Клиенты[[#This Row],[GardenaChannel]],GardenChannel[[GardenChannel]:[Sales manager]],2,0)</f>
        <v>АЛЕКСАНДРОВ ИГОРЬ</v>
      </c>
      <c r="H55" s="27" t="s">
        <v>259</v>
      </c>
    </row>
    <row r="56" spans="1:8" x14ac:dyDescent="0.25">
      <c r="A56" s="32" t="s">
        <v>798</v>
      </c>
      <c r="B56" s="27" t="s">
        <v>316</v>
      </c>
      <c r="C56" s="54" t="s">
        <v>317</v>
      </c>
      <c r="D56" s="27" t="s">
        <v>250</v>
      </c>
      <c r="E56" s="27" t="s">
        <v>318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799</v>
      </c>
      <c r="B57" s="27" t="s">
        <v>316</v>
      </c>
      <c r="C57" s="54" t="s">
        <v>320</v>
      </c>
      <c r="D57" s="27" t="s">
        <v>250</v>
      </c>
      <c r="E57" s="27" t="s">
        <v>321</v>
      </c>
      <c r="F57" s="55" t="str">
        <f>VLOOKUP(Клиенты[[#This Row],[GardenaChannel]],GardenChannel[[GardenChannel]:[Sales manager]],2,0)</f>
        <v>ЧУДИН АЛЕКСЕЙ</v>
      </c>
      <c r="G57" s="27" t="s">
        <v>322</v>
      </c>
      <c r="H57" s="27">
        <v>5307</v>
      </c>
    </row>
    <row r="58" spans="1:8" x14ac:dyDescent="0.25">
      <c r="A58" s="32" t="s">
        <v>800</v>
      </c>
      <c r="B58" s="27" t="s">
        <v>316</v>
      </c>
      <c r="C58" s="54" t="s">
        <v>323</v>
      </c>
      <c r="D58" s="27" t="s">
        <v>250</v>
      </c>
      <c r="E58" s="27" t="s">
        <v>321</v>
      </c>
      <c r="F58" s="55" t="str">
        <f>VLOOKUP(Клиенты[[#This Row],[GardenaChannel]],GardenChannel[[GardenChannel]:[Sales manager]],2,0)</f>
        <v>ЧУДИН АЛЕКСЕЙ</v>
      </c>
      <c r="G58" s="27" t="s">
        <v>322</v>
      </c>
      <c r="H58" s="27">
        <v>5307</v>
      </c>
    </row>
    <row r="59" spans="1:8" x14ac:dyDescent="0.25">
      <c r="A59" s="32" t="s">
        <v>801</v>
      </c>
      <c r="B59" s="27" t="s">
        <v>316</v>
      </c>
      <c r="C59" s="54" t="s">
        <v>324</v>
      </c>
      <c r="D59" s="27" t="s">
        <v>250</v>
      </c>
      <c r="E59" s="27" t="s">
        <v>325</v>
      </c>
      <c r="F59" s="55" t="str">
        <f>VLOOKUP(Клиенты[[#This Row],[GardenaChannel]],GardenChannel[[GardenChannel]:[Sales manager]],2,0)</f>
        <v>ЧУДИН АЛЕКСЕЙ</v>
      </c>
      <c r="G59" s="27" t="s">
        <v>326</v>
      </c>
      <c r="H59" s="27">
        <v>5412</v>
      </c>
    </row>
    <row r="60" spans="1:8" x14ac:dyDescent="0.25">
      <c r="A60" s="32" t="s">
        <v>802</v>
      </c>
      <c r="B60" s="27" t="s">
        <v>316</v>
      </c>
      <c r="C60" s="54" t="s">
        <v>327</v>
      </c>
      <c r="D60" s="27" t="s">
        <v>250</v>
      </c>
      <c r="E60" s="27" t="s">
        <v>321</v>
      </c>
      <c r="F60" s="55" t="str">
        <f>VLOOKUP(Клиенты[[#This Row],[GardenaChannel]],GardenChannel[[GardenChannel]:[Sales manager]],2,0)</f>
        <v>ЧУДИН АЛЕКСЕЙ</v>
      </c>
      <c r="G60" s="27" t="s">
        <v>322</v>
      </c>
      <c r="H60" s="27">
        <v>5307</v>
      </c>
    </row>
    <row r="61" spans="1:8" x14ac:dyDescent="0.25">
      <c r="A61" s="32" t="s">
        <v>803</v>
      </c>
      <c r="B61" s="27" t="s">
        <v>316</v>
      </c>
      <c r="C61" s="54" t="s">
        <v>328</v>
      </c>
      <c r="D61" s="27" t="s">
        <v>250</v>
      </c>
      <c r="E61" s="27" t="s">
        <v>321</v>
      </c>
      <c r="F61" s="55" t="str">
        <f>VLOOKUP(Клиенты[[#This Row],[GardenaChannel]],GardenChannel[[GardenChannel]:[Sales manager]],2,0)</f>
        <v>ЧУДИН АЛЕКСЕЙ</v>
      </c>
      <c r="G61" s="27" t="s">
        <v>322</v>
      </c>
      <c r="H61" s="27">
        <v>5307</v>
      </c>
    </row>
    <row r="62" spans="1:8" x14ac:dyDescent="0.25">
      <c r="A62" s="32" t="s">
        <v>804</v>
      </c>
      <c r="B62" s="27" t="s">
        <v>316</v>
      </c>
      <c r="C62" s="54" t="s">
        <v>329</v>
      </c>
      <c r="D62" s="27" t="s">
        <v>250</v>
      </c>
      <c r="E62" s="27" t="s">
        <v>321</v>
      </c>
      <c r="F62" s="55" t="str">
        <f>VLOOKUP(Клиенты[[#This Row],[GardenaChannel]],GardenChannel[[GardenChannel]:[Sales manager]],2,0)</f>
        <v>ЧУДИН АЛЕКСЕЙ</v>
      </c>
      <c r="G62" s="27" t="s">
        <v>322</v>
      </c>
      <c r="H62" s="27">
        <v>5307</v>
      </c>
    </row>
    <row r="63" spans="1:8" x14ac:dyDescent="0.25">
      <c r="A63" s="32" t="s">
        <v>805</v>
      </c>
      <c r="B63" s="27" t="s">
        <v>316</v>
      </c>
      <c r="C63" s="54" t="s">
        <v>330</v>
      </c>
      <c r="D63" s="27" t="s">
        <v>250</v>
      </c>
      <c r="E63" s="27" t="s">
        <v>321</v>
      </c>
      <c r="F63" s="55" t="str">
        <f>VLOOKUP(Клиенты[[#This Row],[GardenaChannel]],GardenChannel[[GardenChannel]:[Sales manager]],2,0)</f>
        <v>ЧУДИН АЛЕКСЕЙ</v>
      </c>
      <c r="G63" s="27" t="s">
        <v>322</v>
      </c>
      <c r="H63" s="27">
        <v>5307</v>
      </c>
    </row>
    <row r="64" spans="1:8" x14ac:dyDescent="0.25">
      <c r="A64" s="32" t="s">
        <v>806</v>
      </c>
      <c r="B64" s="27" t="s">
        <v>316</v>
      </c>
      <c r="C64" s="54" t="s">
        <v>331</v>
      </c>
      <c r="D64" s="27" t="s">
        <v>250</v>
      </c>
      <c r="E64" s="27" t="s">
        <v>332</v>
      </c>
      <c r="F64" s="55" t="str">
        <f>VLOOKUP(Клиенты[[#This Row],[GardenaChannel]],GardenChannel[[GardenChannel]:[Sales manager]],2,0)</f>
        <v>ЧУДИН АЛЕКСЕЙ</v>
      </c>
      <c r="G64" s="27" t="s">
        <v>333</v>
      </c>
      <c r="H64" s="27">
        <v>5824</v>
      </c>
    </row>
    <row r="65" spans="1:8" x14ac:dyDescent="0.25">
      <c r="A65" s="32" t="s">
        <v>807</v>
      </c>
      <c r="B65" s="27" t="s">
        <v>334</v>
      </c>
      <c r="C65" s="54" t="s">
        <v>335</v>
      </c>
      <c r="D65" s="27" t="s">
        <v>250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337</v>
      </c>
      <c r="H65" s="27">
        <v>5303</v>
      </c>
    </row>
    <row r="66" spans="1:8" x14ac:dyDescent="0.25">
      <c r="A66" s="32" t="s">
        <v>808</v>
      </c>
      <c r="B66" s="27" t="s">
        <v>334</v>
      </c>
      <c r="C66" s="54" t="s">
        <v>338</v>
      </c>
      <c r="D66" s="27" t="s">
        <v>250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337</v>
      </c>
      <c r="H66" s="27">
        <v>5303</v>
      </c>
    </row>
    <row r="67" spans="1:8" x14ac:dyDescent="0.25">
      <c r="A67" s="32" t="s">
        <v>809</v>
      </c>
      <c r="B67" s="27" t="s">
        <v>334</v>
      </c>
      <c r="C67" s="54" t="s">
        <v>339</v>
      </c>
      <c r="D67" s="27" t="s">
        <v>250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337</v>
      </c>
      <c r="H67" s="27">
        <v>5303</v>
      </c>
    </row>
    <row r="68" spans="1:8" x14ac:dyDescent="0.25">
      <c r="A68" s="32" t="s">
        <v>810</v>
      </c>
      <c r="B68" s="27" t="s">
        <v>334</v>
      </c>
      <c r="C68" s="54" t="s">
        <v>340</v>
      </c>
      <c r="D68" s="27" t="s">
        <v>250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337</v>
      </c>
      <c r="H68" s="27">
        <v>5303</v>
      </c>
    </row>
    <row r="69" spans="1:8" x14ac:dyDescent="0.25">
      <c r="A69" s="32" t="s">
        <v>811</v>
      </c>
      <c r="B69" s="27" t="s">
        <v>334</v>
      </c>
      <c r="C69" s="54" t="s">
        <v>341</v>
      </c>
      <c r="D69" s="27" t="s">
        <v>250</v>
      </c>
      <c r="E69" s="27" t="s">
        <v>342</v>
      </c>
      <c r="F69" s="55" t="str">
        <f>VLOOKUP(Клиенты[[#This Row],[GardenaChannel]],GardenChannel[[GardenChannel]:[Sales manager]],2,0)</f>
        <v>НЕБОВ АЛЕКСАНДР</v>
      </c>
      <c r="G69" s="27" t="s">
        <v>343</v>
      </c>
      <c r="H69" s="27">
        <v>5408</v>
      </c>
    </row>
    <row r="70" spans="1:8" x14ac:dyDescent="0.25">
      <c r="A70" s="32" t="s">
        <v>812</v>
      </c>
      <c r="B70" s="27" t="s">
        <v>344</v>
      </c>
      <c r="C70" s="54" t="s">
        <v>345</v>
      </c>
      <c r="D70" s="27" t="s">
        <v>261</v>
      </c>
      <c r="E70" s="27" t="s">
        <v>262</v>
      </c>
      <c r="F70" s="55" t="str">
        <f>VLOOKUP(Клиенты[[#This Row],[GardenaChannel]],GardenChannel[[GardenChannel]:[Sales manager]],2,0)</f>
        <v>ШКИДИН РОМАН</v>
      </c>
      <c r="H70" s="27" t="s">
        <v>344</v>
      </c>
    </row>
    <row r="71" spans="1:8" x14ac:dyDescent="0.25">
      <c r="A71" s="32" t="s">
        <v>813</v>
      </c>
      <c r="B71" s="27" t="s">
        <v>344</v>
      </c>
      <c r="C71" s="54" t="s">
        <v>347</v>
      </c>
      <c r="D71" s="27" t="s">
        <v>261</v>
      </c>
      <c r="E71" s="27" t="s">
        <v>262</v>
      </c>
      <c r="F71" s="55" t="str">
        <f>VLOOKUP(Клиенты[[#This Row],[GardenaChannel]],GardenChannel[[GardenChannel]:[Sales manager]],2,0)</f>
        <v>ШКИДИН РОМАН</v>
      </c>
      <c r="H71" s="27" t="s">
        <v>344</v>
      </c>
    </row>
    <row r="72" spans="1:8" x14ac:dyDescent="0.25">
      <c r="A72" s="32" t="s">
        <v>814</v>
      </c>
      <c r="B72" s="27" t="s">
        <v>344</v>
      </c>
      <c r="C72" s="54" t="s">
        <v>348</v>
      </c>
      <c r="D72" s="27" t="s">
        <v>261</v>
      </c>
      <c r="E72" s="27" t="s">
        <v>262</v>
      </c>
      <c r="F72" s="55" t="str">
        <f>VLOOKUP(Клиенты[[#This Row],[GardenaChannel]],GardenChannel[[GardenChannel]:[Sales manager]],2,0)</f>
        <v>ШКИДИН РОМАН</v>
      </c>
      <c r="H72" s="27" t="s">
        <v>344</v>
      </c>
    </row>
    <row r="73" spans="1:8" x14ac:dyDescent="0.25">
      <c r="A73" s="32" t="s">
        <v>815</v>
      </c>
      <c r="B73" s="27" t="s">
        <v>344</v>
      </c>
      <c r="C73" s="54" t="s">
        <v>349</v>
      </c>
      <c r="D73" s="27" t="s">
        <v>261</v>
      </c>
      <c r="E73" s="27" t="s">
        <v>299</v>
      </c>
      <c r="F73" s="55" t="str">
        <f>VLOOKUP(Клиенты[[#This Row],[GardenaChannel]],GardenChannel[[GardenChannel]:[Sales manager]],2,0)</f>
        <v>ШКИДИН РОМАН</v>
      </c>
      <c r="H73" s="27" t="s">
        <v>344</v>
      </c>
    </row>
    <row r="74" spans="1:8" x14ac:dyDescent="0.25">
      <c r="A74" s="32" t="s">
        <v>816</v>
      </c>
      <c r="B74" s="27" t="s">
        <v>344</v>
      </c>
      <c r="C74" s="54" t="s">
        <v>350</v>
      </c>
      <c r="D74" s="27" t="s">
        <v>261</v>
      </c>
      <c r="E74" s="27" t="s">
        <v>262</v>
      </c>
      <c r="F74" s="55" t="str">
        <f>VLOOKUP(Клиенты[[#This Row],[GardenaChannel]],GardenChannel[[GardenChannel]:[Sales manager]],2,0)</f>
        <v>ШКИДИН РОМАН</v>
      </c>
      <c r="H74" s="27" t="s">
        <v>344</v>
      </c>
    </row>
    <row r="75" spans="1:8" x14ac:dyDescent="0.25">
      <c r="A75" s="32" t="s">
        <v>817</v>
      </c>
      <c r="B75" s="27" t="s">
        <v>344</v>
      </c>
      <c r="C75" s="54" t="s">
        <v>351</v>
      </c>
      <c r="D75" s="27" t="s">
        <v>261</v>
      </c>
      <c r="E75" s="27" t="s">
        <v>262</v>
      </c>
      <c r="F75" s="55" t="str">
        <f>VLOOKUP(Клиенты[[#This Row],[GardenaChannel]],GardenChannel[[GardenChannel]:[Sales manager]],2,0)</f>
        <v>ШКИДИН РОМАН</v>
      </c>
      <c r="H75" s="27" t="s">
        <v>344</v>
      </c>
    </row>
    <row r="76" spans="1:8" x14ac:dyDescent="0.25">
      <c r="A76" s="32" t="s">
        <v>818</v>
      </c>
      <c r="B76" s="27" t="s">
        <v>344</v>
      </c>
      <c r="C76" s="54" t="s">
        <v>352</v>
      </c>
      <c r="D76" s="27" t="s">
        <v>261</v>
      </c>
      <c r="E76" s="27" t="s">
        <v>299</v>
      </c>
      <c r="F76" s="55" t="str">
        <f>VLOOKUP(Клиенты[[#This Row],[GardenaChannel]],GardenChannel[[GardenChannel]:[Sales manager]],2,0)</f>
        <v>ШКИДИН РОМАН</v>
      </c>
      <c r="H76" s="27" t="s">
        <v>344</v>
      </c>
    </row>
    <row r="77" spans="1:8" x14ac:dyDescent="0.25">
      <c r="A77" s="32" t="s">
        <v>819</v>
      </c>
      <c r="B77" s="27" t="s">
        <v>344</v>
      </c>
      <c r="C77" s="54" t="s">
        <v>353</v>
      </c>
      <c r="D77" s="27" t="s">
        <v>261</v>
      </c>
      <c r="E77" s="27" t="s">
        <v>262</v>
      </c>
      <c r="F77" s="55" t="str">
        <f>VLOOKUP(Клиенты[[#This Row],[GardenaChannel]],GardenChannel[[GardenChannel]:[Sales manager]],2,0)</f>
        <v>ШКИДИН РОМАН</v>
      </c>
      <c r="H77" s="27" t="s">
        <v>344</v>
      </c>
    </row>
    <row r="78" spans="1:8" x14ac:dyDescent="0.25">
      <c r="A78" s="32" t="s">
        <v>820</v>
      </c>
      <c r="B78" s="27" t="s">
        <v>344</v>
      </c>
      <c r="C78" s="54" t="s">
        <v>354</v>
      </c>
      <c r="D78" s="27" t="s">
        <v>261</v>
      </c>
      <c r="E78" s="27" t="s">
        <v>262</v>
      </c>
      <c r="F78" s="55" t="str">
        <f>VLOOKUP(Клиенты[[#This Row],[GardenaChannel]],GardenChannel[[GardenChannel]:[Sales manager]],2,0)</f>
        <v>ШКИДИН РОМАН</v>
      </c>
      <c r="H78" s="27" t="s">
        <v>344</v>
      </c>
    </row>
    <row r="79" spans="1:8" x14ac:dyDescent="0.25">
      <c r="A79" s="32" t="s">
        <v>821</v>
      </c>
      <c r="B79" s="27" t="s">
        <v>344</v>
      </c>
      <c r="C79" s="54" t="s">
        <v>355</v>
      </c>
      <c r="D79" s="27" t="s">
        <v>261</v>
      </c>
      <c r="E79" s="27" t="s">
        <v>262</v>
      </c>
      <c r="F79" s="55" t="str">
        <f>VLOOKUP(Клиенты[[#This Row],[GardenaChannel]],GardenChannel[[GardenChannel]:[Sales manager]],2,0)</f>
        <v>ШКИДИН РОМАН</v>
      </c>
      <c r="H79" s="27" t="s">
        <v>344</v>
      </c>
    </row>
    <row r="80" spans="1:8" x14ac:dyDescent="0.25">
      <c r="A80" s="32" t="s">
        <v>822</v>
      </c>
      <c r="B80" s="27" t="s">
        <v>344</v>
      </c>
      <c r="C80" s="54" t="s">
        <v>356</v>
      </c>
      <c r="D80" s="27" t="s">
        <v>261</v>
      </c>
      <c r="E80" s="27" t="s">
        <v>275</v>
      </c>
      <c r="F80" s="55" t="str">
        <f>VLOOKUP(Клиенты[[#This Row],[GardenaChannel]],GardenChannel[[GardenChannel]:[Sales manager]],2,0)</f>
        <v>ШКИДИН РОМАН</v>
      </c>
      <c r="H80" s="27" t="s">
        <v>344</v>
      </c>
    </row>
    <row r="81" spans="1:8" x14ac:dyDescent="0.25">
      <c r="A81" s="32" t="s">
        <v>823</v>
      </c>
      <c r="B81" s="27" t="s">
        <v>344</v>
      </c>
      <c r="C81" s="54" t="s">
        <v>357</v>
      </c>
      <c r="D81" s="27" t="s">
        <v>261</v>
      </c>
      <c r="E81" s="27" t="s">
        <v>262</v>
      </c>
      <c r="F81" s="55" t="str">
        <f>VLOOKUP(Клиенты[[#This Row],[GardenaChannel]],GardenChannel[[GardenChannel]:[Sales manager]],2,0)</f>
        <v>ШКИДИН РОМАН</v>
      </c>
      <c r="H81" s="27" t="s">
        <v>344</v>
      </c>
    </row>
    <row r="82" spans="1:8" x14ac:dyDescent="0.25">
      <c r="A82" s="32" t="s">
        <v>824</v>
      </c>
      <c r="B82" s="27" t="s">
        <v>344</v>
      </c>
      <c r="C82" s="54" t="s">
        <v>358</v>
      </c>
      <c r="D82" s="27" t="s">
        <v>261</v>
      </c>
      <c r="E82" s="27" t="s">
        <v>262</v>
      </c>
      <c r="F82" s="55" t="str">
        <f>VLOOKUP(Клиенты[[#This Row],[GardenaChannel]],GardenChannel[[GardenChannel]:[Sales manager]],2,0)</f>
        <v>ШКИДИН РОМАН</v>
      </c>
      <c r="H82" s="27" t="s">
        <v>344</v>
      </c>
    </row>
    <row r="83" spans="1:8" x14ac:dyDescent="0.25">
      <c r="A83" s="32" t="s">
        <v>825</v>
      </c>
      <c r="B83" s="27" t="s">
        <v>344</v>
      </c>
      <c r="C83" s="54" t="s">
        <v>359</v>
      </c>
      <c r="D83" s="27" t="s">
        <v>261</v>
      </c>
      <c r="E83" s="27" t="s">
        <v>262</v>
      </c>
      <c r="F83" s="55" t="str">
        <f>VLOOKUP(Клиенты[[#This Row],[GardenaChannel]],GardenChannel[[GardenChannel]:[Sales manager]],2,0)</f>
        <v>ШКИДИН РОМАН</v>
      </c>
      <c r="H83" s="27" t="s">
        <v>344</v>
      </c>
    </row>
    <row r="84" spans="1:8" x14ac:dyDescent="0.25">
      <c r="A84" s="32" t="s">
        <v>826</v>
      </c>
      <c r="B84" s="27" t="s">
        <v>344</v>
      </c>
      <c r="C84" s="54" t="s">
        <v>360</v>
      </c>
      <c r="D84" s="27" t="s">
        <v>261</v>
      </c>
      <c r="E84" s="27" t="s">
        <v>262</v>
      </c>
      <c r="F84" s="55" t="str">
        <f>VLOOKUP(Клиенты[[#This Row],[GardenaChannel]],GardenChannel[[GardenChannel]:[Sales manager]],2,0)</f>
        <v>ШКИДИН РОМАН</v>
      </c>
      <c r="H84" s="27" t="s">
        <v>344</v>
      </c>
    </row>
    <row r="85" spans="1:8" x14ac:dyDescent="0.25">
      <c r="A85" s="32" t="s">
        <v>827</v>
      </c>
      <c r="B85" s="27" t="s">
        <v>344</v>
      </c>
      <c r="C85" s="54" t="s">
        <v>361</v>
      </c>
      <c r="D85" s="27" t="s">
        <v>261</v>
      </c>
      <c r="E85" s="27" t="s">
        <v>262</v>
      </c>
      <c r="F85" s="55" t="str">
        <f>VLOOKUP(Клиенты[[#This Row],[GardenaChannel]],GardenChannel[[GardenChannel]:[Sales manager]],2,0)</f>
        <v>ШКИДИН РОМАН</v>
      </c>
      <c r="H85" s="27" t="s">
        <v>344</v>
      </c>
    </row>
    <row r="86" spans="1:8" x14ac:dyDescent="0.25">
      <c r="A86" s="32" t="s">
        <v>828</v>
      </c>
      <c r="B86" s="27" t="s">
        <v>344</v>
      </c>
      <c r="C86" s="54" t="s">
        <v>362</v>
      </c>
      <c r="D86" s="27" t="s">
        <v>261</v>
      </c>
      <c r="E86" s="27" t="s">
        <v>262</v>
      </c>
      <c r="F86" s="55" t="str">
        <f>VLOOKUP(Клиенты[[#This Row],[GardenaChannel]],GardenChannel[[GardenChannel]:[Sales manager]],2,0)</f>
        <v>ШКИДИН РОМАН</v>
      </c>
      <c r="H86" s="27" t="s">
        <v>344</v>
      </c>
    </row>
    <row r="87" spans="1:8" x14ac:dyDescent="0.25">
      <c r="A87" s="32" t="s">
        <v>829</v>
      </c>
      <c r="B87" s="27" t="s">
        <v>344</v>
      </c>
      <c r="C87" s="54" t="s">
        <v>363</v>
      </c>
      <c r="D87" s="27" t="s">
        <v>261</v>
      </c>
      <c r="E87" s="27" t="s">
        <v>262</v>
      </c>
      <c r="F87" s="55" t="str">
        <f>VLOOKUP(Клиенты[[#This Row],[GardenaChannel]],GardenChannel[[GardenChannel]:[Sales manager]],2,0)</f>
        <v>ШКИДИН РОМАН</v>
      </c>
      <c r="H87" s="27" t="s">
        <v>344</v>
      </c>
    </row>
    <row r="88" spans="1:8" x14ac:dyDescent="0.25">
      <c r="A88" s="32" t="s">
        <v>830</v>
      </c>
      <c r="B88" s="27" t="s">
        <v>344</v>
      </c>
      <c r="C88" s="54" t="s">
        <v>364</v>
      </c>
      <c r="D88" s="27" t="s">
        <v>261</v>
      </c>
      <c r="E88" s="27" t="s">
        <v>262</v>
      </c>
      <c r="F88" s="55" t="str">
        <f>VLOOKUP(Клиенты[[#This Row],[GardenaChannel]],GardenChannel[[GardenChannel]:[Sales manager]],2,0)</f>
        <v>ШКИДИН РОМАН</v>
      </c>
      <c r="H88" s="27" t="s">
        <v>344</v>
      </c>
    </row>
    <row r="89" spans="1:8" x14ac:dyDescent="0.25">
      <c r="A89" s="32" t="s">
        <v>831</v>
      </c>
      <c r="B89" s="27" t="s">
        <v>344</v>
      </c>
      <c r="C89" s="54" t="s">
        <v>365</v>
      </c>
      <c r="D89" s="27" t="s">
        <v>261</v>
      </c>
      <c r="E89" s="27" t="s">
        <v>262</v>
      </c>
      <c r="F89" s="55" t="str">
        <f>VLOOKUP(Клиенты[[#This Row],[GardenaChannel]],GardenChannel[[GardenChannel]:[Sales manager]],2,0)</f>
        <v>ШКИДИН РОМАН</v>
      </c>
      <c r="H89" s="27" t="s">
        <v>344</v>
      </c>
    </row>
    <row r="90" spans="1:8" x14ac:dyDescent="0.25">
      <c r="A90" s="32" t="s">
        <v>832</v>
      </c>
      <c r="B90" s="27" t="s">
        <v>344</v>
      </c>
      <c r="C90" s="54" t="s">
        <v>366</v>
      </c>
      <c r="D90" s="27" t="s">
        <v>261</v>
      </c>
      <c r="E90" s="27" t="s">
        <v>262</v>
      </c>
      <c r="F90" s="55" t="str">
        <f>VLOOKUP(Клиенты[[#This Row],[GardenaChannel]],GardenChannel[[GardenChannel]:[Sales manager]],2,0)</f>
        <v>ШКИДИН РОМАН</v>
      </c>
      <c r="H90" s="27" t="s">
        <v>344</v>
      </c>
    </row>
    <row r="91" spans="1:8" x14ac:dyDescent="0.25">
      <c r="A91" s="32" t="s">
        <v>833</v>
      </c>
      <c r="B91" s="27" t="s">
        <v>344</v>
      </c>
      <c r="C91" s="54" t="s">
        <v>367</v>
      </c>
      <c r="D91" s="27" t="s">
        <v>261</v>
      </c>
      <c r="E91" s="27" t="s">
        <v>262</v>
      </c>
      <c r="F91" s="55" t="str">
        <f>VLOOKUP(Клиенты[[#This Row],[GardenaChannel]],GardenChannel[[GardenChannel]:[Sales manager]],2,0)</f>
        <v>ШКИДИН РОМАН</v>
      </c>
      <c r="H91" s="27" t="s">
        <v>344</v>
      </c>
    </row>
    <row r="92" spans="1:8" x14ac:dyDescent="0.25">
      <c r="A92" s="32" t="s">
        <v>834</v>
      </c>
      <c r="B92" s="27" t="s">
        <v>344</v>
      </c>
      <c r="C92" s="54" t="s">
        <v>368</v>
      </c>
      <c r="D92" s="27" t="s">
        <v>261</v>
      </c>
      <c r="E92" s="27" t="s">
        <v>275</v>
      </c>
      <c r="F92" s="55" t="str">
        <f>VLOOKUP(Клиенты[[#This Row],[GardenaChannel]],GardenChannel[[GardenChannel]:[Sales manager]],2,0)</f>
        <v>ШКИДИН РОМАН</v>
      </c>
      <c r="H92" s="27" t="s">
        <v>344</v>
      </c>
    </row>
    <row r="93" spans="1:8" x14ac:dyDescent="0.25">
      <c r="A93" s="32" t="s">
        <v>835</v>
      </c>
      <c r="B93" s="27" t="s">
        <v>344</v>
      </c>
      <c r="C93" s="54" t="s">
        <v>369</v>
      </c>
      <c r="D93" s="27" t="s">
        <v>261</v>
      </c>
      <c r="E93" s="27" t="s">
        <v>262</v>
      </c>
      <c r="F93" s="55" t="str">
        <f>VLOOKUP(Клиенты[[#This Row],[GardenaChannel]],GardenChannel[[GardenChannel]:[Sales manager]],2,0)</f>
        <v>ШКИДИН РОМАН</v>
      </c>
      <c r="H93" s="27" t="s">
        <v>344</v>
      </c>
    </row>
    <row r="94" spans="1:8" x14ac:dyDescent="0.25">
      <c r="A94" s="32" t="s">
        <v>836</v>
      </c>
      <c r="B94" s="27" t="s">
        <v>344</v>
      </c>
      <c r="C94" s="54" t="s">
        <v>370</v>
      </c>
      <c r="D94" s="27" t="s">
        <v>261</v>
      </c>
      <c r="E94" s="27" t="s">
        <v>262</v>
      </c>
      <c r="F94" s="55" t="str">
        <f>VLOOKUP(Клиенты[[#This Row],[GardenaChannel]],GardenChannel[[GardenChannel]:[Sales manager]],2,0)</f>
        <v>ШКИДИН РОМАН</v>
      </c>
      <c r="H94" s="27" t="s">
        <v>344</v>
      </c>
    </row>
    <row r="95" spans="1:8" x14ac:dyDescent="0.25">
      <c r="A95" s="32" t="s">
        <v>837</v>
      </c>
      <c r="B95" s="27" t="s">
        <v>344</v>
      </c>
      <c r="C95" s="54" t="s">
        <v>371</v>
      </c>
      <c r="D95" s="27" t="s">
        <v>261</v>
      </c>
      <c r="E95" s="27" t="s">
        <v>262</v>
      </c>
      <c r="F95" s="55" t="str">
        <f>VLOOKUP(Клиенты[[#This Row],[GardenaChannel]],GardenChannel[[GardenChannel]:[Sales manager]],2,0)</f>
        <v>ШКИДИН РОМАН</v>
      </c>
      <c r="H95" s="27" t="s">
        <v>344</v>
      </c>
    </row>
    <row r="96" spans="1:8" x14ac:dyDescent="0.25">
      <c r="A96" s="32" t="s">
        <v>838</v>
      </c>
      <c r="B96" s="27" t="s">
        <v>344</v>
      </c>
      <c r="C96" s="54" t="s">
        <v>372</v>
      </c>
      <c r="D96" s="27" t="s">
        <v>261</v>
      </c>
      <c r="E96" s="27" t="s">
        <v>262</v>
      </c>
      <c r="F96" s="55" t="str">
        <f>VLOOKUP(Клиенты[[#This Row],[GardenaChannel]],GardenChannel[[GardenChannel]:[Sales manager]],2,0)</f>
        <v>ШКИДИН РОМАН</v>
      </c>
      <c r="H96" s="27" t="s">
        <v>344</v>
      </c>
    </row>
    <row r="97" spans="1:8" x14ac:dyDescent="0.25">
      <c r="A97" s="32" t="s">
        <v>839</v>
      </c>
      <c r="B97" s="27" t="s">
        <v>344</v>
      </c>
      <c r="C97" s="54" t="s">
        <v>373</v>
      </c>
      <c r="D97" s="27" t="s">
        <v>261</v>
      </c>
      <c r="E97" s="27" t="s">
        <v>262</v>
      </c>
      <c r="F97" s="55" t="str">
        <f>VLOOKUP(Клиенты[[#This Row],[GardenaChannel]],GardenChannel[[GardenChannel]:[Sales manager]],2,0)</f>
        <v>ШКИДИН РОМАН</v>
      </c>
      <c r="H97" s="27" t="s">
        <v>344</v>
      </c>
    </row>
    <row r="98" spans="1:8" x14ac:dyDescent="0.25">
      <c r="A98" s="32" t="s">
        <v>840</v>
      </c>
      <c r="B98" s="27" t="s">
        <v>344</v>
      </c>
      <c r="C98" s="54" t="s">
        <v>374</v>
      </c>
      <c r="D98" s="27" t="s">
        <v>261</v>
      </c>
      <c r="E98" s="27" t="s">
        <v>275</v>
      </c>
      <c r="F98" s="55" t="str">
        <f>VLOOKUP(Клиенты[[#This Row],[GardenaChannel]],GardenChannel[[GardenChannel]:[Sales manager]],2,0)</f>
        <v>ШКИДИН РОМАН</v>
      </c>
      <c r="H98" s="27" t="s">
        <v>344</v>
      </c>
    </row>
    <row r="99" spans="1:8" x14ac:dyDescent="0.25">
      <c r="A99" s="32" t="s">
        <v>841</v>
      </c>
      <c r="B99" s="27" t="s">
        <v>344</v>
      </c>
      <c r="C99" s="54" t="s">
        <v>375</v>
      </c>
      <c r="D99" s="27" t="s">
        <v>261</v>
      </c>
      <c r="E99" s="27" t="s">
        <v>262</v>
      </c>
      <c r="F99" s="55" t="str">
        <f>VLOOKUP(Клиенты[[#This Row],[GardenaChannel]],GardenChannel[[GardenChannel]:[Sales manager]],2,0)</f>
        <v>ШКИДИН РОМАН</v>
      </c>
      <c r="H99" s="27" t="s">
        <v>344</v>
      </c>
    </row>
    <row r="100" spans="1:8" x14ac:dyDescent="0.25">
      <c r="A100" s="32" t="s">
        <v>842</v>
      </c>
      <c r="B100" s="27" t="s">
        <v>344</v>
      </c>
      <c r="C100" s="54" t="s">
        <v>376</v>
      </c>
      <c r="D100" s="27" t="s">
        <v>261</v>
      </c>
      <c r="E100" s="27" t="s">
        <v>262</v>
      </c>
      <c r="F100" s="55" t="str">
        <f>VLOOKUP(Клиенты[[#This Row],[GardenaChannel]],GardenChannel[[GardenChannel]:[Sales manager]],2,0)</f>
        <v>ШКИДИН РОМАН</v>
      </c>
      <c r="H100" s="27" t="s">
        <v>344</v>
      </c>
    </row>
    <row r="101" spans="1:8" x14ac:dyDescent="0.25">
      <c r="A101" s="32" t="s">
        <v>843</v>
      </c>
      <c r="B101" s="27" t="s">
        <v>344</v>
      </c>
      <c r="C101" s="54" t="s">
        <v>377</v>
      </c>
      <c r="D101" s="27" t="s">
        <v>261</v>
      </c>
      <c r="E101" s="27" t="s">
        <v>275</v>
      </c>
      <c r="F101" s="55" t="str">
        <f>VLOOKUP(Клиенты[[#This Row],[GardenaChannel]],GardenChannel[[GardenChannel]:[Sales manager]],2,0)</f>
        <v>ШКИДИН РОМАН</v>
      </c>
      <c r="H101" s="27" t="s">
        <v>344</v>
      </c>
    </row>
    <row r="102" spans="1:8" x14ac:dyDescent="0.25">
      <c r="A102" s="32" t="s">
        <v>844</v>
      </c>
      <c r="B102" s="27" t="s">
        <v>344</v>
      </c>
      <c r="C102" s="54" t="s">
        <v>378</v>
      </c>
      <c r="D102" s="27" t="s">
        <v>261</v>
      </c>
      <c r="E102" s="27" t="s">
        <v>275</v>
      </c>
      <c r="F102" s="55" t="str">
        <f>VLOOKUP(Клиенты[[#This Row],[GardenaChannel]],GardenChannel[[GardenChannel]:[Sales manager]],2,0)</f>
        <v>ШКИДИН РОМАН</v>
      </c>
      <c r="H102" s="27" t="s">
        <v>344</v>
      </c>
    </row>
    <row r="103" spans="1:8" x14ac:dyDescent="0.25">
      <c r="A103" s="32" t="s">
        <v>845</v>
      </c>
      <c r="B103" s="27" t="s">
        <v>344</v>
      </c>
      <c r="C103" s="54" t="s">
        <v>379</v>
      </c>
      <c r="D103" s="27" t="s">
        <v>261</v>
      </c>
      <c r="E103" s="27" t="s">
        <v>275</v>
      </c>
      <c r="F103" s="55" t="str">
        <f>VLOOKUP(Клиенты[[#This Row],[GardenaChannel]],GardenChannel[[GardenChannel]:[Sales manager]],2,0)</f>
        <v>ШКИДИН РОМАН</v>
      </c>
      <c r="H103" s="27" t="s">
        <v>344</v>
      </c>
    </row>
    <row r="104" spans="1:8" x14ac:dyDescent="0.25">
      <c r="A104" s="32" t="s">
        <v>846</v>
      </c>
      <c r="B104" s="27" t="s">
        <v>344</v>
      </c>
      <c r="C104" s="54" t="s">
        <v>380</v>
      </c>
      <c r="D104" s="27" t="s">
        <v>261</v>
      </c>
      <c r="E104" s="27" t="s">
        <v>262</v>
      </c>
      <c r="F104" s="55" t="str">
        <f>VLOOKUP(Клиенты[[#This Row],[GardenaChannel]],GardenChannel[[GardenChannel]:[Sales manager]],2,0)</f>
        <v>ШКИДИН РОМАН</v>
      </c>
      <c r="H104" s="27" t="s">
        <v>344</v>
      </c>
    </row>
    <row r="105" spans="1:8" x14ac:dyDescent="0.25">
      <c r="A105" s="32" t="s">
        <v>847</v>
      </c>
      <c r="B105" s="27" t="s">
        <v>344</v>
      </c>
      <c r="C105" s="54" t="s">
        <v>381</v>
      </c>
      <c r="D105" s="27" t="s">
        <v>261</v>
      </c>
      <c r="E105" s="27" t="s">
        <v>262</v>
      </c>
      <c r="F105" s="55" t="str">
        <f>VLOOKUP(Клиенты[[#This Row],[GardenaChannel]],GardenChannel[[GardenChannel]:[Sales manager]],2,0)</f>
        <v>ШКИДИН РОМАН</v>
      </c>
      <c r="H105" s="27" t="s">
        <v>344</v>
      </c>
    </row>
    <row r="106" spans="1:8" x14ac:dyDescent="0.25">
      <c r="A106" s="32" t="s">
        <v>848</v>
      </c>
      <c r="B106" s="27" t="s">
        <v>344</v>
      </c>
      <c r="C106" s="54" t="s">
        <v>382</v>
      </c>
      <c r="D106" s="27" t="s">
        <v>261</v>
      </c>
      <c r="E106" s="27" t="s">
        <v>262</v>
      </c>
      <c r="F106" s="55" t="str">
        <f>VLOOKUP(Клиенты[[#This Row],[GardenaChannel]],GardenChannel[[GardenChannel]:[Sales manager]],2,0)</f>
        <v>ШКИДИН РОМАН</v>
      </c>
      <c r="H106" s="27" t="s">
        <v>344</v>
      </c>
    </row>
    <row r="107" spans="1:8" x14ac:dyDescent="0.25">
      <c r="A107" s="32" t="s">
        <v>849</v>
      </c>
      <c r="B107" s="27" t="s">
        <v>344</v>
      </c>
      <c r="C107" s="54" t="s">
        <v>383</v>
      </c>
      <c r="D107" s="27" t="s">
        <v>261</v>
      </c>
      <c r="E107" s="27" t="s">
        <v>262</v>
      </c>
      <c r="F107" s="55" t="str">
        <f>VLOOKUP(Клиенты[[#This Row],[GardenaChannel]],GardenChannel[[GardenChannel]:[Sales manager]],2,0)</f>
        <v>ШКИДИН РОМАН</v>
      </c>
      <c r="H107" s="27" t="s">
        <v>344</v>
      </c>
    </row>
    <row r="108" spans="1:8" x14ac:dyDescent="0.25">
      <c r="A108" s="32" t="s">
        <v>850</v>
      </c>
      <c r="B108" s="27" t="s">
        <v>344</v>
      </c>
      <c r="C108" s="54" t="s">
        <v>384</v>
      </c>
      <c r="D108" s="27" t="s">
        <v>261</v>
      </c>
      <c r="E108" s="27" t="s">
        <v>262</v>
      </c>
      <c r="F108" s="55" t="str">
        <f>VLOOKUP(Клиенты[[#This Row],[GardenaChannel]],GardenChannel[[GardenChannel]:[Sales manager]],2,0)</f>
        <v>ШКИДИН РОМАН</v>
      </c>
      <c r="H108" s="27" t="s">
        <v>344</v>
      </c>
    </row>
    <row r="109" spans="1:8" x14ac:dyDescent="0.25">
      <c r="A109" s="32" t="s">
        <v>851</v>
      </c>
      <c r="B109" s="27" t="s">
        <v>344</v>
      </c>
      <c r="C109" s="54" t="s">
        <v>385</v>
      </c>
      <c r="D109" s="27" t="s">
        <v>261</v>
      </c>
      <c r="E109" s="27" t="s">
        <v>262</v>
      </c>
      <c r="F109" s="55" t="str">
        <f>VLOOKUP(Клиенты[[#This Row],[GardenaChannel]],GardenChannel[[GardenChannel]:[Sales manager]],2,0)</f>
        <v>ШКИДИН РОМАН</v>
      </c>
      <c r="H109" s="27" t="s">
        <v>344</v>
      </c>
    </row>
    <row r="110" spans="1:8" x14ac:dyDescent="0.25">
      <c r="A110" s="32" t="s">
        <v>852</v>
      </c>
      <c r="B110" s="27" t="s">
        <v>344</v>
      </c>
      <c r="C110" s="54" t="s">
        <v>386</v>
      </c>
      <c r="D110" s="27" t="s">
        <v>261</v>
      </c>
      <c r="E110" s="27" t="s">
        <v>262</v>
      </c>
      <c r="F110" s="55" t="str">
        <f>VLOOKUP(Клиенты[[#This Row],[GardenaChannel]],GardenChannel[[GardenChannel]:[Sales manager]],2,0)</f>
        <v>ШКИДИН РОМАН</v>
      </c>
      <c r="H110" s="27" t="s">
        <v>344</v>
      </c>
    </row>
    <row r="111" spans="1:8" x14ac:dyDescent="0.25">
      <c r="A111" s="32" t="s">
        <v>853</v>
      </c>
      <c r="B111" s="27" t="s">
        <v>344</v>
      </c>
      <c r="C111" s="54" t="s">
        <v>387</v>
      </c>
      <c r="D111" s="27" t="s">
        <v>261</v>
      </c>
      <c r="E111" s="27" t="s">
        <v>262</v>
      </c>
      <c r="F111" s="55" t="str">
        <f>VLOOKUP(Клиенты[[#This Row],[GardenaChannel]],GardenChannel[[GardenChannel]:[Sales manager]],2,0)</f>
        <v>ШКИДИН РОМАН</v>
      </c>
      <c r="H111" s="27" t="s">
        <v>344</v>
      </c>
    </row>
    <row r="112" spans="1:8" x14ac:dyDescent="0.25">
      <c r="A112" s="32" t="s">
        <v>854</v>
      </c>
      <c r="B112" s="27" t="s">
        <v>344</v>
      </c>
      <c r="C112" s="54" t="s">
        <v>388</v>
      </c>
      <c r="D112" s="27" t="s">
        <v>261</v>
      </c>
      <c r="E112" s="27" t="s">
        <v>262</v>
      </c>
      <c r="F112" s="55" t="str">
        <f>VLOOKUP(Клиенты[[#This Row],[GardenaChannel]],GardenChannel[[GardenChannel]:[Sales manager]],2,0)</f>
        <v>ШКИДИН РОМАН</v>
      </c>
      <c r="H112" s="27" t="s">
        <v>344</v>
      </c>
    </row>
    <row r="113" spans="1:8" x14ac:dyDescent="0.25">
      <c r="A113" s="32" t="s">
        <v>855</v>
      </c>
      <c r="B113" s="27" t="s">
        <v>344</v>
      </c>
      <c r="C113" s="54" t="s">
        <v>389</v>
      </c>
      <c r="D113" s="27" t="s">
        <v>261</v>
      </c>
      <c r="E113" s="27" t="s">
        <v>262</v>
      </c>
      <c r="F113" s="55" t="str">
        <f>VLOOKUP(Клиенты[[#This Row],[GardenaChannel]],GardenChannel[[GardenChannel]:[Sales manager]],2,0)</f>
        <v>ШКИДИН РОМАН</v>
      </c>
      <c r="H113" s="27" t="s">
        <v>344</v>
      </c>
    </row>
    <row r="114" spans="1:8" x14ac:dyDescent="0.25">
      <c r="A114" s="32" t="s">
        <v>856</v>
      </c>
      <c r="B114" s="27" t="s">
        <v>344</v>
      </c>
      <c r="C114" s="54" t="s">
        <v>390</v>
      </c>
      <c r="D114" s="27" t="s">
        <v>261</v>
      </c>
      <c r="E114" s="27" t="s">
        <v>262</v>
      </c>
      <c r="F114" s="55" t="str">
        <f>VLOOKUP(Клиенты[[#This Row],[GardenaChannel]],GardenChannel[[GardenChannel]:[Sales manager]],2,0)</f>
        <v>ШКИДИН РОМАН</v>
      </c>
      <c r="H114" s="27" t="s">
        <v>344</v>
      </c>
    </row>
    <row r="115" spans="1:8" x14ac:dyDescent="0.25">
      <c r="A115" s="32" t="s">
        <v>857</v>
      </c>
      <c r="B115" s="27" t="s">
        <v>344</v>
      </c>
      <c r="C115" s="54" t="s">
        <v>391</v>
      </c>
      <c r="D115" s="27" t="s">
        <v>261</v>
      </c>
      <c r="E115" s="27" t="s">
        <v>262</v>
      </c>
      <c r="F115" s="55" t="str">
        <f>VLOOKUP(Клиенты[[#This Row],[GardenaChannel]],GardenChannel[[GardenChannel]:[Sales manager]],2,0)</f>
        <v>ШКИДИН РОМАН</v>
      </c>
      <c r="H115" s="27" t="s">
        <v>344</v>
      </c>
    </row>
    <row r="116" spans="1:8" x14ac:dyDescent="0.25">
      <c r="A116" s="32" t="s">
        <v>858</v>
      </c>
      <c r="B116" s="27" t="s">
        <v>344</v>
      </c>
      <c r="C116" s="54" t="s">
        <v>392</v>
      </c>
      <c r="D116" s="27" t="s">
        <v>261</v>
      </c>
      <c r="E116" s="27" t="s">
        <v>262</v>
      </c>
      <c r="F116" s="55" t="str">
        <f>VLOOKUP(Клиенты[[#This Row],[GardenaChannel]],GardenChannel[[GardenChannel]:[Sales manager]],2,0)</f>
        <v>ШКИДИН РОМАН</v>
      </c>
      <c r="H116" s="27" t="s">
        <v>344</v>
      </c>
    </row>
    <row r="117" spans="1:8" x14ac:dyDescent="0.25">
      <c r="A117" s="32" t="s">
        <v>859</v>
      </c>
      <c r="B117" s="27" t="s">
        <v>344</v>
      </c>
      <c r="C117" s="54" t="s">
        <v>393</v>
      </c>
      <c r="D117" s="27" t="s">
        <v>261</v>
      </c>
      <c r="E117" s="27" t="s">
        <v>262</v>
      </c>
      <c r="F117" s="55" t="str">
        <f>VLOOKUP(Клиенты[[#This Row],[GardenaChannel]],GardenChannel[[GardenChannel]:[Sales manager]],2,0)</f>
        <v>ШКИДИН РОМАН</v>
      </c>
      <c r="H117" s="27" t="s">
        <v>344</v>
      </c>
    </row>
    <row r="118" spans="1:8" x14ac:dyDescent="0.25">
      <c r="A118" s="32" t="s">
        <v>860</v>
      </c>
      <c r="B118" s="27" t="s">
        <v>344</v>
      </c>
      <c r="C118" s="54" t="s">
        <v>394</v>
      </c>
      <c r="D118" s="27" t="s">
        <v>261</v>
      </c>
      <c r="E118" s="27" t="s">
        <v>262</v>
      </c>
      <c r="F118" s="55" t="str">
        <f>VLOOKUP(Клиенты[[#This Row],[GardenaChannel]],GardenChannel[[GardenChannel]:[Sales manager]],2,0)</f>
        <v>ШКИДИН РОМАН</v>
      </c>
      <c r="H118" s="27" t="s">
        <v>344</v>
      </c>
    </row>
    <row r="119" spans="1:8" x14ac:dyDescent="0.25">
      <c r="A119" s="32" t="s">
        <v>861</v>
      </c>
      <c r="B119" s="27" t="s">
        <v>344</v>
      </c>
      <c r="C119" s="54" t="s">
        <v>395</v>
      </c>
      <c r="D119" s="27" t="s">
        <v>261</v>
      </c>
      <c r="E119" s="27" t="s">
        <v>262</v>
      </c>
      <c r="F119" s="55" t="str">
        <f>VLOOKUP(Клиенты[[#This Row],[GardenaChannel]],GardenChannel[[GardenChannel]:[Sales manager]],2,0)</f>
        <v>ШКИДИН РОМАН</v>
      </c>
      <c r="H119" s="27" t="s">
        <v>344</v>
      </c>
    </row>
    <row r="120" spans="1:8" x14ac:dyDescent="0.25">
      <c r="A120" s="32" t="s">
        <v>862</v>
      </c>
      <c r="B120" s="27" t="s">
        <v>344</v>
      </c>
      <c r="C120" s="54" t="s">
        <v>396</v>
      </c>
      <c r="D120" s="27" t="s">
        <v>261</v>
      </c>
      <c r="E120" s="27" t="s">
        <v>262</v>
      </c>
      <c r="F120" s="55" t="str">
        <f>VLOOKUP(Клиенты[[#This Row],[GardenaChannel]],GardenChannel[[GardenChannel]:[Sales manager]],2,0)</f>
        <v>ШКИДИН РОМАН</v>
      </c>
      <c r="H120" s="27" t="s">
        <v>344</v>
      </c>
    </row>
    <row r="121" spans="1:8" x14ac:dyDescent="0.25">
      <c r="A121" s="32" t="s">
        <v>863</v>
      </c>
      <c r="B121" s="27" t="s">
        <v>344</v>
      </c>
      <c r="C121" s="54" t="s">
        <v>397</v>
      </c>
      <c r="D121" s="27" t="s">
        <v>261</v>
      </c>
      <c r="E121" s="27" t="s">
        <v>262</v>
      </c>
      <c r="F121" s="55" t="str">
        <f>VLOOKUP(Клиенты[[#This Row],[GardenaChannel]],GardenChannel[[GardenChannel]:[Sales manager]],2,0)</f>
        <v>ШКИДИН РОМАН</v>
      </c>
      <c r="H121" s="27" t="s">
        <v>344</v>
      </c>
    </row>
    <row r="122" spans="1:8" x14ac:dyDescent="0.25">
      <c r="A122" s="32" t="s">
        <v>864</v>
      </c>
      <c r="B122" s="27" t="s">
        <v>344</v>
      </c>
      <c r="C122" s="54" t="s">
        <v>398</v>
      </c>
      <c r="D122" s="27" t="s">
        <v>261</v>
      </c>
      <c r="E122" s="27" t="s">
        <v>262</v>
      </c>
      <c r="F122" s="55" t="str">
        <f>VLOOKUP(Клиенты[[#This Row],[GardenaChannel]],GardenChannel[[GardenChannel]:[Sales manager]],2,0)</f>
        <v>ШКИДИН РОМАН</v>
      </c>
      <c r="H122" s="27" t="s">
        <v>344</v>
      </c>
    </row>
    <row r="123" spans="1:8" x14ac:dyDescent="0.25">
      <c r="A123" s="32" t="s">
        <v>865</v>
      </c>
      <c r="B123" s="27" t="s">
        <v>344</v>
      </c>
      <c r="C123" s="54" t="s">
        <v>399</v>
      </c>
      <c r="D123" s="27" t="s">
        <v>261</v>
      </c>
      <c r="E123" s="27" t="s">
        <v>262</v>
      </c>
      <c r="F123" s="55" t="str">
        <f>VLOOKUP(Клиенты[[#This Row],[GardenaChannel]],GardenChannel[[GardenChannel]:[Sales manager]],2,0)</f>
        <v>ШКИДИН РОМАН</v>
      </c>
      <c r="H123" s="27" t="s">
        <v>344</v>
      </c>
    </row>
    <row r="124" spans="1:8" x14ac:dyDescent="0.25">
      <c r="A124" s="32" t="s">
        <v>866</v>
      </c>
      <c r="B124" s="27" t="s">
        <v>344</v>
      </c>
      <c r="C124" s="54" t="s">
        <v>400</v>
      </c>
      <c r="D124" s="27" t="s">
        <v>261</v>
      </c>
      <c r="E124" s="27" t="s">
        <v>262</v>
      </c>
      <c r="F124" s="55" t="str">
        <f>VLOOKUP(Клиенты[[#This Row],[GardenaChannel]],GardenChannel[[GardenChannel]:[Sales manager]],2,0)</f>
        <v>ШКИДИН РОМАН</v>
      </c>
      <c r="H124" s="27" t="s">
        <v>344</v>
      </c>
    </row>
    <row r="125" spans="1:8" x14ac:dyDescent="0.25">
      <c r="A125" s="32" t="s">
        <v>867</v>
      </c>
      <c r="B125" s="27" t="s">
        <v>344</v>
      </c>
      <c r="C125" s="54" t="s">
        <v>401</v>
      </c>
      <c r="D125" s="27" t="s">
        <v>261</v>
      </c>
      <c r="E125" s="27" t="s">
        <v>262</v>
      </c>
      <c r="F125" s="55" t="str">
        <f>VLOOKUP(Клиенты[[#This Row],[GardenaChannel]],GardenChannel[[GardenChannel]:[Sales manager]],2,0)</f>
        <v>ШКИДИН РОМАН</v>
      </c>
      <c r="H125" s="27" t="s">
        <v>344</v>
      </c>
    </row>
    <row r="126" spans="1:8" x14ac:dyDescent="0.25">
      <c r="A126" s="32" t="s">
        <v>868</v>
      </c>
      <c r="B126" s="27" t="s">
        <v>344</v>
      </c>
      <c r="C126" s="54" t="s">
        <v>402</v>
      </c>
      <c r="D126" s="27" t="s">
        <v>261</v>
      </c>
      <c r="E126" s="27" t="s">
        <v>262</v>
      </c>
      <c r="F126" s="55" t="str">
        <f>VLOOKUP(Клиенты[[#This Row],[GardenaChannel]],GardenChannel[[GardenChannel]:[Sales manager]],2,0)</f>
        <v>ШКИДИН РОМАН</v>
      </c>
      <c r="H126" s="27" t="s">
        <v>344</v>
      </c>
    </row>
    <row r="127" spans="1:8" x14ac:dyDescent="0.25">
      <c r="A127" s="32" t="s">
        <v>869</v>
      </c>
      <c r="B127" s="27" t="s">
        <v>344</v>
      </c>
      <c r="C127" s="54" t="s">
        <v>403</v>
      </c>
      <c r="D127" s="27" t="s">
        <v>261</v>
      </c>
      <c r="E127" s="27" t="s">
        <v>262</v>
      </c>
      <c r="F127" s="55" t="str">
        <f>VLOOKUP(Клиенты[[#This Row],[GardenaChannel]],GardenChannel[[GardenChannel]:[Sales manager]],2,0)</f>
        <v>ШКИДИН РОМАН</v>
      </c>
      <c r="H127" s="27" t="s">
        <v>344</v>
      </c>
    </row>
    <row r="128" spans="1:8" x14ac:dyDescent="0.25">
      <c r="A128" s="32" t="s">
        <v>870</v>
      </c>
      <c r="B128" s="27" t="s">
        <v>344</v>
      </c>
      <c r="C128" s="54" t="s">
        <v>404</v>
      </c>
      <c r="D128" s="27" t="s">
        <v>261</v>
      </c>
      <c r="E128" s="27" t="s">
        <v>262</v>
      </c>
      <c r="F128" s="55" t="str">
        <f>VLOOKUP(Клиенты[[#This Row],[GardenaChannel]],GardenChannel[[GardenChannel]:[Sales manager]],2,0)</f>
        <v>ШКИДИН РОМАН</v>
      </c>
      <c r="H128" s="27" t="s">
        <v>344</v>
      </c>
    </row>
    <row r="129" spans="1:8" x14ac:dyDescent="0.25">
      <c r="A129" s="32" t="s">
        <v>871</v>
      </c>
      <c r="B129" s="27" t="s">
        <v>344</v>
      </c>
      <c r="C129" s="54" t="s">
        <v>405</v>
      </c>
      <c r="D129" s="27" t="s">
        <v>261</v>
      </c>
      <c r="E129" s="27" t="s">
        <v>262</v>
      </c>
      <c r="F129" s="55" t="str">
        <f>VLOOKUP(Клиенты[[#This Row],[GardenaChannel]],GardenChannel[[GardenChannel]:[Sales manager]],2,0)</f>
        <v>ШКИДИН РОМАН</v>
      </c>
      <c r="H129" s="27" t="s">
        <v>344</v>
      </c>
    </row>
    <row r="130" spans="1:8" x14ac:dyDescent="0.25">
      <c r="A130" s="32" t="s">
        <v>872</v>
      </c>
      <c r="B130" s="27" t="s">
        <v>344</v>
      </c>
      <c r="C130" s="54" t="s">
        <v>406</v>
      </c>
      <c r="D130" s="27" t="s">
        <v>261</v>
      </c>
      <c r="E130" s="27" t="s">
        <v>262</v>
      </c>
      <c r="F130" s="55" t="str">
        <f>VLOOKUP(Клиенты[[#This Row],[GardenaChannel]],GardenChannel[[GardenChannel]:[Sales manager]],2,0)</f>
        <v>ШКИДИН РОМАН</v>
      </c>
      <c r="H130" s="27" t="s">
        <v>344</v>
      </c>
    </row>
    <row r="131" spans="1:8" x14ac:dyDescent="0.25">
      <c r="A131" s="32" t="s">
        <v>873</v>
      </c>
      <c r="B131" s="27" t="s">
        <v>344</v>
      </c>
      <c r="C131" s="54" t="s">
        <v>407</v>
      </c>
      <c r="D131" s="27" t="s">
        <v>261</v>
      </c>
      <c r="E131" s="27" t="s">
        <v>262</v>
      </c>
      <c r="F131" s="55" t="str">
        <f>VLOOKUP(Клиенты[[#This Row],[GardenaChannel]],GardenChannel[[GardenChannel]:[Sales manager]],2,0)</f>
        <v>ШКИДИН РОМАН</v>
      </c>
      <c r="H131" s="27" t="s">
        <v>344</v>
      </c>
    </row>
    <row r="132" spans="1:8" x14ac:dyDescent="0.25">
      <c r="A132" s="32" t="s">
        <v>874</v>
      </c>
      <c r="B132" s="27" t="s">
        <v>344</v>
      </c>
      <c r="C132" s="54" t="s">
        <v>408</v>
      </c>
      <c r="D132" s="27" t="s">
        <v>261</v>
      </c>
      <c r="E132" s="27" t="s">
        <v>275</v>
      </c>
      <c r="F132" s="55" t="str">
        <f>VLOOKUP(Клиенты[[#This Row],[GardenaChannel]],GardenChannel[[GardenChannel]:[Sales manager]],2,0)</f>
        <v>ШКИДИН РОМАН</v>
      </c>
      <c r="H132" s="27" t="s">
        <v>344</v>
      </c>
    </row>
    <row r="133" spans="1:8" x14ac:dyDescent="0.25">
      <c r="A133" s="32" t="s">
        <v>875</v>
      </c>
      <c r="B133" s="27" t="s">
        <v>344</v>
      </c>
      <c r="C133" s="54" t="s">
        <v>409</v>
      </c>
      <c r="D133" s="27" t="s">
        <v>261</v>
      </c>
      <c r="E133" s="27" t="s">
        <v>262</v>
      </c>
      <c r="F133" s="55" t="str">
        <f>VLOOKUP(Клиенты[[#This Row],[GardenaChannel]],GardenChannel[[GardenChannel]:[Sales manager]],2,0)</f>
        <v>ШКИДИН РОМАН</v>
      </c>
      <c r="H133" s="27" t="s">
        <v>344</v>
      </c>
    </row>
    <row r="134" spans="1:8" x14ac:dyDescent="0.25">
      <c r="A134" s="32" t="s">
        <v>876</v>
      </c>
      <c r="B134" s="27" t="s">
        <v>344</v>
      </c>
      <c r="C134" s="54" t="s">
        <v>410</v>
      </c>
      <c r="D134" s="27" t="s">
        <v>261</v>
      </c>
      <c r="E134" s="27" t="s">
        <v>262</v>
      </c>
      <c r="F134" s="55" t="str">
        <f>VLOOKUP(Клиенты[[#This Row],[GardenaChannel]],GardenChannel[[GardenChannel]:[Sales manager]],2,0)</f>
        <v>ШКИДИН РОМАН</v>
      </c>
      <c r="H134" s="27" t="s">
        <v>344</v>
      </c>
    </row>
    <row r="135" spans="1:8" x14ac:dyDescent="0.25">
      <c r="A135" s="32" t="s">
        <v>877</v>
      </c>
      <c r="B135" s="27" t="s">
        <v>344</v>
      </c>
      <c r="C135" s="54" t="s">
        <v>411</v>
      </c>
      <c r="D135" s="27" t="s">
        <v>261</v>
      </c>
      <c r="E135" s="27" t="s">
        <v>275</v>
      </c>
      <c r="F135" s="55" t="str">
        <f>VLOOKUP(Клиенты[[#This Row],[GardenaChannel]],GardenChannel[[GardenChannel]:[Sales manager]],2,0)</f>
        <v>ШКИДИН РОМАН</v>
      </c>
      <c r="H135" s="27" t="s">
        <v>344</v>
      </c>
    </row>
    <row r="136" spans="1:8" x14ac:dyDescent="0.25">
      <c r="A136" s="32" t="s">
        <v>878</v>
      </c>
      <c r="B136" s="27" t="s">
        <v>344</v>
      </c>
      <c r="C136" s="54" t="s">
        <v>412</v>
      </c>
      <c r="D136" s="27" t="s">
        <v>261</v>
      </c>
      <c r="E136" s="27" t="s">
        <v>262</v>
      </c>
      <c r="F136" s="55" t="str">
        <f>VLOOKUP(Клиенты[[#This Row],[GardenaChannel]],GardenChannel[[GardenChannel]:[Sales manager]],2,0)</f>
        <v>ШКИДИН РОМАН</v>
      </c>
      <c r="H136" s="27" t="s">
        <v>344</v>
      </c>
    </row>
    <row r="137" spans="1:8" x14ac:dyDescent="0.25">
      <c r="A137" s="32" t="s">
        <v>879</v>
      </c>
      <c r="B137" s="27" t="s">
        <v>344</v>
      </c>
      <c r="C137" s="54" t="s">
        <v>413</v>
      </c>
      <c r="D137" s="27" t="s">
        <v>261</v>
      </c>
      <c r="E137" s="27" t="s">
        <v>275</v>
      </c>
      <c r="F137" s="55" t="str">
        <f>VLOOKUP(Клиенты[[#This Row],[GardenaChannel]],GardenChannel[[GardenChannel]:[Sales manager]],2,0)</f>
        <v>ШКИДИН РОМАН</v>
      </c>
      <c r="H137" s="27" t="s">
        <v>344</v>
      </c>
    </row>
    <row r="138" spans="1:8" x14ac:dyDescent="0.25">
      <c r="A138" s="32" t="s">
        <v>880</v>
      </c>
      <c r="B138" s="27" t="s">
        <v>344</v>
      </c>
      <c r="C138" s="54" t="s">
        <v>414</v>
      </c>
      <c r="D138" s="27" t="s">
        <v>261</v>
      </c>
      <c r="E138" s="27" t="s">
        <v>262</v>
      </c>
      <c r="F138" s="55" t="str">
        <f>VLOOKUP(Клиенты[[#This Row],[GardenaChannel]],GardenChannel[[GardenChannel]:[Sales manager]],2,0)</f>
        <v>ШКИДИН РОМАН</v>
      </c>
      <c r="H138" s="27" t="s">
        <v>344</v>
      </c>
    </row>
    <row r="139" spans="1:8" x14ac:dyDescent="0.25">
      <c r="A139" s="32" t="s">
        <v>881</v>
      </c>
      <c r="B139" s="27" t="s">
        <v>344</v>
      </c>
      <c r="C139" s="54" t="s">
        <v>415</v>
      </c>
      <c r="D139" s="27" t="s">
        <v>261</v>
      </c>
      <c r="E139" s="27" t="s">
        <v>262</v>
      </c>
      <c r="F139" s="55" t="str">
        <f>VLOOKUP(Клиенты[[#This Row],[GardenaChannel]],GardenChannel[[GardenChannel]:[Sales manager]],2,0)</f>
        <v>ШКИДИН РОМАН</v>
      </c>
      <c r="H139" s="27" t="s">
        <v>344</v>
      </c>
    </row>
    <row r="140" spans="1:8" x14ac:dyDescent="0.25">
      <c r="A140" s="32" t="s">
        <v>882</v>
      </c>
      <c r="B140" s="27" t="s">
        <v>416</v>
      </c>
      <c r="C140" s="54" t="s">
        <v>417</v>
      </c>
      <c r="D140" s="27" t="s">
        <v>250</v>
      </c>
      <c r="E140" s="27" t="s">
        <v>418</v>
      </c>
      <c r="F140" s="55" t="str">
        <f>VLOOKUP(Клиенты[[#This Row],[GardenaChannel]],GardenChannel[[GardenChannel]:[Sales manager]],2,0)</f>
        <v>МОНАСТЫРСКИЙ МИХАИЛ</v>
      </c>
      <c r="G140" s="27" t="s">
        <v>420</v>
      </c>
    </row>
    <row r="141" spans="1:8" x14ac:dyDescent="0.25">
      <c r="A141" s="32" t="s">
        <v>883</v>
      </c>
      <c r="B141" s="27" t="s">
        <v>416</v>
      </c>
      <c r="C141" s="54" t="s">
        <v>421</v>
      </c>
      <c r="D141" s="27" t="s">
        <v>250</v>
      </c>
      <c r="E141" s="27" t="s">
        <v>418</v>
      </c>
      <c r="F141" s="55" t="str">
        <f>VLOOKUP(Клиенты[[#This Row],[GardenaChannel]],GardenChannel[[GardenChannel]:[Sales manager]],2,0)</f>
        <v>МОНАСТЫРСКИЙ МИХАИЛ</v>
      </c>
      <c r="G141" s="27" t="s">
        <v>420</v>
      </c>
    </row>
    <row r="142" spans="1:8" x14ac:dyDescent="0.25">
      <c r="A142" s="32" t="s">
        <v>884</v>
      </c>
      <c r="B142" s="27" t="s">
        <v>422</v>
      </c>
      <c r="C142" s="54" t="s">
        <v>423</v>
      </c>
      <c r="D142" s="27" t="s">
        <v>261</v>
      </c>
      <c r="E142" s="27" t="s">
        <v>299</v>
      </c>
      <c r="F142" s="55" t="str">
        <f>VLOOKUP(Клиенты[[#This Row],[GardenaChannel]],GardenChannel[[GardenChannel]:[Sales manager]],2,0)</f>
        <v>ПОЛУНОВ ДМИТРИЙ</v>
      </c>
      <c r="H142" s="27" t="s">
        <v>422</v>
      </c>
    </row>
    <row r="143" spans="1:8" x14ac:dyDescent="0.25">
      <c r="A143" s="32" t="s">
        <v>885</v>
      </c>
      <c r="B143" s="27" t="s">
        <v>422</v>
      </c>
      <c r="C143" s="54" t="s">
        <v>425</v>
      </c>
      <c r="D143" s="27" t="s">
        <v>261</v>
      </c>
      <c r="E143" s="27" t="s">
        <v>426</v>
      </c>
      <c r="F143" s="55" t="str">
        <f>VLOOKUP(Клиенты[[#This Row],[GardenaChannel]],GardenChannel[[GardenChannel]:[Sales manager]],2,0)</f>
        <v>ПОЛУНОВ ДМИТРИЙ</v>
      </c>
      <c r="G143" s="27" t="s">
        <v>427</v>
      </c>
      <c r="H143" s="27" t="s">
        <v>422</v>
      </c>
    </row>
    <row r="144" spans="1:8" x14ac:dyDescent="0.25">
      <c r="A144" s="32" t="s">
        <v>886</v>
      </c>
      <c r="B144" s="27" t="s">
        <v>428</v>
      </c>
      <c r="C144" s="54" t="s">
        <v>429</v>
      </c>
      <c r="D144" s="27" t="s">
        <v>430</v>
      </c>
      <c r="E144" s="27" t="s">
        <v>430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428</v>
      </c>
    </row>
    <row r="145" spans="1:8" x14ac:dyDescent="0.25">
      <c r="A145" s="32" t="s">
        <v>887</v>
      </c>
      <c r="B145" s="27" t="s">
        <v>428</v>
      </c>
      <c r="C145" s="54" t="s">
        <v>432</v>
      </c>
      <c r="D145" s="27" t="s">
        <v>430</v>
      </c>
      <c r="E145" s="27" t="s">
        <v>430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428</v>
      </c>
    </row>
    <row r="146" spans="1:8" x14ac:dyDescent="0.25">
      <c r="A146" s="32" t="s">
        <v>888</v>
      </c>
      <c r="B146" s="27" t="s">
        <v>428</v>
      </c>
      <c r="C146" s="54" t="s">
        <v>433</v>
      </c>
      <c r="D146" s="27" t="s">
        <v>430</v>
      </c>
      <c r="E146" s="27" t="s">
        <v>430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428</v>
      </c>
    </row>
    <row r="147" spans="1:8" x14ac:dyDescent="0.25">
      <c r="A147" s="32" t="s">
        <v>889</v>
      </c>
      <c r="B147" s="27" t="s">
        <v>428</v>
      </c>
      <c r="C147" s="54" t="s">
        <v>434</v>
      </c>
      <c r="D147" s="27" t="s">
        <v>430</v>
      </c>
      <c r="E147" s="27" t="s">
        <v>430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428</v>
      </c>
    </row>
    <row r="148" spans="1:8" x14ac:dyDescent="0.25">
      <c r="A148" s="32" t="s">
        <v>890</v>
      </c>
      <c r="B148" s="27" t="s">
        <v>428</v>
      </c>
      <c r="C148" s="54" t="s">
        <v>435</v>
      </c>
      <c r="D148" s="27" t="s">
        <v>430</v>
      </c>
      <c r="E148" s="27" t="s">
        <v>436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428</v>
      </c>
    </row>
    <row r="149" spans="1:8" x14ac:dyDescent="0.25">
      <c r="A149" s="32" t="s">
        <v>891</v>
      </c>
      <c r="B149" s="27" t="s">
        <v>428</v>
      </c>
      <c r="C149" s="54" t="s">
        <v>437</v>
      </c>
      <c r="D149" s="27" t="s">
        <v>430</v>
      </c>
      <c r="E149" s="27" t="s">
        <v>430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428</v>
      </c>
    </row>
    <row r="150" spans="1:8" x14ac:dyDescent="0.25">
      <c r="A150" s="32" t="s">
        <v>892</v>
      </c>
      <c r="B150" s="27" t="s">
        <v>438</v>
      </c>
      <c r="C150" s="54" t="s">
        <v>439</v>
      </c>
      <c r="D150" s="27" t="s">
        <v>261</v>
      </c>
      <c r="E150" s="27" t="s">
        <v>440</v>
      </c>
      <c r="F150" s="55" t="str">
        <f>VLOOKUP(Клиенты[[#This Row],[GardenaChannel]],GardenChannel[[GardenChannel]:[Sales manager]],2,0)</f>
        <v>АЛЕКСАНДРОВ ИГОРЬ</v>
      </c>
      <c r="H150" s="27" t="s">
        <v>438</v>
      </c>
    </row>
    <row r="151" spans="1:8" x14ac:dyDescent="0.25">
      <c r="A151" s="32" t="s">
        <v>893</v>
      </c>
      <c r="B151" s="27" t="s">
        <v>441</v>
      </c>
      <c r="C151" s="54" t="s">
        <v>442</v>
      </c>
      <c r="D151" s="27" t="s">
        <v>261</v>
      </c>
      <c r="E151" s="27" t="s">
        <v>426</v>
      </c>
      <c r="F151" s="55" t="str">
        <f>VLOOKUP(Клиенты[[#This Row],[GardenaChannel]],GardenChannel[[GardenChannel]:[Sales manager]],2,0)</f>
        <v>ШКИДИН РОМАН</v>
      </c>
      <c r="H151" s="27" t="s">
        <v>441</v>
      </c>
    </row>
    <row r="152" spans="1:8" x14ac:dyDescent="0.25">
      <c r="A152" s="32" t="s">
        <v>894</v>
      </c>
      <c r="B152" s="27" t="s">
        <v>443</v>
      </c>
      <c r="C152" s="54" t="s">
        <v>444</v>
      </c>
      <c r="D152" s="27" t="s">
        <v>261</v>
      </c>
      <c r="E152" s="27" t="s">
        <v>426</v>
      </c>
      <c r="F152" s="55" t="str">
        <f>VLOOKUP(Клиенты[[#This Row],[GardenaChannel]],GardenChannel[[GardenChannel]:[Sales manager]],2,0)</f>
        <v>ЖУРАВЛЕВ ПАВЕЛ</v>
      </c>
      <c r="H152" s="27" t="s">
        <v>443</v>
      </c>
    </row>
    <row r="153" spans="1:8" x14ac:dyDescent="0.25">
      <c r="A153" s="32" t="s">
        <v>895</v>
      </c>
      <c r="B153" s="27" t="s">
        <v>443</v>
      </c>
      <c r="C153" s="54" t="s">
        <v>446</v>
      </c>
      <c r="D153" s="27" t="s">
        <v>261</v>
      </c>
      <c r="E153" s="27" t="s">
        <v>262</v>
      </c>
      <c r="F153" s="55" t="str">
        <f>VLOOKUP(Клиенты[[#This Row],[GardenaChannel]],GardenChannel[[GardenChannel]:[Sales manager]],2,0)</f>
        <v>ЖУРАВЛЕВ ПАВЕЛ</v>
      </c>
      <c r="H153" s="27" t="s">
        <v>443</v>
      </c>
    </row>
    <row r="154" spans="1:8" x14ac:dyDescent="0.25">
      <c r="A154" s="32" t="s">
        <v>896</v>
      </c>
      <c r="B154" s="27" t="s">
        <v>447</v>
      </c>
      <c r="C154" s="54" t="s">
        <v>448</v>
      </c>
      <c r="D154" s="27" t="s">
        <v>250</v>
      </c>
      <c r="E154" s="27" t="s">
        <v>449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897</v>
      </c>
      <c r="B155" s="27" t="s">
        <v>451</v>
      </c>
      <c r="C155" s="54" t="s">
        <v>452</v>
      </c>
      <c r="D155" s="27" t="s">
        <v>261</v>
      </c>
      <c r="E155" s="27" t="s">
        <v>262</v>
      </c>
      <c r="F155" s="55" t="str">
        <f>VLOOKUP(Клиенты[[#This Row],[GardenaChannel]],GardenChannel[[GardenChannel]:[Sales manager]],2,0)</f>
        <v>ЖУРАВЛЕВ ПАВЕЛ</v>
      </c>
      <c r="H155" s="27" t="s">
        <v>451</v>
      </c>
    </row>
    <row r="156" spans="1:8" x14ac:dyDescent="0.25">
      <c r="A156" s="32" t="s">
        <v>898</v>
      </c>
      <c r="B156" s="27" t="s">
        <v>451</v>
      </c>
      <c r="C156" s="54" t="s">
        <v>453</v>
      </c>
      <c r="D156" s="27" t="s">
        <v>261</v>
      </c>
      <c r="E156" s="27" t="s">
        <v>275</v>
      </c>
      <c r="F156" s="55" t="str">
        <f>VLOOKUP(Клиенты[[#This Row],[GardenaChannel]],GardenChannel[[GardenChannel]:[Sales manager]],2,0)</f>
        <v>ЖУРАВЛЕВ ПАВЕЛ</v>
      </c>
      <c r="H156" s="27" t="s">
        <v>451</v>
      </c>
    </row>
    <row r="157" spans="1:8" x14ac:dyDescent="0.25">
      <c r="A157" s="32" t="s">
        <v>899</v>
      </c>
      <c r="B157" s="27" t="s">
        <v>451</v>
      </c>
      <c r="C157" s="54" t="s">
        <v>454</v>
      </c>
      <c r="D157" s="27" t="s">
        <v>261</v>
      </c>
      <c r="E157" s="27" t="s">
        <v>262</v>
      </c>
      <c r="F157" s="55" t="str">
        <f>VLOOKUP(Клиенты[[#This Row],[GardenaChannel]],GardenChannel[[GardenChannel]:[Sales manager]],2,0)</f>
        <v>ЖУРАВЛЕВ ПАВЕЛ</v>
      </c>
      <c r="H157" s="27" t="s">
        <v>451</v>
      </c>
    </row>
    <row r="158" spans="1:8" x14ac:dyDescent="0.25">
      <c r="A158" s="32" t="s">
        <v>900</v>
      </c>
      <c r="B158" s="27" t="s">
        <v>451</v>
      </c>
      <c r="C158" s="54" t="s">
        <v>455</v>
      </c>
      <c r="D158" s="27" t="s">
        <v>261</v>
      </c>
      <c r="E158" s="27" t="s">
        <v>262</v>
      </c>
      <c r="F158" s="55" t="str">
        <f>VLOOKUP(Клиенты[[#This Row],[GardenaChannel]],GardenChannel[[GardenChannel]:[Sales manager]],2,0)</f>
        <v>ЖУРАВЛЕВ ПАВЕЛ</v>
      </c>
      <c r="H158" s="27" t="s">
        <v>451</v>
      </c>
    </row>
    <row r="159" spans="1:8" x14ac:dyDescent="0.25">
      <c r="A159" s="32" t="s">
        <v>901</v>
      </c>
      <c r="B159" s="27" t="s">
        <v>451</v>
      </c>
      <c r="C159" s="54" t="s">
        <v>456</v>
      </c>
      <c r="D159" s="27" t="s">
        <v>261</v>
      </c>
      <c r="E159" s="27" t="s">
        <v>275</v>
      </c>
      <c r="F159" s="55" t="str">
        <f>VLOOKUP(Клиенты[[#This Row],[GardenaChannel]],GardenChannel[[GardenChannel]:[Sales manager]],2,0)</f>
        <v>ЖУРАВЛЕВ ПАВЕЛ</v>
      </c>
      <c r="H159" s="27" t="s">
        <v>451</v>
      </c>
    </row>
    <row r="160" spans="1:8" x14ac:dyDescent="0.25">
      <c r="A160" s="32" t="s">
        <v>902</v>
      </c>
      <c r="B160" s="27" t="s">
        <v>451</v>
      </c>
      <c r="C160" s="54" t="s">
        <v>457</v>
      </c>
      <c r="D160" s="27" t="s">
        <v>261</v>
      </c>
      <c r="E160" s="27" t="s">
        <v>275</v>
      </c>
      <c r="F160" s="55" t="str">
        <f>VLOOKUP(Клиенты[[#This Row],[GardenaChannel]],GardenChannel[[GardenChannel]:[Sales manager]],2,0)</f>
        <v>ЖУРАВЛЕВ ПАВЕЛ</v>
      </c>
      <c r="H160" s="27" t="s">
        <v>451</v>
      </c>
    </row>
    <row r="161" spans="1:8" x14ac:dyDescent="0.25">
      <c r="A161" s="32" t="s">
        <v>903</v>
      </c>
      <c r="B161" s="27" t="s">
        <v>451</v>
      </c>
      <c r="C161" s="54" t="s">
        <v>458</v>
      </c>
      <c r="D161" s="27" t="s">
        <v>261</v>
      </c>
      <c r="E161" s="27" t="s">
        <v>299</v>
      </c>
      <c r="F161" s="55" t="str">
        <f>VLOOKUP(Клиенты[[#This Row],[GardenaChannel]],GardenChannel[[GardenChannel]:[Sales manager]],2,0)</f>
        <v>ЖУРАВЛЕВ ПАВЕЛ</v>
      </c>
      <c r="H161" s="27" t="s">
        <v>451</v>
      </c>
    </row>
    <row r="162" spans="1:8" x14ac:dyDescent="0.25">
      <c r="A162" s="32" t="s">
        <v>904</v>
      </c>
      <c r="B162" s="27" t="s">
        <v>451</v>
      </c>
      <c r="C162" s="54" t="s">
        <v>459</v>
      </c>
      <c r="D162" s="27" t="s">
        <v>261</v>
      </c>
      <c r="E162" s="27" t="s">
        <v>262</v>
      </c>
      <c r="F162" s="55" t="str">
        <f>VLOOKUP(Клиенты[[#This Row],[GardenaChannel]],GardenChannel[[GardenChannel]:[Sales manager]],2,0)</f>
        <v>ЖУРАВЛЕВ ПАВЕЛ</v>
      </c>
      <c r="H162" s="27" t="s">
        <v>451</v>
      </c>
    </row>
    <row r="163" spans="1:8" x14ac:dyDescent="0.25">
      <c r="A163" s="32" t="s">
        <v>905</v>
      </c>
      <c r="B163" s="27" t="s">
        <v>451</v>
      </c>
      <c r="C163" s="54" t="s">
        <v>460</v>
      </c>
      <c r="D163" s="27" t="s">
        <v>261</v>
      </c>
      <c r="E163" s="27" t="s">
        <v>262</v>
      </c>
      <c r="F163" s="55" t="str">
        <f>VLOOKUP(Клиенты[[#This Row],[GardenaChannel]],GardenChannel[[GardenChannel]:[Sales manager]],2,0)</f>
        <v>ЖУРАВЛЕВ ПАВЕЛ</v>
      </c>
      <c r="H163" s="27" t="s">
        <v>451</v>
      </c>
    </row>
    <row r="164" spans="1:8" x14ac:dyDescent="0.25">
      <c r="A164" s="32" t="s">
        <v>906</v>
      </c>
      <c r="B164" s="27" t="s">
        <v>451</v>
      </c>
      <c r="C164" s="54" t="s">
        <v>461</v>
      </c>
      <c r="D164" s="27" t="s">
        <v>261</v>
      </c>
      <c r="E164" s="27" t="s">
        <v>275</v>
      </c>
      <c r="F164" s="55" t="str">
        <f>VLOOKUP(Клиенты[[#This Row],[GardenaChannel]],GardenChannel[[GardenChannel]:[Sales manager]],2,0)</f>
        <v>ЖУРАВЛЕВ ПАВЕЛ</v>
      </c>
      <c r="H164" s="27" t="s">
        <v>451</v>
      </c>
    </row>
    <row r="165" spans="1:8" x14ac:dyDescent="0.25">
      <c r="A165" s="32" t="s">
        <v>907</v>
      </c>
      <c r="B165" s="27" t="s">
        <v>451</v>
      </c>
      <c r="C165" s="54" t="s">
        <v>462</v>
      </c>
      <c r="D165" s="27" t="s">
        <v>261</v>
      </c>
      <c r="E165" s="27" t="s">
        <v>262</v>
      </c>
      <c r="F165" s="55" t="str">
        <f>VLOOKUP(Клиенты[[#This Row],[GardenaChannel]],GardenChannel[[GardenChannel]:[Sales manager]],2,0)</f>
        <v>ЖУРАВЛЕВ ПАВЕЛ</v>
      </c>
      <c r="H165" s="27" t="s">
        <v>451</v>
      </c>
    </row>
    <row r="166" spans="1:8" x14ac:dyDescent="0.25">
      <c r="A166" s="32" t="s">
        <v>908</v>
      </c>
      <c r="B166" s="27" t="s">
        <v>451</v>
      </c>
      <c r="C166" s="54" t="s">
        <v>463</v>
      </c>
      <c r="D166" s="27" t="s">
        <v>261</v>
      </c>
      <c r="E166" s="27" t="s">
        <v>262</v>
      </c>
      <c r="F166" s="55" t="str">
        <f>VLOOKUP(Клиенты[[#This Row],[GardenaChannel]],GardenChannel[[GardenChannel]:[Sales manager]],2,0)</f>
        <v>ЖУРАВЛЕВ ПАВЕЛ</v>
      </c>
      <c r="H166" s="27" t="s">
        <v>451</v>
      </c>
    </row>
    <row r="167" spans="1:8" x14ac:dyDescent="0.25">
      <c r="A167" s="32" t="s">
        <v>909</v>
      </c>
      <c r="B167" s="27" t="s">
        <v>451</v>
      </c>
      <c r="C167" s="54" t="s">
        <v>464</v>
      </c>
      <c r="D167" s="27" t="s">
        <v>261</v>
      </c>
      <c r="E167" s="27" t="s">
        <v>275</v>
      </c>
      <c r="F167" s="55" t="str">
        <f>VLOOKUP(Клиенты[[#This Row],[GardenaChannel]],GardenChannel[[GardenChannel]:[Sales manager]],2,0)</f>
        <v>ЖУРАВЛЕВ ПАВЕЛ</v>
      </c>
      <c r="H167" s="27" t="s">
        <v>451</v>
      </c>
    </row>
    <row r="168" spans="1:8" x14ac:dyDescent="0.25">
      <c r="A168" s="32" t="s">
        <v>910</v>
      </c>
      <c r="B168" s="27" t="s">
        <v>451</v>
      </c>
      <c r="C168" s="54" t="s">
        <v>465</v>
      </c>
      <c r="D168" s="27" t="s">
        <v>261</v>
      </c>
      <c r="E168" s="27" t="s">
        <v>262</v>
      </c>
      <c r="F168" s="55" t="str">
        <f>VLOOKUP(Клиенты[[#This Row],[GardenaChannel]],GardenChannel[[GardenChannel]:[Sales manager]],2,0)</f>
        <v>ЖУРАВЛЕВ ПАВЕЛ</v>
      </c>
      <c r="H168" s="27" t="s">
        <v>451</v>
      </c>
    </row>
    <row r="169" spans="1:8" x14ac:dyDescent="0.25">
      <c r="A169" s="32" t="s">
        <v>911</v>
      </c>
      <c r="B169" s="27" t="s">
        <v>451</v>
      </c>
      <c r="C169" s="54" t="s">
        <v>466</v>
      </c>
      <c r="D169" s="27" t="s">
        <v>261</v>
      </c>
      <c r="E169" s="27" t="s">
        <v>262</v>
      </c>
      <c r="F169" s="55" t="str">
        <f>VLOOKUP(Клиенты[[#This Row],[GardenaChannel]],GardenChannel[[GardenChannel]:[Sales manager]],2,0)</f>
        <v>ЖУРАВЛЕВ ПАВЕЛ</v>
      </c>
      <c r="H169" s="27" t="s">
        <v>451</v>
      </c>
    </row>
    <row r="170" spans="1:8" x14ac:dyDescent="0.25">
      <c r="A170" s="32" t="s">
        <v>912</v>
      </c>
      <c r="B170" s="27" t="s">
        <v>451</v>
      </c>
      <c r="C170" s="54" t="s">
        <v>467</v>
      </c>
      <c r="D170" s="27" t="s">
        <v>261</v>
      </c>
      <c r="E170" s="27" t="s">
        <v>262</v>
      </c>
      <c r="F170" s="55" t="str">
        <f>VLOOKUP(Клиенты[[#This Row],[GardenaChannel]],GardenChannel[[GardenChannel]:[Sales manager]],2,0)</f>
        <v>ЖУРАВЛЕВ ПАВЕЛ</v>
      </c>
      <c r="H170" s="27" t="s">
        <v>451</v>
      </c>
    </row>
    <row r="171" spans="1:8" x14ac:dyDescent="0.25">
      <c r="A171" s="32" t="s">
        <v>913</v>
      </c>
      <c r="B171" s="27" t="s">
        <v>451</v>
      </c>
      <c r="C171" s="54" t="s">
        <v>468</v>
      </c>
      <c r="D171" s="27" t="s">
        <v>261</v>
      </c>
      <c r="E171" s="27" t="s">
        <v>262</v>
      </c>
      <c r="F171" s="55" t="str">
        <f>VLOOKUP(Клиенты[[#This Row],[GardenaChannel]],GardenChannel[[GardenChannel]:[Sales manager]],2,0)</f>
        <v>ЖУРАВЛЕВ ПАВЕЛ</v>
      </c>
      <c r="H171" s="27" t="s">
        <v>451</v>
      </c>
    </row>
    <row r="172" spans="1:8" x14ac:dyDescent="0.25">
      <c r="A172" s="32" t="s">
        <v>914</v>
      </c>
      <c r="B172" s="27" t="s">
        <v>451</v>
      </c>
      <c r="C172" s="54" t="s">
        <v>469</v>
      </c>
      <c r="D172" s="27" t="s">
        <v>261</v>
      </c>
      <c r="E172" s="27" t="s">
        <v>262</v>
      </c>
      <c r="F172" s="55" t="str">
        <f>VLOOKUP(Клиенты[[#This Row],[GardenaChannel]],GardenChannel[[GardenChannel]:[Sales manager]],2,0)</f>
        <v>ЖУРАВЛЕВ ПАВЕЛ</v>
      </c>
      <c r="H172" s="27" t="s">
        <v>451</v>
      </c>
    </row>
    <row r="173" spans="1:8" x14ac:dyDescent="0.25">
      <c r="A173" s="32" t="s">
        <v>915</v>
      </c>
      <c r="B173" s="27" t="s">
        <v>451</v>
      </c>
      <c r="C173" s="54" t="s">
        <v>470</v>
      </c>
      <c r="D173" s="27" t="s">
        <v>261</v>
      </c>
      <c r="E173" s="27" t="s">
        <v>262</v>
      </c>
      <c r="F173" s="55" t="str">
        <f>VLOOKUP(Клиенты[[#This Row],[GardenaChannel]],GardenChannel[[GardenChannel]:[Sales manager]],2,0)</f>
        <v>ЖУРАВЛЕВ ПАВЕЛ</v>
      </c>
      <c r="H173" s="27" t="s">
        <v>451</v>
      </c>
    </row>
    <row r="174" spans="1:8" x14ac:dyDescent="0.25">
      <c r="A174" s="32" t="s">
        <v>916</v>
      </c>
      <c r="B174" s="27" t="s">
        <v>451</v>
      </c>
      <c r="C174" s="54" t="s">
        <v>471</v>
      </c>
      <c r="D174" s="27" t="s">
        <v>261</v>
      </c>
      <c r="E174" s="27" t="s">
        <v>262</v>
      </c>
      <c r="F174" s="55" t="str">
        <f>VLOOKUP(Клиенты[[#This Row],[GardenaChannel]],GardenChannel[[GardenChannel]:[Sales manager]],2,0)</f>
        <v>ЖУРАВЛЕВ ПАВЕЛ</v>
      </c>
      <c r="H174" s="27" t="s">
        <v>451</v>
      </c>
    </row>
    <row r="175" spans="1:8" x14ac:dyDescent="0.25">
      <c r="A175" s="32" t="s">
        <v>917</v>
      </c>
      <c r="B175" s="27" t="s">
        <v>451</v>
      </c>
      <c r="C175" s="54" t="s">
        <v>472</v>
      </c>
      <c r="D175" s="27" t="s">
        <v>261</v>
      </c>
      <c r="E175" s="27" t="s">
        <v>262</v>
      </c>
      <c r="F175" s="55" t="str">
        <f>VLOOKUP(Клиенты[[#This Row],[GardenaChannel]],GardenChannel[[GardenChannel]:[Sales manager]],2,0)</f>
        <v>ЖУРАВЛЕВ ПАВЕЛ</v>
      </c>
      <c r="H175" s="27" t="s">
        <v>451</v>
      </c>
    </row>
    <row r="176" spans="1:8" x14ac:dyDescent="0.25">
      <c r="A176" s="32" t="s">
        <v>918</v>
      </c>
      <c r="B176" s="27" t="s">
        <v>451</v>
      </c>
      <c r="C176" s="54" t="s">
        <v>473</v>
      </c>
      <c r="D176" s="27" t="s">
        <v>261</v>
      </c>
      <c r="E176" s="27" t="s">
        <v>262</v>
      </c>
      <c r="F176" s="55" t="str">
        <f>VLOOKUP(Клиенты[[#This Row],[GardenaChannel]],GardenChannel[[GardenChannel]:[Sales manager]],2,0)</f>
        <v>ЖУРАВЛЕВ ПАВЕЛ</v>
      </c>
      <c r="H176" s="27" t="s">
        <v>451</v>
      </c>
    </row>
    <row r="177" spans="1:8" x14ac:dyDescent="0.25">
      <c r="A177" s="32" t="s">
        <v>919</v>
      </c>
      <c r="B177" s="27" t="s">
        <v>451</v>
      </c>
      <c r="C177" s="54" t="s">
        <v>474</v>
      </c>
      <c r="D177" s="27" t="s">
        <v>261</v>
      </c>
      <c r="E177" s="27" t="s">
        <v>262</v>
      </c>
      <c r="F177" s="55" t="str">
        <f>VLOOKUP(Клиенты[[#This Row],[GardenaChannel]],GardenChannel[[GardenChannel]:[Sales manager]],2,0)</f>
        <v>ЖУРАВЛЕВ ПАВЕЛ</v>
      </c>
      <c r="H177" s="27" t="s">
        <v>451</v>
      </c>
    </row>
    <row r="178" spans="1:8" x14ac:dyDescent="0.25">
      <c r="A178" s="32" t="s">
        <v>920</v>
      </c>
      <c r="B178" s="27" t="s">
        <v>451</v>
      </c>
      <c r="C178" s="54" t="s">
        <v>475</v>
      </c>
      <c r="D178" s="27" t="s">
        <v>261</v>
      </c>
      <c r="E178" s="27" t="s">
        <v>262</v>
      </c>
      <c r="F178" s="55" t="str">
        <f>VLOOKUP(Клиенты[[#This Row],[GardenaChannel]],GardenChannel[[GardenChannel]:[Sales manager]],2,0)</f>
        <v>ЖУРАВЛЕВ ПАВЕЛ</v>
      </c>
      <c r="H178" s="27" t="s">
        <v>451</v>
      </c>
    </row>
    <row r="179" spans="1:8" x14ac:dyDescent="0.25">
      <c r="A179" s="32" t="s">
        <v>921</v>
      </c>
      <c r="B179" s="27" t="s">
        <v>451</v>
      </c>
      <c r="C179" s="54" t="s">
        <v>476</v>
      </c>
      <c r="D179" s="27" t="s">
        <v>261</v>
      </c>
      <c r="E179" s="27" t="s">
        <v>262</v>
      </c>
      <c r="F179" s="55" t="str">
        <f>VLOOKUP(Клиенты[[#This Row],[GardenaChannel]],GardenChannel[[GardenChannel]:[Sales manager]],2,0)</f>
        <v>ЖУРАВЛЕВ ПАВЕЛ</v>
      </c>
      <c r="H179" s="27" t="s">
        <v>451</v>
      </c>
    </row>
    <row r="180" spans="1:8" x14ac:dyDescent="0.25">
      <c r="A180" s="32" t="s">
        <v>922</v>
      </c>
      <c r="B180" s="27" t="s">
        <v>451</v>
      </c>
      <c r="C180" s="54" t="s">
        <v>477</v>
      </c>
      <c r="D180" s="27" t="s">
        <v>261</v>
      </c>
      <c r="E180" s="27" t="s">
        <v>262</v>
      </c>
      <c r="F180" s="55" t="str">
        <f>VLOOKUP(Клиенты[[#This Row],[GardenaChannel]],GardenChannel[[GardenChannel]:[Sales manager]],2,0)</f>
        <v>ЖУРАВЛЕВ ПАВЕЛ</v>
      </c>
      <c r="H180" s="27" t="s">
        <v>451</v>
      </c>
    </row>
    <row r="181" spans="1:8" x14ac:dyDescent="0.25">
      <c r="A181" s="32" t="s">
        <v>923</v>
      </c>
      <c r="B181" s="27" t="s">
        <v>451</v>
      </c>
      <c r="C181" s="54" t="s">
        <v>478</v>
      </c>
      <c r="D181" s="27" t="s">
        <v>261</v>
      </c>
      <c r="E181" s="27" t="s">
        <v>262</v>
      </c>
      <c r="F181" s="55" t="str">
        <f>VLOOKUP(Клиенты[[#This Row],[GardenaChannel]],GardenChannel[[GardenChannel]:[Sales manager]],2,0)</f>
        <v>ЖУРАВЛЕВ ПАВЕЛ</v>
      </c>
      <c r="H181" s="27" t="s">
        <v>451</v>
      </c>
    </row>
    <row r="182" spans="1:8" x14ac:dyDescent="0.25">
      <c r="A182" s="32" t="s">
        <v>924</v>
      </c>
      <c r="B182" s="27" t="s">
        <v>451</v>
      </c>
      <c r="C182" s="54" t="s">
        <v>479</v>
      </c>
      <c r="D182" s="27" t="s">
        <v>261</v>
      </c>
      <c r="E182" s="27" t="s">
        <v>262</v>
      </c>
      <c r="F182" s="55" t="str">
        <f>VLOOKUP(Клиенты[[#This Row],[GardenaChannel]],GardenChannel[[GardenChannel]:[Sales manager]],2,0)</f>
        <v>ЖУРАВЛЕВ ПАВЕЛ</v>
      </c>
      <c r="H182" s="27" t="s">
        <v>451</v>
      </c>
    </row>
    <row r="183" spans="1:8" x14ac:dyDescent="0.25">
      <c r="A183" s="32" t="s">
        <v>925</v>
      </c>
      <c r="B183" s="27" t="s">
        <v>451</v>
      </c>
      <c r="C183" s="54" t="s">
        <v>480</v>
      </c>
      <c r="D183" s="27" t="s">
        <v>261</v>
      </c>
      <c r="E183" s="27" t="s">
        <v>262</v>
      </c>
      <c r="F183" s="55" t="str">
        <f>VLOOKUP(Клиенты[[#This Row],[GardenaChannel]],GardenChannel[[GardenChannel]:[Sales manager]],2,0)</f>
        <v>ЖУРАВЛЕВ ПАВЕЛ</v>
      </c>
      <c r="H183" s="27" t="s">
        <v>451</v>
      </c>
    </row>
    <row r="184" spans="1:8" x14ac:dyDescent="0.25">
      <c r="A184" s="32" t="s">
        <v>926</v>
      </c>
      <c r="B184" s="27" t="s">
        <v>451</v>
      </c>
      <c r="C184" s="54" t="s">
        <v>481</v>
      </c>
      <c r="D184" s="27" t="s">
        <v>261</v>
      </c>
      <c r="E184" s="27" t="s">
        <v>262</v>
      </c>
      <c r="F184" s="55" t="str">
        <f>VLOOKUP(Клиенты[[#This Row],[GardenaChannel]],GardenChannel[[GardenChannel]:[Sales manager]],2,0)</f>
        <v>ЖУРАВЛЕВ ПАВЕЛ</v>
      </c>
      <c r="H184" s="27" t="s">
        <v>451</v>
      </c>
    </row>
    <row r="185" spans="1:8" x14ac:dyDescent="0.25">
      <c r="A185" s="32" t="s">
        <v>927</v>
      </c>
      <c r="B185" s="27" t="s">
        <v>451</v>
      </c>
      <c r="C185" s="54" t="s">
        <v>482</v>
      </c>
      <c r="D185" s="27" t="s">
        <v>261</v>
      </c>
      <c r="E185" s="27" t="s">
        <v>275</v>
      </c>
      <c r="F185" s="55" t="str">
        <f>VLOOKUP(Клиенты[[#This Row],[GardenaChannel]],GardenChannel[[GardenChannel]:[Sales manager]],2,0)</f>
        <v>ЖУРАВЛЕВ ПАВЕЛ</v>
      </c>
      <c r="H185" s="27" t="s">
        <v>451</v>
      </c>
    </row>
    <row r="186" spans="1:8" x14ac:dyDescent="0.25">
      <c r="A186" s="32" t="s">
        <v>928</v>
      </c>
      <c r="B186" s="27" t="s">
        <v>483</v>
      </c>
      <c r="C186" s="54" t="s">
        <v>484</v>
      </c>
      <c r="D186" s="27" t="s">
        <v>261</v>
      </c>
      <c r="E186" s="27" t="s">
        <v>262</v>
      </c>
      <c r="F186" s="55" t="str">
        <f>VLOOKUP(Клиенты[[#This Row],[GardenaChannel]],GardenChannel[[GardenChannel]:[Sales manager]],2,0)</f>
        <v>ОРЛОВ КИРИЛЛ</v>
      </c>
      <c r="H186" s="27" t="s">
        <v>483</v>
      </c>
    </row>
    <row r="187" spans="1:8" x14ac:dyDescent="0.25">
      <c r="A187" s="32" t="s">
        <v>929</v>
      </c>
      <c r="B187" s="27" t="s">
        <v>483</v>
      </c>
      <c r="C187" s="54" t="s">
        <v>486</v>
      </c>
      <c r="D187" s="27" t="s">
        <v>261</v>
      </c>
      <c r="E187" s="27" t="s">
        <v>262</v>
      </c>
      <c r="F187" s="55" t="str">
        <f>VLOOKUP(Клиенты[[#This Row],[GardenaChannel]],GardenChannel[[GardenChannel]:[Sales manager]],2,0)</f>
        <v>ОРЛОВ КИРИЛЛ</v>
      </c>
      <c r="H187" s="27" t="s">
        <v>483</v>
      </c>
    </row>
    <row r="188" spans="1:8" x14ac:dyDescent="0.25">
      <c r="A188" s="32" t="s">
        <v>930</v>
      </c>
      <c r="B188" s="27" t="s">
        <v>483</v>
      </c>
      <c r="C188" s="54" t="s">
        <v>487</v>
      </c>
      <c r="D188" s="27" t="s">
        <v>261</v>
      </c>
      <c r="E188" s="27" t="s">
        <v>299</v>
      </c>
      <c r="F188" s="55" t="str">
        <f>VLOOKUP(Клиенты[[#This Row],[GardenaChannel]],GardenChannel[[GardenChannel]:[Sales manager]],2,0)</f>
        <v>ОРЛОВ КИРИЛЛ</v>
      </c>
      <c r="H188" s="27" t="s">
        <v>483</v>
      </c>
    </row>
    <row r="189" spans="1:8" x14ac:dyDescent="0.25">
      <c r="A189" s="32" t="s">
        <v>931</v>
      </c>
      <c r="B189" s="27" t="s">
        <v>483</v>
      </c>
      <c r="C189" s="54" t="s">
        <v>488</v>
      </c>
      <c r="D189" s="27" t="s">
        <v>261</v>
      </c>
      <c r="E189" s="27" t="s">
        <v>299</v>
      </c>
      <c r="F189" s="55" t="str">
        <f>VLOOKUP(Клиенты[[#This Row],[GardenaChannel]],GardenChannel[[GardenChannel]:[Sales manager]],2,0)</f>
        <v>ОРЛОВ КИРИЛЛ</v>
      </c>
      <c r="H189" s="27" t="s">
        <v>483</v>
      </c>
    </row>
    <row r="190" spans="1:8" x14ac:dyDescent="0.25">
      <c r="A190" s="32" t="s">
        <v>932</v>
      </c>
      <c r="B190" s="27" t="s">
        <v>483</v>
      </c>
      <c r="C190" s="54" t="s">
        <v>489</v>
      </c>
      <c r="D190" s="27" t="s">
        <v>261</v>
      </c>
      <c r="E190" s="27" t="s">
        <v>262</v>
      </c>
      <c r="F190" s="55" t="str">
        <f>VLOOKUP(Клиенты[[#This Row],[GardenaChannel]],GardenChannel[[GardenChannel]:[Sales manager]],2,0)</f>
        <v>ОРЛОВ КИРИЛЛ</v>
      </c>
      <c r="H190" s="27" t="s">
        <v>483</v>
      </c>
    </row>
    <row r="191" spans="1:8" x14ac:dyDescent="0.25">
      <c r="A191" s="32" t="s">
        <v>933</v>
      </c>
      <c r="B191" s="27" t="s">
        <v>483</v>
      </c>
      <c r="C191" s="54" t="s">
        <v>490</v>
      </c>
      <c r="D191" s="27" t="s">
        <v>261</v>
      </c>
      <c r="E191" s="27" t="s">
        <v>262</v>
      </c>
      <c r="F191" s="55" t="str">
        <f>VLOOKUP(Клиенты[[#This Row],[GardenaChannel]],GardenChannel[[GardenChannel]:[Sales manager]],2,0)</f>
        <v>ОРЛОВ КИРИЛЛ</v>
      </c>
      <c r="H191" s="27" t="s">
        <v>483</v>
      </c>
    </row>
    <row r="192" spans="1:8" x14ac:dyDescent="0.25">
      <c r="A192" s="32" t="s">
        <v>934</v>
      </c>
      <c r="B192" s="27" t="s">
        <v>483</v>
      </c>
      <c r="C192" s="54" t="s">
        <v>491</v>
      </c>
      <c r="D192" s="27" t="s">
        <v>261</v>
      </c>
      <c r="E192" s="27" t="s">
        <v>262</v>
      </c>
      <c r="F192" s="55" t="str">
        <f>VLOOKUP(Клиенты[[#This Row],[GardenaChannel]],GardenChannel[[GardenChannel]:[Sales manager]],2,0)</f>
        <v>ОРЛОВ КИРИЛЛ</v>
      </c>
      <c r="H192" s="27" t="s">
        <v>483</v>
      </c>
    </row>
    <row r="193" spans="1:8" x14ac:dyDescent="0.25">
      <c r="A193" s="32" t="s">
        <v>935</v>
      </c>
      <c r="B193" s="27" t="s">
        <v>483</v>
      </c>
      <c r="C193" s="54" t="s">
        <v>492</v>
      </c>
      <c r="D193" s="27" t="s">
        <v>261</v>
      </c>
      <c r="E193" s="27" t="s">
        <v>262</v>
      </c>
      <c r="F193" s="55" t="str">
        <f>VLOOKUP(Клиенты[[#This Row],[GardenaChannel]],GardenChannel[[GardenChannel]:[Sales manager]],2,0)</f>
        <v>ОРЛОВ КИРИЛЛ</v>
      </c>
      <c r="H193" s="27" t="s">
        <v>483</v>
      </c>
    </row>
    <row r="194" spans="1:8" x14ac:dyDescent="0.25">
      <c r="A194" s="32" t="s">
        <v>936</v>
      </c>
      <c r="B194" s="27" t="s">
        <v>483</v>
      </c>
      <c r="C194" s="54" t="s">
        <v>493</v>
      </c>
      <c r="D194" s="27" t="s">
        <v>261</v>
      </c>
      <c r="E194" s="27" t="s">
        <v>262</v>
      </c>
      <c r="F194" s="55" t="str">
        <f>VLOOKUP(Клиенты[[#This Row],[GardenaChannel]],GardenChannel[[GardenChannel]:[Sales manager]],2,0)</f>
        <v>ОРЛОВ КИРИЛЛ</v>
      </c>
      <c r="H194" s="27" t="s">
        <v>483</v>
      </c>
    </row>
    <row r="195" spans="1:8" x14ac:dyDescent="0.25">
      <c r="A195" s="32" t="s">
        <v>937</v>
      </c>
      <c r="B195" s="27" t="s">
        <v>483</v>
      </c>
      <c r="C195" s="54" t="s">
        <v>494</v>
      </c>
      <c r="D195" s="27" t="s">
        <v>261</v>
      </c>
      <c r="E195" s="27" t="s">
        <v>262</v>
      </c>
      <c r="F195" s="55" t="str">
        <f>VLOOKUP(Клиенты[[#This Row],[GardenaChannel]],GardenChannel[[GardenChannel]:[Sales manager]],2,0)</f>
        <v>ОРЛОВ КИРИЛЛ</v>
      </c>
      <c r="H195" s="27" t="s">
        <v>483</v>
      </c>
    </row>
    <row r="196" spans="1:8" x14ac:dyDescent="0.25">
      <c r="A196" s="32" t="s">
        <v>938</v>
      </c>
      <c r="B196" s="27" t="s">
        <v>483</v>
      </c>
      <c r="C196" s="54" t="s">
        <v>495</v>
      </c>
      <c r="D196" s="27" t="s">
        <v>261</v>
      </c>
      <c r="E196" s="27" t="s">
        <v>262</v>
      </c>
      <c r="F196" s="55" t="str">
        <f>VLOOKUP(Клиенты[[#This Row],[GardenaChannel]],GardenChannel[[GardenChannel]:[Sales manager]],2,0)</f>
        <v>ОРЛОВ КИРИЛЛ</v>
      </c>
      <c r="H196" s="27" t="s">
        <v>483</v>
      </c>
    </row>
    <row r="197" spans="1:8" x14ac:dyDescent="0.25">
      <c r="A197" s="32" t="s">
        <v>939</v>
      </c>
      <c r="B197" s="27" t="s">
        <v>483</v>
      </c>
      <c r="C197" s="54" t="s">
        <v>496</v>
      </c>
      <c r="D197" s="27" t="s">
        <v>261</v>
      </c>
      <c r="E197" s="27" t="s">
        <v>262</v>
      </c>
      <c r="F197" s="55" t="str">
        <f>VLOOKUP(Клиенты[[#This Row],[GardenaChannel]],GardenChannel[[GardenChannel]:[Sales manager]],2,0)</f>
        <v>ОРЛОВ КИРИЛЛ</v>
      </c>
      <c r="H197" s="27" t="s">
        <v>483</v>
      </c>
    </row>
    <row r="198" spans="1:8" x14ac:dyDescent="0.25">
      <c r="A198" s="32" t="s">
        <v>940</v>
      </c>
      <c r="B198" s="27" t="s">
        <v>483</v>
      </c>
      <c r="C198" s="54" t="s">
        <v>497</v>
      </c>
      <c r="D198" s="27" t="s">
        <v>261</v>
      </c>
      <c r="E198" s="27" t="s">
        <v>275</v>
      </c>
      <c r="F198" s="55" t="str">
        <f>VLOOKUP(Клиенты[[#This Row],[GardenaChannel]],GardenChannel[[GardenChannel]:[Sales manager]],2,0)</f>
        <v>ОРЛОВ КИРИЛЛ</v>
      </c>
      <c r="H198" s="27" t="s">
        <v>483</v>
      </c>
    </row>
    <row r="199" spans="1:8" x14ac:dyDescent="0.25">
      <c r="A199" s="32" t="s">
        <v>941</v>
      </c>
      <c r="B199" s="27" t="s">
        <v>483</v>
      </c>
      <c r="C199" s="54" t="s">
        <v>498</v>
      </c>
      <c r="D199" s="27" t="s">
        <v>261</v>
      </c>
      <c r="E199" s="27" t="s">
        <v>262</v>
      </c>
      <c r="F199" s="55" t="str">
        <f>VLOOKUP(Клиенты[[#This Row],[GardenaChannel]],GardenChannel[[GardenChannel]:[Sales manager]],2,0)</f>
        <v>ОРЛОВ КИРИЛЛ</v>
      </c>
      <c r="H199" s="27" t="s">
        <v>483</v>
      </c>
    </row>
    <row r="200" spans="1:8" x14ac:dyDescent="0.25">
      <c r="A200" s="32" t="s">
        <v>942</v>
      </c>
      <c r="B200" s="27" t="s">
        <v>483</v>
      </c>
      <c r="C200" s="54" t="s">
        <v>499</v>
      </c>
      <c r="D200" s="27" t="s">
        <v>261</v>
      </c>
      <c r="E200" s="27" t="s">
        <v>262</v>
      </c>
      <c r="F200" s="55" t="str">
        <f>VLOOKUP(Клиенты[[#This Row],[GardenaChannel]],GardenChannel[[GardenChannel]:[Sales manager]],2,0)</f>
        <v>ОРЛОВ КИРИЛЛ</v>
      </c>
      <c r="H200" s="27" t="s">
        <v>483</v>
      </c>
    </row>
    <row r="201" spans="1:8" x14ac:dyDescent="0.25">
      <c r="A201" s="32" t="s">
        <v>943</v>
      </c>
      <c r="B201" s="27" t="s">
        <v>483</v>
      </c>
      <c r="C201" s="54" t="s">
        <v>500</v>
      </c>
      <c r="D201" s="27" t="s">
        <v>261</v>
      </c>
      <c r="E201" s="27" t="s">
        <v>262</v>
      </c>
      <c r="F201" s="55" t="str">
        <f>VLOOKUP(Клиенты[[#This Row],[GardenaChannel]],GardenChannel[[GardenChannel]:[Sales manager]],2,0)</f>
        <v>ОРЛОВ КИРИЛЛ</v>
      </c>
      <c r="H201" s="27" t="s">
        <v>483</v>
      </c>
    </row>
    <row r="202" spans="1:8" x14ac:dyDescent="0.25">
      <c r="A202" s="32" t="s">
        <v>944</v>
      </c>
      <c r="B202" s="27" t="s">
        <v>483</v>
      </c>
      <c r="C202" s="54" t="s">
        <v>501</v>
      </c>
      <c r="D202" s="27" t="s">
        <v>261</v>
      </c>
      <c r="E202" s="27" t="s">
        <v>262</v>
      </c>
      <c r="F202" s="55" t="str">
        <f>VLOOKUP(Клиенты[[#This Row],[GardenaChannel]],GardenChannel[[GardenChannel]:[Sales manager]],2,0)</f>
        <v>ОРЛОВ КИРИЛЛ</v>
      </c>
      <c r="H202" s="27" t="s">
        <v>483</v>
      </c>
    </row>
    <row r="203" spans="1:8" x14ac:dyDescent="0.25">
      <c r="A203" s="32" t="s">
        <v>945</v>
      </c>
      <c r="B203" s="27" t="s">
        <v>483</v>
      </c>
      <c r="C203" s="54" t="s">
        <v>502</v>
      </c>
      <c r="D203" s="27" t="s">
        <v>261</v>
      </c>
      <c r="E203" s="27" t="s">
        <v>275</v>
      </c>
      <c r="F203" s="55" t="str">
        <f>VLOOKUP(Клиенты[[#This Row],[GardenaChannel]],GardenChannel[[GardenChannel]:[Sales manager]],2,0)</f>
        <v>ОРЛОВ КИРИЛЛ</v>
      </c>
      <c r="H203" s="27" t="s">
        <v>483</v>
      </c>
    </row>
    <row r="204" spans="1:8" x14ac:dyDescent="0.25">
      <c r="A204" s="32" t="s">
        <v>946</v>
      </c>
      <c r="B204" s="27" t="s">
        <v>483</v>
      </c>
      <c r="C204" s="54" t="s">
        <v>503</v>
      </c>
      <c r="D204" s="27" t="s">
        <v>261</v>
      </c>
      <c r="E204" s="27" t="s">
        <v>275</v>
      </c>
      <c r="F204" s="55" t="str">
        <f>VLOOKUP(Клиенты[[#This Row],[GardenaChannel]],GardenChannel[[GardenChannel]:[Sales manager]],2,0)</f>
        <v>ОРЛОВ КИРИЛЛ</v>
      </c>
      <c r="H204" s="27" t="s">
        <v>483</v>
      </c>
    </row>
    <row r="205" spans="1:8" x14ac:dyDescent="0.25">
      <c r="A205" s="32" t="s">
        <v>947</v>
      </c>
      <c r="B205" s="27" t="s">
        <v>483</v>
      </c>
      <c r="C205" s="54" t="s">
        <v>504</v>
      </c>
      <c r="D205" s="27" t="s">
        <v>261</v>
      </c>
      <c r="E205" s="27" t="s">
        <v>262</v>
      </c>
      <c r="F205" s="55" t="str">
        <f>VLOOKUP(Клиенты[[#This Row],[GardenaChannel]],GardenChannel[[GardenChannel]:[Sales manager]],2,0)</f>
        <v>ОРЛОВ КИРИЛЛ</v>
      </c>
      <c r="H205" s="27" t="s">
        <v>483</v>
      </c>
    </row>
    <row r="206" spans="1:8" x14ac:dyDescent="0.25">
      <c r="A206" s="32" t="s">
        <v>948</v>
      </c>
      <c r="B206" s="27" t="s">
        <v>483</v>
      </c>
      <c r="C206" s="54" t="s">
        <v>505</v>
      </c>
      <c r="D206" s="27" t="s">
        <v>261</v>
      </c>
      <c r="E206" s="27" t="s">
        <v>262</v>
      </c>
      <c r="F206" s="55" t="str">
        <f>VLOOKUP(Клиенты[[#This Row],[GardenaChannel]],GardenChannel[[GardenChannel]:[Sales manager]],2,0)</f>
        <v>ОРЛОВ КИРИЛЛ</v>
      </c>
      <c r="H206" s="27" t="s">
        <v>483</v>
      </c>
    </row>
    <row r="207" spans="1:8" x14ac:dyDescent="0.25">
      <c r="A207" s="32" t="s">
        <v>949</v>
      </c>
      <c r="B207" s="27" t="s">
        <v>483</v>
      </c>
      <c r="C207" s="54" t="s">
        <v>506</v>
      </c>
      <c r="D207" s="27" t="s">
        <v>261</v>
      </c>
      <c r="E207" s="27" t="s">
        <v>262</v>
      </c>
      <c r="F207" s="55" t="str">
        <f>VLOOKUP(Клиенты[[#This Row],[GardenaChannel]],GardenChannel[[GardenChannel]:[Sales manager]],2,0)</f>
        <v>ОРЛОВ КИРИЛЛ</v>
      </c>
      <c r="H207" s="27" t="s">
        <v>483</v>
      </c>
    </row>
    <row r="208" spans="1:8" x14ac:dyDescent="0.25">
      <c r="A208" s="32" t="s">
        <v>950</v>
      </c>
      <c r="B208" s="27" t="s">
        <v>483</v>
      </c>
      <c r="C208" s="54" t="s">
        <v>507</v>
      </c>
      <c r="D208" s="27" t="s">
        <v>261</v>
      </c>
      <c r="E208" s="27" t="s">
        <v>262</v>
      </c>
      <c r="F208" s="55" t="str">
        <f>VLOOKUP(Клиенты[[#This Row],[GardenaChannel]],GardenChannel[[GardenChannel]:[Sales manager]],2,0)</f>
        <v>ОРЛОВ КИРИЛЛ</v>
      </c>
      <c r="H208" s="27" t="s">
        <v>483</v>
      </c>
    </row>
    <row r="209" spans="1:8" x14ac:dyDescent="0.25">
      <c r="A209" s="32" t="s">
        <v>951</v>
      </c>
      <c r="B209" s="27" t="s">
        <v>483</v>
      </c>
      <c r="C209" s="54" t="s">
        <v>508</v>
      </c>
      <c r="D209" s="27" t="s">
        <v>261</v>
      </c>
      <c r="E209" s="27" t="s">
        <v>262</v>
      </c>
      <c r="F209" s="55" t="str">
        <f>VLOOKUP(Клиенты[[#This Row],[GardenaChannel]],GardenChannel[[GardenChannel]:[Sales manager]],2,0)</f>
        <v>ОРЛОВ КИРИЛЛ</v>
      </c>
      <c r="H209" s="27" t="s">
        <v>483</v>
      </c>
    </row>
    <row r="210" spans="1:8" x14ac:dyDescent="0.25">
      <c r="A210" s="32" t="s">
        <v>952</v>
      </c>
      <c r="B210" s="27" t="s">
        <v>483</v>
      </c>
      <c r="C210" s="54" t="s">
        <v>509</v>
      </c>
      <c r="D210" s="27" t="s">
        <v>261</v>
      </c>
      <c r="E210" s="27" t="s">
        <v>262</v>
      </c>
      <c r="F210" s="55" t="str">
        <f>VLOOKUP(Клиенты[[#This Row],[GardenaChannel]],GardenChannel[[GardenChannel]:[Sales manager]],2,0)</f>
        <v>ОРЛОВ КИРИЛЛ</v>
      </c>
      <c r="H210" s="27" t="s">
        <v>483</v>
      </c>
    </row>
    <row r="211" spans="1:8" x14ac:dyDescent="0.25">
      <c r="A211" s="32" t="s">
        <v>953</v>
      </c>
      <c r="B211" s="27" t="s">
        <v>483</v>
      </c>
      <c r="C211" s="54" t="s">
        <v>510</v>
      </c>
      <c r="D211" s="27" t="s">
        <v>261</v>
      </c>
      <c r="E211" s="27" t="s">
        <v>262</v>
      </c>
      <c r="F211" s="55" t="str">
        <f>VLOOKUP(Клиенты[[#This Row],[GardenaChannel]],GardenChannel[[GardenChannel]:[Sales manager]],2,0)</f>
        <v>ОРЛОВ КИРИЛЛ</v>
      </c>
      <c r="H211" s="27" t="s">
        <v>483</v>
      </c>
    </row>
    <row r="212" spans="1:8" x14ac:dyDescent="0.25">
      <c r="A212" s="32" t="s">
        <v>954</v>
      </c>
      <c r="B212" s="27" t="s">
        <v>483</v>
      </c>
      <c r="C212" s="54" t="s">
        <v>511</v>
      </c>
      <c r="D212" s="27" t="s">
        <v>261</v>
      </c>
      <c r="E212" s="27" t="s">
        <v>299</v>
      </c>
      <c r="F212" s="55" t="str">
        <f>VLOOKUP(Клиенты[[#This Row],[GardenaChannel]],GardenChannel[[GardenChannel]:[Sales manager]],2,0)</f>
        <v>ОРЛОВ КИРИЛЛ</v>
      </c>
      <c r="H212" s="27" t="s">
        <v>483</v>
      </c>
    </row>
    <row r="213" spans="1:8" x14ac:dyDescent="0.25">
      <c r="A213" s="32" t="s">
        <v>955</v>
      </c>
      <c r="B213" s="27" t="s">
        <v>483</v>
      </c>
      <c r="C213" s="54" t="s">
        <v>512</v>
      </c>
      <c r="D213" s="27" t="s">
        <v>261</v>
      </c>
      <c r="E213" s="27" t="s">
        <v>262</v>
      </c>
      <c r="F213" s="55" t="str">
        <f>VLOOKUP(Клиенты[[#This Row],[GardenaChannel]],GardenChannel[[GardenChannel]:[Sales manager]],2,0)</f>
        <v>ОРЛОВ КИРИЛЛ</v>
      </c>
      <c r="H213" s="27" t="s">
        <v>483</v>
      </c>
    </row>
    <row r="214" spans="1:8" x14ac:dyDescent="0.25">
      <c r="A214" s="32" t="s">
        <v>956</v>
      </c>
      <c r="B214" s="27" t="s">
        <v>483</v>
      </c>
      <c r="C214" s="54" t="s">
        <v>513</v>
      </c>
      <c r="D214" s="27" t="s">
        <v>261</v>
      </c>
      <c r="E214" s="27" t="s">
        <v>262</v>
      </c>
      <c r="F214" s="55" t="str">
        <f>VLOOKUP(Клиенты[[#This Row],[GardenaChannel]],GardenChannel[[GardenChannel]:[Sales manager]],2,0)</f>
        <v>ОРЛОВ КИРИЛЛ</v>
      </c>
      <c r="H214" s="27" t="s">
        <v>483</v>
      </c>
    </row>
    <row r="215" spans="1:8" x14ac:dyDescent="0.25">
      <c r="A215" s="32" t="s">
        <v>957</v>
      </c>
      <c r="B215" s="27" t="s">
        <v>483</v>
      </c>
      <c r="C215" s="54" t="s">
        <v>514</v>
      </c>
      <c r="D215" s="27" t="s">
        <v>261</v>
      </c>
      <c r="E215" s="27" t="s">
        <v>262</v>
      </c>
      <c r="F215" s="55" t="str">
        <f>VLOOKUP(Клиенты[[#This Row],[GardenaChannel]],GardenChannel[[GardenChannel]:[Sales manager]],2,0)</f>
        <v>ОРЛОВ КИРИЛЛ</v>
      </c>
      <c r="H215" s="27" t="s">
        <v>483</v>
      </c>
    </row>
    <row r="216" spans="1:8" x14ac:dyDescent="0.25">
      <c r="A216" s="32" t="s">
        <v>958</v>
      </c>
      <c r="B216" s="27" t="s">
        <v>483</v>
      </c>
      <c r="C216" s="54" t="s">
        <v>515</v>
      </c>
      <c r="D216" s="27" t="s">
        <v>261</v>
      </c>
      <c r="E216" s="27" t="s">
        <v>262</v>
      </c>
      <c r="F216" s="55" t="str">
        <f>VLOOKUP(Клиенты[[#This Row],[GardenaChannel]],GardenChannel[[GardenChannel]:[Sales manager]],2,0)</f>
        <v>ОРЛОВ КИРИЛЛ</v>
      </c>
      <c r="H216" s="27" t="s">
        <v>483</v>
      </c>
    </row>
    <row r="217" spans="1:8" x14ac:dyDescent="0.25">
      <c r="A217" s="32" t="s">
        <v>959</v>
      </c>
      <c r="B217" s="27" t="s">
        <v>483</v>
      </c>
      <c r="C217" s="54" t="s">
        <v>516</v>
      </c>
      <c r="D217" s="27" t="s">
        <v>261</v>
      </c>
      <c r="E217" s="27" t="s">
        <v>262</v>
      </c>
      <c r="F217" s="55" t="str">
        <f>VLOOKUP(Клиенты[[#This Row],[GardenaChannel]],GardenChannel[[GardenChannel]:[Sales manager]],2,0)</f>
        <v>ОРЛОВ КИРИЛЛ</v>
      </c>
      <c r="H217" s="27" t="s">
        <v>483</v>
      </c>
    </row>
    <row r="218" spans="1:8" x14ac:dyDescent="0.25">
      <c r="A218" s="32" t="s">
        <v>960</v>
      </c>
      <c r="B218" s="27" t="s">
        <v>483</v>
      </c>
      <c r="C218" s="54" t="s">
        <v>517</v>
      </c>
      <c r="D218" s="27" t="s">
        <v>261</v>
      </c>
      <c r="E218" s="27" t="s">
        <v>275</v>
      </c>
      <c r="F218" s="55" t="str">
        <f>VLOOKUP(Клиенты[[#This Row],[GardenaChannel]],GardenChannel[[GardenChannel]:[Sales manager]],2,0)</f>
        <v>ОРЛОВ КИРИЛЛ</v>
      </c>
      <c r="H218" s="27" t="s">
        <v>483</v>
      </c>
    </row>
    <row r="219" spans="1:8" x14ac:dyDescent="0.25">
      <c r="A219" s="32" t="s">
        <v>961</v>
      </c>
      <c r="B219" s="27" t="s">
        <v>483</v>
      </c>
      <c r="C219" s="54" t="s">
        <v>518</v>
      </c>
      <c r="D219" s="27" t="s">
        <v>261</v>
      </c>
      <c r="E219" s="27" t="s">
        <v>262</v>
      </c>
      <c r="F219" s="55" t="str">
        <f>VLOOKUP(Клиенты[[#This Row],[GardenaChannel]],GardenChannel[[GardenChannel]:[Sales manager]],2,0)</f>
        <v>ОРЛОВ КИРИЛЛ</v>
      </c>
      <c r="H219" s="27" t="s">
        <v>483</v>
      </c>
    </row>
    <row r="220" spans="1:8" x14ac:dyDescent="0.25">
      <c r="A220" s="32" t="s">
        <v>962</v>
      </c>
      <c r="B220" s="27" t="s">
        <v>483</v>
      </c>
      <c r="C220" s="54" t="s">
        <v>519</v>
      </c>
      <c r="D220" s="27" t="s">
        <v>261</v>
      </c>
      <c r="E220" s="27" t="s">
        <v>262</v>
      </c>
      <c r="F220" s="55" t="str">
        <f>VLOOKUP(Клиенты[[#This Row],[GardenaChannel]],GardenChannel[[GardenChannel]:[Sales manager]],2,0)</f>
        <v>ОРЛОВ КИРИЛЛ</v>
      </c>
      <c r="H220" s="27" t="s">
        <v>483</v>
      </c>
    </row>
    <row r="221" spans="1:8" x14ac:dyDescent="0.25">
      <c r="A221" s="32" t="s">
        <v>963</v>
      </c>
      <c r="B221" s="27" t="s">
        <v>483</v>
      </c>
      <c r="C221" s="54" t="s">
        <v>520</v>
      </c>
      <c r="D221" s="27" t="s">
        <v>261</v>
      </c>
      <c r="E221" s="27" t="s">
        <v>262</v>
      </c>
      <c r="F221" s="55" t="str">
        <f>VLOOKUP(Клиенты[[#This Row],[GardenaChannel]],GardenChannel[[GardenChannel]:[Sales manager]],2,0)</f>
        <v>ОРЛОВ КИРИЛЛ</v>
      </c>
      <c r="H221" s="27" t="s">
        <v>483</v>
      </c>
    </row>
    <row r="222" spans="1:8" x14ac:dyDescent="0.25">
      <c r="A222" s="32" t="s">
        <v>964</v>
      </c>
      <c r="B222" s="27" t="s">
        <v>483</v>
      </c>
      <c r="C222" s="54" t="s">
        <v>521</v>
      </c>
      <c r="D222" s="27" t="s">
        <v>261</v>
      </c>
      <c r="E222" s="27" t="s">
        <v>262</v>
      </c>
      <c r="F222" s="55" t="str">
        <f>VLOOKUP(Клиенты[[#This Row],[GardenaChannel]],GardenChannel[[GardenChannel]:[Sales manager]],2,0)</f>
        <v>ОРЛОВ КИРИЛЛ</v>
      </c>
      <c r="H222" s="27" t="s">
        <v>483</v>
      </c>
    </row>
    <row r="223" spans="1:8" x14ac:dyDescent="0.25">
      <c r="A223" s="32" t="s">
        <v>965</v>
      </c>
      <c r="B223" s="27" t="s">
        <v>483</v>
      </c>
      <c r="C223" s="54" t="s">
        <v>522</v>
      </c>
      <c r="D223" s="27" t="s">
        <v>261</v>
      </c>
      <c r="E223" s="27" t="s">
        <v>262</v>
      </c>
      <c r="F223" s="55" t="str">
        <f>VLOOKUP(Клиенты[[#This Row],[GardenaChannel]],GardenChannel[[GardenChannel]:[Sales manager]],2,0)</f>
        <v>ОРЛОВ КИРИЛЛ</v>
      </c>
      <c r="H223" s="27" t="s">
        <v>483</v>
      </c>
    </row>
    <row r="224" spans="1:8" x14ac:dyDescent="0.25">
      <c r="A224" s="32" t="s">
        <v>966</v>
      </c>
      <c r="B224" s="27" t="s">
        <v>483</v>
      </c>
      <c r="C224" s="54" t="s">
        <v>523</v>
      </c>
      <c r="D224" s="27" t="s">
        <v>261</v>
      </c>
      <c r="E224" s="27" t="s">
        <v>275</v>
      </c>
      <c r="F224" s="55" t="str">
        <f>VLOOKUP(Клиенты[[#This Row],[GardenaChannel]],GardenChannel[[GardenChannel]:[Sales manager]],2,0)</f>
        <v>ОРЛОВ КИРИЛЛ</v>
      </c>
      <c r="H224" s="27" t="s">
        <v>483</v>
      </c>
    </row>
    <row r="225" spans="1:8" x14ac:dyDescent="0.25">
      <c r="A225" s="32" t="s">
        <v>967</v>
      </c>
      <c r="B225" s="27" t="s">
        <v>483</v>
      </c>
      <c r="C225" s="54" t="s">
        <v>524</v>
      </c>
      <c r="D225" s="27" t="s">
        <v>261</v>
      </c>
      <c r="E225" s="27" t="s">
        <v>262</v>
      </c>
      <c r="F225" s="55" t="str">
        <f>VLOOKUP(Клиенты[[#This Row],[GardenaChannel]],GardenChannel[[GardenChannel]:[Sales manager]],2,0)</f>
        <v>ОРЛОВ КИРИЛЛ</v>
      </c>
      <c r="H225" s="27" t="s">
        <v>483</v>
      </c>
    </row>
    <row r="226" spans="1:8" x14ac:dyDescent="0.25">
      <c r="A226" s="32" t="s">
        <v>968</v>
      </c>
      <c r="B226" s="27" t="s">
        <v>483</v>
      </c>
      <c r="C226" s="54" t="s">
        <v>525</v>
      </c>
      <c r="D226" s="27" t="s">
        <v>261</v>
      </c>
      <c r="E226" s="27" t="s">
        <v>262</v>
      </c>
      <c r="F226" s="55" t="str">
        <f>VLOOKUP(Клиенты[[#This Row],[GardenaChannel]],GardenChannel[[GardenChannel]:[Sales manager]],2,0)</f>
        <v>ОРЛОВ КИРИЛЛ</v>
      </c>
      <c r="H226" s="27" t="s">
        <v>483</v>
      </c>
    </row>
    <row r="227" spans="1:8" x14ac:dyDescent="0.25">
      <c r="A227" s="32" t="s">
        <v>969</v>
      </c>
      <c r="B227" s="27" t="s">
        <v>483</v>
      </c>
      <c r="C227" s="54" t="s">
        <v>526</v>
      </c>
      <c r="D227" s="27" t="s">
        <v>261</v>
      </c>
      <c r="E227" s="27" t="s">
        <v>262</v>
      </c>
      <c r="F227" s="55" t="str">
        <f>VLOOKUP(Клиенты[[#This Row],[GardenaChannel]],GardenChannel[[GardenChannel]:[Sales manager]],2,0)</f>
        <v>ОРЛОВ КИРИЛЛ</v>
      </c>
      <c r="H227" s="27" t="s">
        <v>483</v>
      </c>
    </row>
    <row r="228" spans="1:8" x14ac:dyDescent="0.25">
      <c r="A228" s="32" t="s">
        <v>970</v>
      </c>
      <c r="B228" s="27" t="s">
        <v>483</v>
      </c>
      <c r="C228" s="54" t="s">
        <v>527</v>
      </c>
      <c r="D228" s="27" t="s">
        <v>261</v>
      </c>
      <c r="E228" s="27" t="s">
        <v>262</v>
      </c>
      <c r="F228" s="55" t="str">
        <f>VLOOKUP(Клиенты[[#This Row],[GardenaChannel]],GardenChannel[[GardenChannel]:[Sales manager]],2,0)</f>
        <v>ОРЛОВ КИРИЛЛ</v>
      </c>
      <c r="H228" s="27" t="s">
        <v>483</v>
      </c>
    </row>
    <row r="229" spans="1:8" x14ac:dyDescent="0.25">
      <c r="A229" s="32" t="s">
        <v>971</v>
      </c>
      <c r="B229" s="27" t="s">
        <v>483</v>
      </c>
      <c r="C229" s="54" t="s">
        <v>528</v>
      </c>
      <c r="D229" s="27" t="s">
        <v>261</v>
      </c>
      <c r="E229" s="27" t="s">
        <v>262</v>
      </c>
      <c r="F229" s="55" t="str">
        <f>VLOOKUP(Клиенты[[#This Row],[GardenaChannel]],GardenChannel[[GardenChannel]:[Sales manager]],2,0)</f>
        <v>ОРЛОВ КИРИЛЛ</v>
      </c>
      <c r="H229" s="27" t="s">
        <v>483</v>
      </c>
    </row>
    <row r="230" spans="1:8" x14ac:dyDescent="0.25">
      <c r="A230" s="32" t="s">
        <v>972</v>
      </c>
      <c r="B230" s="27" t="s">
        <v>483</v>
      </c>
      <c r="C230" s="54" t="s">
        <v>529</v>
      </c>
      <c r="D230" s="27" t="s">
        <v>261</v>
      </c>
      <c r="E230" s="27" t="s">
        <v>299</v>
      </c>
      <c r="F230" s="55" t="str">
        <f>VLOOKUP(Клиенты[[#This Row],[GardenaChannel]],GardenChannel[[GardenChannel]:[Sales manager]],2,0)</f>
        <v>ОРЛОВ КИРИЛЛ</v>
      </c>
      <c r="H230" s="27" t="s">
        <v>483</v>
      </c>
    </row>
    <row r="231" spans="1:8" x14ac:dyDescent="0.25">
      <c r="A231" s="32" t="s">
        <v>973</v>
      </c>
      <c r="B231" s="27" t="s">
        <v>483</v>
      </c>
      <c r="C231" s="54" t="s">
        <v>530</v>
      </c>
      <c r="D231" s="27" t="s">
        <v>261</v>
      </c>
      <c r="E231" s="27" t="s">
        <v>262</v>
      </c>
      <c r="F231" s="55" t="str">
        <f>VLOOKUP(Клиенты[[#This Row],[GardenaChannel]],GardenChannel[[GardenChannel]:[Sales manager]],2,0)</f>
        <v>ОРЛОВ КИРИЛЛ</v>
      </c>
      <c r="H231" s="27" t="s">
        <v>483</v>
      </c>
    </row>
    <row r="232" spans="1:8" x14ac:dyDescent="0.25">
      <c r="A232" s="32" t="s">
        <v>974</v>
      </c>
      <c r="B232" s="27" t="s">
        <v>483</v>
      </c>
      <c r="C232" s="54" t="s">
        <v>531</v>
      </c>
      <c r="D232" s="27" t="s">
        <v>261</v>
      </c>
      <c r="E232" s="27" t="s">
        <v>275</v>
      </c>
      <c r="F232" s="55" t="str">
        <f>VLOOKUP(Клиенты[[#This Row],[GardenaChannel]],GardenChannel[[GardenChannel]:[Sales manager]],2,0)</f>
        <v>ОРЛОВ КИРИЛЛ</v>
      </c>
      <c r="H232" s="27" t="s">
        <v>483</v>
      </c>
    </row>
    <row r="233" spans="1:8" x14ac:dyDescent="0.25">
      <c r="A233" s="32" t="s">
        <v>975</v>
      </c>
      <c r="B233" s="27" t="s">
        <v>483</v>
      </c>
      <c r="C233" s="54" t="s">
        <v>532</v>
      </c>
      <c r="D233" s="27" t="s">
        <v>261</v>
      </c>
      <c r="E233" s="27" t="s">
        <v>262</v>
      </c>
      <c r="F233" s="55" t="str">
        <f>VLOOKUP(Клиенты[[#This Row],[GardenaChannel]],GardenChannel[[GardenChannel]:[Sales manager]],2,0)</f>
        <v>ОРЛОВ КИРИЛЛ</v>
      </c>
      <c r="H233" s="27" t="s">
        <v>483</v>
      </c>
    </row>
    <row r="234" spans="1:8" x14ac:dyDescent="0.25">
      <c r="A234" s="32" t="s">
        <v>976</v>
      </c>
      <c r="B234" s="27" t="s">
        <v>483</v>
      </c>
      <c r="C234" s="54" t="s">
        <v>533</v>
      </c>
      <c r="D234" s="27" t="s">
        <v>261</v>
      </c>
      <c r="E234" s="27" t="s">
        <v>262</v>
      </c>
      <c r="F234" s="55" t="str">
        <f>VLOOKUP(Клиенты[[#This Row],[GardenaChannel]],GardenChannel[[GardenChannel]:[Sales manager]],2,0)</f>
        <v>ОРЛОВ КИРИЛЛ</v>
      </c>
      <c r="H234" s="27" t="s">
        <v>483</v>
      </c>
    </row>
    <row r="235" spans="1:8" x14ac:dyDescent="0.25">
      <c r="A235" s="32" t="s">
        <v>977</v>
      </c>
      <c r="B235" s="27" t="s">
        <v>483</v>
      </c>
      <c r="C235" s="54" t="s">
        <v>534</v>
      </c>
      <c r="D235" s="27" t="s">
        <v>261</v>
      </c>
      <c r="E235" s="27" t="s">
        <v>275</v>
      </c>
      <c r="F235" s="55" t="str">
        <f>VLOOKUP(Клиенты[[#This Row],[GardenaChannel]],GardenChannel[[GardenChannel]:[Sales manager]],2,0)</f>
        <v>ОРЛОВ КИРИЛЛ</v>
      </c>
      <c r="H235" s="27" t="s">
        <v>483</v>
      </c>
    </row>
    <row r="236" spans="1:8" x14ac:dyDescent="0.25">
      <c r="A236" s="32" t="s">
        <v>978</v>
      </c>
      <c r="B236" s="27" t="s">
        <v>483</v>
      </c>
      <c r="C236" s="54" t="s">
        <v>535</v>
      </c>
      <c r="D236" s="27" t="s">
        <v>261</v>
      </c>
      <c r="E236" s="27" t="s">
        <v>262</v>
      </c>
      <c r="F236" s="55" t="str">
        <f>VLOOKUP(Клиенты[[#This Row],[GardenaChannel]],GardenChannel[[GardenChannel]:[Sales manager]],2,0)</f>
        <v>ОРЛОВ КИРИЛЛ</v>
      </c>
      <c r="H236" s="27" t="s">
        <v>483</v>
      </c>
    </row>
    <row r="237" spans="1:8" x14ac:dyDescent="0.25">
      <c r="A237" s="32" t="s">
        <v>979</v>
      </c>
      <c r="B237" s="27" t="s">
        <v>483</v>
      </c>
      <c r="C237" s="54" t="s">
        <v>536</v>
      </c>
      <c r="D237" s="27" t="s">
        <v>261</v>
      </c>
      <c r="E237" s="27" t="s">
        <v>262</v>
      </c>
      <c r="F237" s="55" t="str">
        <f>VLOOKUP(Клиенты[[#This Row],[GardenaChannel]],GardenChannel[[GardenChannel]:[Sales manager]],2,0)</f>
        <v>ОРЛОВ КИРИЛЛ</v>
      </c>
      <c r="H237" s="27" t="s">
        <v>483</v>
      </c>
    </row>
    <row r="238" spans="1:8" x14ac:dyDescent="0.25">
      <c r="A238" s="32" t="s">
        <v>980</v>
      </c>
      <c r="B238" s="27" t="s">
        <v>483</v>
      </c>
      <c r="C238" s="54" t="s">
        <v>537</v>
      </c>
      <c r="D238" s="27" t="s">
        <v>261</v>
      </c>
      <c r="E238" s="27" t="s">
        <v>299</v>
      </c>
      <c r="F238" s="55" t="str">
        <f>VLOOKUP(Клиенты[[#This Row],[GardenaChannel]],GardenChannel[[GardenChannel]:[Sales manager]],2,0)</f>
        <v>ОРЛОВ КИРИЛЛ</v>
      </c>
      <c r="H238" s="27" t="s">
        <v>483</v>
      </c>
    </row>
    <row r="239" spans="1:8" x14ac:dyDescent="0.25">
      <c r="A239" s="32" t="s">
        <v>981</v>
      </c>
      <c r="B239" s="27" t="s">
        <v>483</v>
      </c>
      <c r="C239" s="54" t="s">
        <v>538</v>
      </c>
      <c r="D239" s="27" t="s">
        <v>261</v>
      </c>
      <c r="E239" s="27" t="s">
        <v>262</v>
      </c>
      <c r="F239" s="55" t="str">
        <f>VLOOKUP(Клиенты[[#This Row],[GardenaChannel]],GardenChannel[[GardenChannel]:[Sales manager]],2,0)</f>
        <v>ОРЛОВ КИРИЛЛ</v>
      </c>
      <c r="H239" s="27" t="s">
        <v>483</v>
      </c>
    </row>
    <row r="240" spans="1:8" x14ac:dyDescent="0.25">
      <c r="A240" s="32" t="s">
        <v>982</v>
      </c>
      <c r="B240" s="27" t="s">
        <v>483</v>
      </c>
      <c r="C240" s="54" t="s">
        <v>539</v>
      </c>
      <c r="D240" s="27" t="s">
        <v>261</v>
      </c>
      <c r="E240" s="27" t="s">
        <v>262</v>
      </c>
      <c r="F240" s="55" t="str">
        <f>VLOOKUP(Клиенты[[#This Row],[GardenaChannel]],GardenChannel[[GardenChannel]:[Sales manager]],2,0)</f>
        <v>ОРЛОВ КИРИЛЛ</v>
      </c>
      <c r="H240" s="27" t="s">
        <v>483</v>
      </c>
    </row>
    <row r="241" spans="1:8" x14ac:dyDescent="0.25">
      <c r="A241" s="32" t="s">
        <v>983</v>
      </c>
      <c r="B241" s="27" t="s">
        <v>483</v>
      </c>
      <c r="C241" s="54" t="s">
        <v>540</v>
      </c>
      <c r="D241" s="27" t="s">
        <v>261</v>
      </c>
      <c r="E241" s="27" t="s">
        <v>262</v>
      </c>
      <c r="F241" s="55" t="str">
        <f>VLOOKUP(Клиенты[[#This Row],[GardenaChannel]],GardenChannel[[GardenChannel]:[Sales manager]],2,0)</f>
        <v>ОРЛОВ КИРИЛЛ</v>
      </c>
      <c r="H241" s="27" t="s">
        <v>483</v>
      </c>
    </row>
    <row r="242" spans="1:8" x14ac:dyDescent="0.25">
      <c r="A242" s="32" t="s">
        <v>984</v>
      </c>
      <c r="B242" s="27" t="s">
        <v>483</v>
      </c>
      <c r="C242" s="54" t="s">
        <v>541</v>
      </c>
      <c r="D242" s="27" t="s">
        <v>261</v>
      </c>
      <c r="E242" s="27" t="s">
        <v>262</v>
      </c>
      <c r="F242" s="55" t="str">
        <f>VLOOKUP(Клиенты[[#This Row],[GardenaChannel]],GardenChannel[[GardenChannel]:[Sales manager]],2,0)</f>
        <v>ОРЛОВ КИРИЛЛ</v>
      </c>
      <c r="H242" s="27" t="s">
        <v>483</v>
      </c>
    </row>
    <row r="243" spans="1:8" x14ac:dyDescent="0.25">
      <c r="A243" s="32" t="s">
        <v>985</v>
      </c>
      <c r="B243" s="27" t="s">
        <v>483</v>
      </c>
      <c r="C243" s="54" t="s">
        <v>542</v>
      </c>
      <c r="D243" s="27" t="s">
        <v>261</v>
      </c>
      <c r="E243" s="27" t="s">
        <v>299</v>
      </c>
      <c r="F243" s="55" t="str">
        <f>VLOOKUP(Клиенты[[#This Row],[GardenaChannel]],GardenChannel[[GardenChannel]:[Sales manager]],2,0)</f>
        <v>ОРЛОВ КИРИЛЛ</v>
      </c>
      <c r="H243" s="27" t="s">
        <v>483</v>
      </c>
    </row>
    <row r="244" spans="1:8" x14ac:dyDescent="0.25">
      <c r="A244" s="32" t="s">
        <v>986</v>
      </c>
      <c r="B244" s="27" t="s">
        <v>483</v>
      </c>
      <c r="C244" s="54" t="s">
        <v>543</v>
      </c>
      <c r="D244" s="27" t="s">
        <v>261</v>
      </c>
      <c r="E244" s="27" t="s">
        <v>262</v>
      </c>
      <c r="F244" s="55" t="str">
        <f>VLOOKUP(Клиенты[[#This Row],[GardenaChannel]],GardenChannel[[GardenChannel]:[Sales manager]],2,0)</f>
        <v>ОРЛОВ КИРИЛЛ</v>
      </c>
      <c r="H244" s="27" t="s">
        <v>483</v>
      </c>
    </row>
    <row r="245" spans="1:8" x14ac:dyDescent="0.25">
      <c r="A245" s="32" t="s">
        <v>987</v>
      </c>
      <c r="B245" s="27" t="s">
        <v>483</v>
      </c>
      <c r="C245" s="54" t="s">
        <v>544</v>
      </c>
      <c r="D245" s="27" t="s">
        <v>261</v>
      </c>
      <c r="E245" s="27" t="s">
        <v>262</v>
      </c>
      <c r="F245" s="55" t="str">
        <f>VLOOKUP(Клиенты[[#This Row],[GardenaChannel]],GardenChannel[[GardenChannel]:[Sales manager]],2,0)</f>
        <v>ОРЛОВ КИРИЛЛ</v>
      </c>
      <c r="H245" s="27" t="s">
        <v>483</v>
      </c>
    </row>
    <row r="246" spans="1:8" x14ac:dyDescent="0.25">
      <c r="A246" s="32" t="s">
        <v>988</v>
      </c>
      <c r="B246" s="27" t="s">
        <v>483</v>
      </c>
      <c r="C246" s="54" t="s">
        <v>545</v>
      </c>
      <c r="D246" s="27" t="s">
        <v>261</v>
      </c>
      <c r="E246" s="27" t="s">
        <v>262</v>
      </c>
      <c r="F246" s="55" t="str">
        <f>VLOOKUP(Клиенты[[#This Row],[GardenaChannel]],GardenChannel[[GardenChannel]:[Sales manager]],2,0)</f>
        <v>ОРЛОВ КИРИЛЛ</v>
      </c>
      <c r="H246" s="27" t="s">
        <v>483</v>
      </c>
    </row>
    <row r="247" spans="1:8" x14ac:dyDescent="0.25">
      <c r="A247" s="32" t="s">
        <v>989</v>
      </c>
      <c r="B247" s="27" t="s">
        <v>483</v>
      </c>
      <c r="C247" s="54" t="s">
        <v>546</v>
      </c>
      <c r="D247" s="27" t="s">
        <v>261</v>
      </c>
      <c r="E247" s="27" t="s">
        <v>262</v>
      </c>
      <c r="F247" s="55" t="str">
        <f>VLOOKUP(Клиенты[[#This Row],[GardenaChannel]],GardenChannel[[GardenChannel]:[Sales manager]],2,0)</f>
        <v>ОРЛОВ КИРИЛЛ</v>
      </c>
      <c r="H247" s="27" t="s">
        <v>483</v>
      </c>
    </row>
    <row r="248" spans="1:8" x14ac:dyDescent="0.25">
      <c r="A248" s="32" t="s">
        <v>990</v>
      </c>
      <c r="B248" s="27" t="s">
        <v>483</v>
      </c>
      <c r="C248" s="54" t="s">
        <v>547</v>
      </c>
      <c r="D248" s="27" t="s">
        <v>261</v>
      </c>
      <c r="E248" s="27" t="s">
        <v>262</v>
      </c>
      <c r="F248" s="55" t="str">
        <f>VLOOKUP(Клиенты[[#This Row],[GardenaChannel]],GardenChannel[[GardenChannel]:[Sales manager]],2,0)</f>
        <v>ОРЛОВ КИРИЛЛ</v>
      </c>
      <c r="H248" s="27" t="s">
        <v>483</v>
      </c>
    </row>
    <row r="249" spans="1:8" x14ac:dyDescent="0.25">
      <c r="A249" s="32" t="s">
        <v>991</v>
      </c>
      <c r="B249" s="27" t="s">
        <v>483</v>
      </c>
      <c r="C249" s="54" t="s">
        <v>548</v>
      </c>
      <c r="D249" s="27" t="s">
        <v>261</v>
      </c>
      <c r="E249" s="27" t="s">
        <v>262</v>
      </c>
      <c r="F249" s="55" t="str">
        <f>VLOOKUP(Клиенты[[#This Row],[GardenaChannel]],GardenChannel[[GardenChannel]:[Sales manager]],2,0)</f>
        <v>ОРЛОВ КИРИЛЛ</v>
      </c>
      <c r="H249" s="27" t="s">
        <v>483</v>
      </c>
    </row>
    <row r="250" spans="1:8" x14ac:dyDescent="0.25">
      <c r="A250" s="32" t="s">
        <v>992</v>
      </c>
      <c r="B250" s="27" t="s">
        <v>483</v>
      </c>
      <c r="C250" s="54" t="s">
        <v>549</v>
      </c>
      <c r="D250" s="27" t="s">
        <v>261</v>
      </c>
      <c r="E250" s="27" t="s">
        <v>262</v>
      </c>
      <c r="F250" s="55" t="str">
        <f>VLOOKUP(Клиенты[[#This Row],[GardenaChannel]],GardenChannel[[GardenChannel]:[Sales manager]],2,0)</f>
        <v>ОРЛОВ КИРИЛЛ</v>
      </c>
      <c r="H250" s="27" t="s">
        <v>483</v>
      </c>
    </row>
    <row r="251" spans="1:8" x14ac:dyDescent="0.25">
      <c r="A251" s="32" t="s">
        <v>993</v>
      </c>
      <c r="B251" s="27" t="s">
        <v>483</v>
      </c>
      <c r="C251" s="54" t="s">
        <v>550</v>
      </c>
      <c r="D251" s="27" t="s">
        <v>261</v>
      </c>
      <c r="E251" s="27" t="s">
        <v>262</v>
      </c>
      <c r="F251" s="55" t="str">
        <f>VLOOKUP(Клиенты[[#This Row],[GardenaChannel]],GardenChannel[[GardenChannel]:[Sales manager]],2,0)</f>
        <v>ОРЛОВ КИРИЛЛ</v>
      </c>
      <c r="H251" s="27" t="s">
        <v>483</v>
      </c>
    </row>
    <row r="252" spans="1:8" x14ac:dyDescent="0.25">
      <c r="A252" s="32" t="s">
        <v>994</v>
      </c>
      <c r="B252" s="27" t="s">
        <v>483</v>
      </c>
      <c r="C252" s="54" t="s">
        <v>551</v>
      </c>
      <c r="D252" s="27" t="s">
        <v>261</v>
      </c>
      <c r="E252" s="27" t="s">
        <v>262</v>
      </c>
      <c r="F252" s="55" t="str">
        <f>VLOOKUP(Клиенты[[#This Row],[GardenaChannel]],GardenChannel[[GardenChannel]:[Sales manager]],2,0)</f>
        <v>ОРЛОВ КИРИЛЛ</v>
      </c>
      <c r="H252" s="27" t="s">
        <v>483</v>
      </c>
    </row>
    <row r="253" spans="1:8" x14ac:dyDescent="0.25">
      <c r="A253" s="32" t="s">
        <v>995</v>
      </c>
      <c r="B253" s="27" t="s">
        <v>483</v>
      </c>
      <c r="C253" s="54" t="s">
        <v>552</v>
      </c>
      <c r="D253" s="27" t="s">
        <v>261</v>
      </c>
      <c r="E253" s="27" t="s">
        <v>262</v>
      </c>
      <c r="F253" s="55" t="str">
        <f>VLOOKUP(Клиенты[[#This Row],[GardenaChannel]],GardenChannel[[GardenChannel]:[Sales manager]],2,0)</f>
        <v>ОРЛОВ КИРИЛЛ</v>
      </c>
      <c r="H253" s="27" t="s">
        <v>483</v>
      </c>
    </row>
    <row r="254" spans="1:8" x14ac:dyDescent="0.25">
      <c r="A254" s="32" t="s">
        <v>996</v>
      </c>
      <c r="B254" s="27" t="s">
        <v>483</v>
      </c>
      <c r="C254" s="54" t="s">
        <v>553</v>
      </c>
      <c r="D254" s="27" t="s">
        <v>261</v>
      </c>
      <c r="E254" s="27" t="s">
        <v>262</v>
      </c>
      <c r="F254" s="55" t="str">
        <f>VLOOKUP(Клиенты[[#This Row],[GardenaChannel]],GardenChannel[[GardenChannel]:[Sales manager]],2,0)</f>
        <v>ОРЛОВ КИРИЛЛ</v>
      </c>
      <c r="H254" s="27" t="s">
        <v>483</v>
      </c>
    </row>
    <row r="255" spans="1:8" x14ac:dyDescent="0.25">
      <c r="A255" s="32" t="s">
        <v>997</v>
      </c>
      <c r="B255" s="27" t="s">
        <v>483</v>
      </c>
      <c r="C255" s="54" t="s">
        <v>554</v>
      </c>
      <c r="D255" s="27" t="s">
        <v>261</v>
      </c>
      <c r="E255" s="27" t="s">
        <v>262</v>
      </c>
      <c r="F255" s="55" t="str">
        <f>VLOOKUP(Клиенты[[#This Row],[GardenaChannel]],GardenChannel[[GardenChannel]:[Sales manager]],2,0)</f>
        <v>ОРЛОВ КИРИЛЛ</v>
      </c>
      <c r="H255" s="27" t="s">
        <v>483</v>
      </c>
    </row>
    <row r="256" spans="1:8" x14ac:dyDescent="0.25">
      <c r="A256" s="32" t="s">
        <v>998</v>
      </c>
      <c r="B256" s="27" t="s">
        <v>483</v>
      </c>
      <c r="C256" s="54" t="s">
        <v>555</v>
      </c>
      <c r="D256" s="27" t="s">
        <v>261</v>
      </c>
      <c r="E256" s="27" t="s">
        <v>262</v>
      </c>
      <c r="F256" s="55" t="str">
        <f>VLOOKUP(Клиенты[[#This Row],[GardenaChannel]],GardenChannel[[GardenChannel]:[Sales manager]],2,0)</f>
        <v>ОРЛОВ КИРИЛЛ</v>
      </c>
      <c r="H256" s="27" t="s">
        <v>483</v>
      </c>
    </row>
    <row r="257" spans="1:8" x14ac:dyDescent="0.25">
      <c r="A257" s="32" t="s">
        <v>999</v>
      </c>
      <c r="B257" s="27" t="s">
        <v>483</v>
      </c>
      <c r="C257" s="54" t="s">
        <v>556</v>
      </c>
      <c r="D257" s="27" t="s">
        <v>261</v>
      </c>
      <c r="E257" s="27" t="s">
        <v>262</v>
      </c>
      <c r="F257" s="55" t="str">
        <f>VLOOKUP(Клиенты[[#This Row],[GardenaChannel]],GardenChannel[[GardenChannel]:[Sales manager]],2,0)</f>
        <v>ОРЛОВ КИРИЛЛ</v>
      </c>
      <c r="H257" s="27" t="s">
        <v>483</v>
      </c>
    </row>
    <row r="258" spans="1:8" x14ac:dyDescent="0.25">
      <c r="A258" s="32" t="s">
        <v>1000</v>
      </c>
      <c r="B258" s="27" t="s">
        <v>557</v>
      </c>
      <c r="C258" s="54" t="s">
        <v>558</v>
      </c>
      <c r="D258" s="27" t="s">
        <v>261</v>
      </c>
      <c r="E258" s="27" t="s">
        <v>262</v>
      </c>
      <c r="F258" s="55" t="str">
        <f>VLOOKUP(Клиенты[[#This Row],[GardenaChannel]],GardenChannel[[GardenChannel]:[Sales manager]],2,0)</f>
        <v>КАШКИН ВЛАДИМИР</v>
      </c>
      <c r="H258" s="27" t="s">
        <v>557</v>
      </c>
    </row>
    <row r="259" spans="1:8" x14ac:dyDescent="0.25">
      <c r="A259" s="32" t="s">
        <v>1001</v>
      </c>
      <c r="B259" s="27" t="s">
        <v>557</v>
      </c>
      <c r="C259" s="54" t="s">
        <v>560</v>
      </c>
      <c r="D259" s="27" t="s">
        <v>261</v>
      </c>
      <c r="E259" s="27" t="s">
        <v>262</v>
      </c>
      <c r="F259" s="55" t="str">
        <f>VLOOKUP(Клиенты[[#This Row],[GardenaChannel]],GardenChannel[[GardenChannel]:[Sales manager]],2,0)</f>
        <v>КАШКИН ВЛАДИМИР</v>
      </c>
      <c r="H259" s="27" t="s">
        <v>557</v>
      </c>
    </row>
    <row r="260" spans="1:8" x14ac:dyDescent="0.25">
      <c r="A260" s="32" t="s">
        <v>1002</v>
      </c>
      <c r="B260" s="27" t="s">
        <v>557</v>
      </c>
      <c r="C260" s="54" t="s">
        <v>561</v>
      </c>
      <c r="D260" s="27" t="s">
        <v>261</v>
      </c>
      <c r="E260" s="27" t="s">
        <v>262</v>
      </c>
      <c r="F260" s="55" t="str">
        <f>VLOOKUP(Клиенты[[#This Row],[GardenaChannel]],GardenChannel[[GardenChannel]:[Sales manager]],2,0)</f>
        <v>КАШКИН ВЛАДИМИР</v>
      </c>
      <c r="H260" s="27" t="s">
        <v>557</v>
      </c>
    </row>
    <row r="261" spans="1:8" x14ac:dyDescent="0.25">
      <c r="A261" s="32" t="s">
        <v>1003</v>
      </c>
      <c r="B261" s="27" t="s">
        <v>557</v>
      </c>
      <c r="C261" s="54" t="s">
        <v>562</v>
      </c>
      <c r="D261" s="27" t="s">
        <v>261</v>
      </c>
      <c r="E261" s="27" t="s">
        <v>262</v>
      </c>
      <c r="F261" s="55" t="str">
        <f>VLOOKUP(Клиенты[[#This Row],[GardenaChannel]],GardenChannel[[GardenChannel]:[Sales manager]],2,0)</f>
        <v>КАШКИН ВЛАДИМИР</v>
      </c>
      <c r="H261" s="27" t="s">
        <v>557</v>
      </c>
    </row>
    <row r="262" spans="1:8" x14ac:dyDescent="0.25">
      <c r="A262" s="32" t="s">
        <v>1004</v>
      </c>
      <c r="B262" s="27" t="s">
        <v>557</v>
      </c>
      <c r="C262" s="54" t="s">
        <v>563</v>
      </c>
      <c r="D262" s="27" t="s">
        <v>261</v>
      </c>
      <c r="E262" s="27" t="s">
        <v>262</v>
      </c>
      <c r="F262" s="55" t="str">
        <f>VLOOKUP(Клиенты[[#This Row],[GardenaChannel]],GardenChannel[[GardenChannel]:[Sales manager]],2,0)</f>
        <v>КАШКИН ВЛАДИМИР</v>
      </c>
      <c r="H262" s="27" t="s">
        <v>557</v>
      </c>
    </row>
    <row r="263" spans="1:8" x14ac:dyDescent="0.25">
      <c r="A263" s="32" t="s">
        <v>1005</v>
      </c>
      <c r="B263" s="27" t="s">
        <v>557</v>
      </c>
      <c r="C263" s="54" t="s">
        <v>564</v>
      </c>
      <c r="D263" s="27" t="s">
        <v>261</v>
      </c>
      <c r="E263" s="27" t="s">
        <v>262</v>
      </c>
      <c r="F263" s="55" t="str">
        <f>VLOOKUP(Клиенты[[#This Row],[GardenaChannel]],GardenChannel[[GardenChannel]:[Sales manager]],2,0)</f>
        <v>КАШКИН ВЛАДИМИР</v>
      </c>
      <c r="H263" s="27" t="s">
        <v>557</v>
      </c>
    </row>
    <row r="264" spans="1:8" x14ac:dyDescent="0.25">
      <c r="A264" s="32" t="s">
        <v>1006</v>
      </c>
      <c r="B264" s="27" t="s">
        <v>557</v>
      </c>
      <c r="C264" s="54" t="s">
        <v>565</v>
      </c>
      <c r="D264" s="27" t="s">
        <v>261</v>
      </c>
      <c r="E264" s="27" t="s">
        <v>262</v>
      </c>
      <c r="F264" s="55" t="str">
        <f>VLOOKUP(Клиенты[[#This Row],[GardenaChannel]],GardenChannel[[GardenChannel]:[Sales manager]],2,0)</f>
        <v>КАШКИН ВЛАДИМИР</v>
      </c>
      <c r="H264" s="27" t="s">
        <v>557</v>
      </c>
    </row>
    <row r="265" spans="1:8" x14ac:dyDescent="0.25">
      <c r="A265" s="32" t="s">
        <v>1007</v>
      </c>
      <c r="B265" s="27" t="s">
        <v>557</v>
      </c>
      <c r="C265" s="54" t="s">
        <v>566</v>
      </c>
      <c r="D265" s="27" t="s">
        <v>261</v>
      </c>
      <c r="E265" s="27" t="s">
        <v>262</v>
      </c>
      <c r="F265" s="55" t="str">
        <f>VLOOKUP(Клиенты[[#This Row],[GardenaChannel]],GardenChannel[[GardenChannel]:[Sales manager]],2,0)</f>
        <v>КАШКИН ВЛАДИМИР</v>
      </c>
      <c r="H265" s="27" t="s">
        <v>557</v>
      </c>
    </row>
    <row r="266" spans="1:8" x14ac:dyDescent="0.25">
      <c r="A266" s="32" t="s">
        <v>1008</v>
      </c>
      <c r="B266" s="27" t="s">
        <v>557</v>
      </c>
      <c r="C266" s="54" t="s">
        <v>567</v>
      </c>
      <c r="D266" s="27" t="s">
        <v>261</v>
      </c>
      <c r="E266" s="27" t="s">
        <v>262</v>
      </c>
      <c r="F266" s="55" t="str">
        <f>VLOOKUP(Клиенты[[#This Row],[GardenaChannel]],GardenChannel[[GardenChannel]:[Sales manager]],2,0)</f>
        <v>КАШКИН ВЛАДИМИР</v>
      </c>
      <c r="H266" s="27" t="s">
        <v>557</v>
      </c>
    </row>
    <row r="267" spans="1:8" x14ac:dyDescent="0.25">
      <c r="A267" s="32" t="s">
        <v>1009</v>
      </c>
      <c r="B267" s="27" t="s">
        <v>557</v>
      </c>
      <c r="C267" s="54" t="s">
        <v>568</v>
      </c>
      <c r="D267" s="27" t="s">
        <v>261</v>
      </c>
      <c r="E267" s="27" t="s">
        <v>262</v>
      </c>
      <c r="F267" s="55" t="str">
        <f>VLOOKUP(Клиенты[[#This Row],[GardenaChannel]],GardenChannel[[GardenChannel]:[Sales manager]],2,0)</f>
        <v>КАШКИН ВЛАДИМИР</v>
      </c>
      <c r="H267" s="27" t="s">
        <v>557</v>
      </c>
    </row>
    <row r="268" spans="1:8" x14ac:dyDescent="0.25">
      <c r="A268" s="32" t="s">
        <v>1010</v>
      </c>
      <c r="B268" s="27" t="s">
        <v>557</v>
      </c>
      <c r="C268" s="54" t="s">
        <v>569</v>
      </c>
      <c r="D268" s="27" t="s">
        <v>261</v>
      </c>
      <c r="E268" s="27" t="s">
        <v>262</v>
      </c>
      <c r="F268" s="55" t="str">
        <f>VLOOKUP(Клиенты[[#This Row],[GardenaChannel]],GardenChannel[[GardenChannel]:[Sales manager]],2,0)</f>
        <v>КАШКИН ВЛАДИМИР</v>
      </c>
      <c r="H268" s="27" t="s">
        <v>557</v>
      </c>
    </row>
    <row r="269" spans="1:8" x14ac:dyDescent="0.25">
      <c r="A269" s="32" t="s">
        <v>1011</v>
      </c>
      <c r="B269" s="27" t="s">
        <v>557</v>
      </c>
      <c r="C269" s="54" t="s">
        <v>570</v>
      </c>
      <c r="D269" s="27" t="s">
        <v>261</v>
      </c>
      <c r="E269" s="27" t="s">
        <v>262</v>
      </c>
      <c r="F269" s="55" t="str">
        <f>VLOOKUP(Клиенты[[#This Row],[GardenaChannel]],GardenChannel[[GardenChannel]:[Sales manager]],2,0)</f>
        <v>КАШКИН ВЛАДИМИР</v>
      </c>
      <c r="H269" s="27" t="s">
        <v>557</v>
      </c>
    </row>
    <row r="270" spans="1:8" x14ac:dyDescent="0.25">
      <c r="A270" s="32" t="s">
        <v>1012</v>
      </c>
      <c r="B270" s="27" t="s">
        <v>557</v>
      </c>
      <c r="C270" s="54" t="s">
        <v>571</v>
      </c>
      <c r="D270" s="27" t="s">
        <v>261</v>
      </c>
      <c r="E270" s="27" t="s">
        <v>262</v>
      </c>
      <c r="F270" s="55" t="str">
        <f>VLOOKUP(Клиенты[[#This Row],[GardenaChannel]],GardenChannel[[GardenChannel]:[Sales manager]],2,0)</f>
        <v>КАШКИН ВЛАДИМИР</v>
      </c>
      <c r="H270" s="27" t="s">
        <v>557</v>
      </c>
    </row>
    <row r="271" spans="1:8" x14ac:dyDescent="0.25">
      <c r="A271" s="32" t="s">
        <v>1013</v>
      </c>
      <c r="B271" s="27" t="s">
        <v>557</v>
      </c>
      <c r="C271" s="54" t="s">
        <v>572</v>
      </c>
      <c r="D271" s="27" t="s">
        <v>261</v>
      </c>
      <c r="E271" s="27" t="s">
        <v>275</v>
      </c>
      <c r="F271" s="55" t="str">
        <f>VLOOKUP(Клиенты[[#This Row],[GardenaChannel]],GardenChannel[[GardenChannel]:[Sales manager]],2,0)</f>
        <v>КАШКИН ВЛАДИМИР</v>
      </c>
      <c r="H271" s="27" t="s">
        <v>557</v>
      </c>
    </row>
    <row r="272" spans="1:8" x14ac:dyDescent="0.25">
      <c r="A272" s="32" t="s">
        <v>1014</v>
      </c>
      <c r="B272" s="27" t="s">
        <v>557</v>
      </c>
      <c r="C272" s="54" t="s">
        <v>573</v>
      </c>
      <c r="D272" s="27" t="s">
        <v>261</v>
      </c>
      <c r="E272" s="27" t="s">
        <v>262</v>
      </c>
      <c r="F272" s="55" t="str">
        <f>VLOOKUP(Клиенты[[#This Row],[GardenaChannel]],GardenChannel[[GardenChannel]:[Sales manager]],2,0)</f>
        <v>КАШКИН ВЛАДИМИР</v>
      </c>
      <c r="H272" s="27" t="s">
        <v>557</v>
      </c>
    </row>
    <row r="273" spans="1:8" x14ac:dyDescent="0.25">
      <c r="A273" s="32" t="s">
        <v>1015</v>
      </c>
      <c r="B273" s="27" t="s">
        <v>557</v>
      </c>
      <c r="C273" s="54" t="s">
        <v>574</v>
      </c>
      <c r="D273" s="27" t="s">
        <v>261</v>
      </c>
      <c r="E273" s="27" t="s">
        <v>299</v>
      </c>
      <c r="F273" s="55" t="str">
        <f>VLOOKUP(Клиенты[[#This Row],[GardenaChannel]],GardenChannel[[GardenChannel]:[Sales manager]],2,0)</f>
        <v>КАШКИН ВЛАДИМИР</v>
      </c>
      <c r="H273" s="27" t="s">
        <v>557</v>
      </c>
    </row>
    <row r="274" spans="1:8" x14ac:dyDescent="0.25">
      <c r="A274" s="32" t="s">
        <v>1016</v>
      </c>
      <c r="B274" s="27" t="s">
        <v>557</v>
      </c>
      <c r="C274" s="54" t="s">
        <v>575</v>
      </c>
      <c r="D274" s="27" t="s">
        <v>261</v>
      </c>
      <c r="E274" s="27" t="s">
        <v>262</v>
      </c>
      <c r="F274" s="55" t="str">
        <f>VLOOKUP(Клиенты[[#This Row],[GardenaChannel]],GardenChannel[[GardenChannel]:[Sales manager]],2,0)</f>
        <v>КАШКИН ВЛАДИМИР</v>
      </c>
      <c r="H274" s="27" t="s">
        <v>557</v>
      </c>
    </row>
    <row r="275" spans="1:8" x14ac:dyDescent="0.25">
      <c r="A275" s="32" t="s">
        <v>1017</v>
      </c>
      <c r="B275" s="27" t="s">
        <v>557</v>
      </c>
      <c r="C275" s="54" t="s">
        <v>576</v>
      </c>
      <c r="D275" s="27" t="s">
        <v>261</v>
      </c>
      <c r="E275" s="27" t="s">
        <v>275</v>
      </c>
      <c r="F275" s="55" t="str">
        <f>VLOOKUP(Клиенты[[#This Row],[GardenaChannel]],GardenChannel[[GardenChannel]:[Sales manager]],2,0)</f>
        <v>КАШКИН ВЛАДИМИР</v>
      </c>
      <c r="H275" s="27" t="s">
        <v>557</v>
      </c>
    </row>
    <row r="276" spans="1:8" x14ac:dyDescent="0.25">
      <c r="A276" s="32" t="s">
        <v>1018</v>
      </c>
      <c r="B276" s="27" t="s">
        <v>557</v>
      </c>
      <c r="C276" s="54" t="s">
        <v>577</v>
      </c>
      <c r="D276" s="27" t="s">
        <v>261</v>
      </c>
      <c r="E276" s="27" t="s">
        <v>262</v>
      </c>
      <c r="F276" s="55" t="str">
        <f>VLOOKUP(Клиенты[[#This Row],[GardenaChannel]],GardenChannel[[GardenChannel]:[Sales manager]],2,0)</f>
        <v>КАШКИН ВЛАДИМИР</v>
      </c>
      <c r="H276" s="27" t="s">
        <v>557</v>
      </c>
    </row>
    <row r="277" spans="1:8" x14ac:dyDescent="0.25">
      <c r="A277" s="32" t="s">
        <v>1019</v>
      </c>
      <c r="B277" s="27" t="s">
        <v>557</v>
      </c>
      <c r="C277" s="54" t="s">
        <v>578</v>
      </c>
      <c r="D277" s="27" t="s">
        <v>261</v>
      </c>
      <c r="E277" s="27" t="s">
        <v>275</v>
      </c>
      <c r="F277" s="55" t="str">
        <f>VLOOKUP(Клиенты[[#This Row],[GardenaChannel]],GardenChannel[[GardenChannel]:[Sales manager]],2,0)</f>
        <v>КАШКИН ВЛАДИМИР</v>
      </c>
      <c r="H277" s="27" t="s">
        <v>557</v>
      </c>
    </row>
    <row r="278" spans="1:8" x14ac:dyDescent="0.25">
      <c r="A278" s="32" t="s">
        <v>1020</v>
      </c>
      <c r="B278" s="27" t="s">
        <v>557</v>
      </c>
      <c r="C278" s="54" t="s">
        <v>579</v>
      </c>
      <c r="D278" s="27" t="s">
        <v>261</v>
      </c>
      <c r="E278" s="27" t="s">
        <v>262</v>
      </c>
      <c r="F278" s="55" t="str">
        <f>VLOOKUP(Клиенты[[#This Row],[GardenaChannel]],GardenChannel[[GardenChannel]:[Sales manager]],2,0)</f>
        <v>КАШКИН ВЛАДИМИР</v>
      </c>
      <c r="H278" s="27" t="s">
        <v>557</v>
      </c>
    </row>
    <row r="279" spans="1:8" x14ac:dyDescent="0.25">
      <c r="A279" s="32" t="s">
        <v>1021</v>
      </c>
      <c r="B279" s="27" t="s">
        <v>557</v>
      </c>
      <c r="C279" s="54" t="s">
        <v>580</v>
      </c>
      <c r="D279" s="27" t="s">
        <v>261</v>
      </c>
      <c r="E279" s="27" t="s">
        <v>275</v>
      </c>
      <c r="F279" s="55" t="str">
        <f>VLOOKUP(Клиенты[[#This Row],[GardenaChannel]],GardenChannel[[GardenChannel]:[Sales manager]],2,0)</f>
        <v>КАШКИН ВЛАДИМИР</v>
      </c>
      <c r="H279" s="27" t="s">
        <v>557</v>
      </c>
    </row>
    <row r="280" spans="1:8" x14ac:dyDescent="0.25">
      <c r="A280" s="32" t="s">
        <v>1022</v>
      </c>
      <c r="B280" s="27" t="s">
        <v>557</v>
      </c>
      <c r="C280" s="54" t="s">
        <v>581</v>
      </c>
      <c r="D280" s="27" t="s">
        <v>261</v>
      </c>
      <c r="E280" s="27" t="s">
        <v>262</v>
      </c>
      <c r="F280" s="55" t="str">
        <f>VLOOKUP(Клиенты[[#This Row],[GardenaChannel]],GardenChannel[[GardenChannel]:[Sales manager]],2,0)</f>
        <v>КАШКИН ВЛАДИМИР</v>
      </c>
      <c r="H280" s="27" t="s">
        <v>557</v>
      </c>
    </row>
    <row r="281" spans="1:8" x14ac:dyDescent="0.25">
      <c r="A281" s="32" t="s">
        <v>1023</v>
      </c>
      <c r="B281" s="27" t="s">
        <v>557</v>
      </c>
      <c r="C281" s="54" t="s">
        <v>582</v>
      </c>
      <c r="D281" s="27" t="s">
        <v>261</v>
      </c>
      <c r="E281" s="27" t="s">
        <v>275</v>
      </c>
      <c r="F281" s="55" t="str">
        <f>VLOOKUP(Клиенты[[#This Row],[GardenaChannel]],GardenChannel[[GardenChannel]:[Sales manager]],2,0)</f>
        <v>КАШКИН ВЛАДИМИР</v>
      </c>
      <c r="H281" s="27" t="s">
        <v>557</v>
      </c>
    </row>
    <row r="282" spans="1:8" x14ac:dyDescent="0.25">
      <c r="A282" s="32" t="s">
        <v>1024</v>
      </c>
      <c r="B282" s="27" t="s">
        <v>557</v>
      </c>
      <c r="C282" s="54" t="s">
        <v>583</v>
      </c>
      <c r="D282" s="27" t="s">
        <v>261</v>
      </c>
      <c r="E282" s="27" t="s">
        <v>275</v>
      </c>
      <c r="F282" s="55" t="str">
        <f>VLOOKUP(Клиенты[[#This Row],[GardenaChannel]],GardenChannel[[GardenChannel]:[Sales manager]],2,0)</f>
        <v>КАШКИН ВЛАДИМИР</v>
      </c>
      <c r="H282" s="27" t="s">
        <v>557</v>
      </c>
    </row>
    <row r="283" spans="1:8" x14ac:dyDescent="0.25">
      <c r="A283" s="32" t="s">
        <v>1025</v>
      </c>
      <c r="B283" s="27" t="s">
        <v>557</v>
      </c>
      <c r="C283" s="54" t="s">
        <v>584</v>
      </c>
      <c r="D283" s="27" t="s">
        <v>261</v>
      </c>
      <c r="E283" s="27" t="s">
        <v>262</v>
      </c>
      <c r="F283" s="55" t="str">
        <f>VLOOKUP(Клиенты[[#This Row],[GardenaChannel]],GardenChannel[[GardenChannel]:[Sales manager]],2,0)</f>
        <v>КАШКИН ВЛАДИМИР</v>
      </c>
      <c r="H283" s="27" t="s">
        <v>557</v>
      </c>
    </row>
    <row r="284" spans="1:8" x14ac:dyDescent="0.25">
      <c r="A284" s="32" t="s">
        <v>1026</v>
      </c>
      <c r="B284" s="27" t="s">
        <v>557</v>
      </c>
      <c r="C284" s="54" t="s">
        <v>585</v>
      </c>
      <c r="D284" s="27" t="s">
        <v>261</v>
      </c>
      <c r="E284" s="27" t="s">
        <v>299</v>
      </c>
      <c r="F284" s="55" t="str">
        <f>VLOOKUP(Клиенты[[#This Row],[GardenaChannel]],GardenChannel[[GardenChannel]:[Sales manager]],2,0)</f>
        <v>КАШКИН ВЛАДИМИР</v>
      </c>
      <c r="H284" s="27" t="s">
        <v>557</v>
      </c>
    </row>
    <row r="285" spans="1:8" x14ac:dyDescent="0.25">
      <c r="A285" s="32" t="s">
        <v>1027</v>
      </c>
      <c r="B285" s="27" t="s">
        <v>557</v>
      </c>
      <c r="C285" s="54" t="s">
        <v>586</v>
      </c>
      <c r="D285" s="27" t="s">
        <v>261</v>
      </c>
      <c r="E285" s="27" t="s">
        <v>262</v>
      </c>
      <c r="F285" s="55" t="str">
        <f>VLOOKUP(Клиенты[[#This Row],[GardenaChannel]],GardenChannel[[GardenChannel]:[Sales manager]],2,0)</f>
        <v>КАШКИН ВЛАДИМИР</v>
      </c>
      <c r="H285" s="27" t="s">
        <v>557</v>
      </c>
    </row>
    <row r="286" spans="1:8" x14ac:dyDescent="0.25">
      <c r="A286" s="32" t="s">
        <v>1028</v>
      </c>
      <c r="B286" s="27" t="s">
        <v>557</v>
      </c>
      <c r="C286" s="54" t="s">
        <v>587</v>
      </c>
      <c r="D286" s="27" t="s">
        <v>261</v>
      </c>
      <c r="E286" s="27" t="s">
        <v>262</v>
      </c>
      <c r="F286" s="55" t="str">
        <f>VLOOKUP(Клиенты[[#This Row],[GardenaChannel]],GardenChannel[[GardenChannel]:[Sales manager]],2,0)</f>
        <v>КАШКИН ВЛАДИМИР</v>
      </c>
      <c r="H286" s="27" t="s">
        <v>557</v>
      </c>
    </row>
    <row r="287" spans="1:8" x14ac:dyDescent="0.25">
      <c r="A287" s="32" t="s">
        <v>1029</v>
      </c>
      <c r="B287" s="27" t="s">
        <v>557</v>
      </c>
      <c r="C287" s="54" t="s">
        <v>588</v>
      </c>
      <c r="D287" s="27" t="s">
        <v>261</v>
      </c>
      <c r="E287" s="27" t="s">
        <v>299</v>
      </c>
      <c r="F287" s="55" t="str">
        <f>VLOOKUP(Клиенты[[#This Row],[GardenaChannel]],GardenChannel[[GardenChannel]:[Sales manager]],2,0)</f>
        <v>КАШКИН ВЛАДИМИР</v>
      </c>
      <c r="H287" s="27" t="s">
        <v>557</v>
      </c>
    </row>
    <row r="288" spans="1:8" x14ac:dyDescent="0.25">
      <c r="A288" s="32" t="s">
        <v>1030</v>
      </c>
      <c r="B288" s="27" t="s">
        <v>557</v>
      </c>
      <c r="C288" s="54" t="s">
        <v>589</v>
      </c>
      <c r="D288" s="27" t="s">
        <v>261</v>
      </c>
      <c r="E288" s="27" t="s">
        <v>299</v>
      </c>
      <c r="F288" s="55" t="str">
        <f>VLOOKUP(Клиенты[[#This Row],[GardenaChannel]],GardenChannel[[GardenChannel]:[Sales manager]],2,0)</f>
        <v>КАШКИН ВЛАДИМИР</v>
      </c>
      <c r="H288" s="27" t="s">
        <v>557</v>
      </c>
    </row>
    <row r="289" spans="1:8" x14ac:dyDescent="0.25">
      <c r="A289" s="32" t="s">
        <v>1031</v>
      </c>
      <c r="B289" s="27" t="s">
        <v>557</v>
      </c>
      <c r="C289" s="54" t="s">
        <v>590</v>
      </c>
      <c r="D289" s="27" t="s">
        <v>261</v>
      </c>
      <c r="E289" s="27" t="s">
        <v>262</v>
      </c>
      <c r="F289" s="55" t="str">
        <f>VLOOKUP(Клиенты[[#This Row],[GardenaChannel]],GardenChannel[[GardenChannel]:[Sales manager]],2,0)</f>
        <v>КАШКИН ВЛАДИМИР</v>
      </c>
      <c r="H289" s="27" t="s">
        <v>557</v>
      </c>
    </row>
    <row r="290" spans="1:8" x14ac:dyDescent="0.25">
      <c r="A290" s="32" t="s">
        <v>1032</v>
      </c>
      <c r="B290" s="27" t="s">
        <v>557</v>
      </c>
      <c r="C290" s="54" t="s">
        <v>591</v>
      </c>
      <c r="D290" s="27" t="s">
        <v>261</v>
      </c>
      <c r="E290" s="27" t="s">
        <v>262</v>
      </c>
      <c r="F290" s="55" t="str">
        <f>VLOOKUP(Клиенты[[#This Row],[GardenaChannel]],GardenChannel[[GardenChannel]:[Sales manager]],2,0)</f>
        <v>КАШКИН ВЛАДИМИР</v>
      </c>
      <c r="H290" s="27" t="s">
        <v>557</v>
      </c>
    </row>
    <row r="291" spans="1:8" x14ac:dyDescent="0.25">
      <c r="A291" s="32" t="s">
        <v>1033</v>
      </c>
      <c r="B291" s="27" t="s">
        <v>557</v>
      </c>
      <c r="C291" s="54" t="s">
        <v>592</v>
      </c>
      <c r="D291" s="27" t="s">
        <v>261</v>
      </c>
      <c r="E291" s="27" t="s">
        <v>275</v>
      </c>
      <c r="F291" s="55" t="str">
        <f>VLOOKUP(Клиенты[[#This Row],[GardenaChannel]],GardenChannel[[GardenChannel]:[Sales manager]],2,0)</f>
        <v>КАШКИН ВЛАДИМИР</v>
      </c>
      <c r="H291" s="27" t="s">
        <v>557</v>
      </c>
    </row>
    <row r="292" spans="1:8" x14ac:dyDescent="0.25">
      <c r="A292" s="32" t="s">
        <v>1034</v>
      </c>
      <c r="B292" s="27" t="s">
        <v>557</v>
      </c>
      <c r="C292" s="54" t="s">
        <v>593</v>
      </c>
      <c r="D292" s="27" t="s">
        <v>261</v>
      </c>
      <c r="E292" s="27" t="s">
        <v>262</v>
      </c>
      <c r="F292" s="55" t="str">
        <f>VLOOKUP(Клиенты[[#This Row],[GardenaChannel]],GardenChannel[[GardenChannel]:[Sales manager]],2,0)</f>
        <v>КАШКИН ВЛАДИМИР</v>
      </c>
      <c r="H292" s="27" t="s">
        <v>557</v>
      </c>
    </row>
    <row r="293" spans="1:8" x14ac:dyDescent="0.25">
      <c r="A293" s="32" t="s">
        <v>1035</v>
      </c>
      <c r="B293" s="27" t="s">
        <v>557</v>
      </c>
      <c r="C293" s="54" t="s">
        <v>594</v>
      </c>
      <c r="D293" s="27" t="s">
        <v>261</v>
      </c>
      <c r="E293" s="27" t="s">
        <v>262</v>
      </c>
      <c r="F293" s="55" t="str">
        <f>VLOOKUP(Клиенты[[#This Row],[GardenaChannel]],GardenChannel[[GardenChannel]:[Sales manager]],2,0)</f>
        <v>КАШКИН ВЛАДИМИР</v>
      </c>
      <c r="H293" s="27" t="s">
        <v>557</v>
      </c>
    </row>
    <row r="294" spans="1:8" x14ac:dyDescent="0.25">
      <c r="A294" s="32" t="s">
        <v>1036</v>
      </c>
      <c r="B294" s="27" t="s">
        <v>557</v>
      </c>
      <c r="C294" s="54" t="s">
        <v>595</v>
      </c>
      <c r="D294" s="27" t="s">
        <v>261</v>
      </c>
      <c r="E294" s="27" t="s">
        <v>262</v>
      </c>
      <c r="F294" s="55" t="str">
        <f>VLOOKUP(Клиенты[[#This Row],[GardenaChannel]],GardenChannel[[GardenChannel]:[Sales manager]],2,0)</f>
        <v>КАШКИН ВЛАДИМИР</v>
      </c>
      <c r="H294" s="27" t="s">
        <v>557</v>
      </c>
    </row>
    <row r="295" spans="1:8" x14ac:dyDescent="0.25">
      <c r="A295" s="32" t="s">
        <v>1037</v>
      </c>
      <c r="B295" s="27" t="s">
        <v>557</v>
      </c>
      <c r="C295" s="54" t="s">
        <v>596</v>
      </c>
      <c r="D295" s="27" t="s">
        <v>261</v>
      </c>
      <c r="E295" s="27" t="s">
        <v>262</v>
      </c>
      <c r="F295" s="55" t="str">
        <f>VLOOKUP(Клиенты[[#This Row],[GardenaChannel]],GardenChannel[[GardenChannel]:[Sales manager]],2,0)</f>
        <v>КАШКИН ВЛАДИМИР</v>
      </c>
      <c r="H295" s="27" t="s">
        <v>557</v>
      </c>
    </row>
    <row r="296" spans="1:8" x14ac:dyDescent="0.25">
      <c r="A296" s="32" t="s">
        <v>1038</v>
      </c>
      <c r="B296" s="27" t="s">
        <v>557</v>
      </c>
      <c r="C296" s="54" t="s">
        <v>597</v>
      </c>
      <c r="D296" s="27" t="s">
        <v>261</v>
      </c>
      <c r="E296" s="27" t="s">
        <v>262</v>
      </c>
      <c r="F296" s="55" t="str">
        <f>VLOOKUP(Клиенты[[#This Row],[GardenaChannel]],GardenChannel[[GardenChannel]:[Sales manager]],2,0)</f>
        <v>КАШКИН ВЛАДИМИР</v>
      </c>
      <c r="H296" s="27" t="s">
        <v>557</v>
      </c>
    </row>
    <row r="297" spans="1:8" x14ac:dyDescent="0.25">
      <c r="A297" s="32" t="s">
        <v>1039</v>
      </c>
      <c r="B297" s="27" t="s">
        <v>557</v>
      </c>
      <c r="C297" s="54" t="s">
        <v>598</v>
      </c>
      <c r="D297" s="27" t="s">
        <v>261</v>
      </c>
      <c r="E297" s="27" t="s">
        <v>262</v>
      </c>
      <c r="F297" s="55" t="str">
        <f>VLOOKUP(Клиенты[[#This Row],[GardenaChannel]],GardenChannel[[GardenChannel]:[Sales manager]],2,0)</f>
        <v>КАШКИН ВЛАДИМИР</v>
      </c>
      <c r="H297" s="27" t="s">
        <v>557</v>
      </c>
    </row>
    <row r="298" spans="1:8" x14ac:dyDescent="0.25">
      <c r="A298" s="32" t="s">
        <v>1040</v>
      </c>
      <c r="B298" s="27" t="s">
        <v>557</v>
      </c>
      <c r="C298" s="54" t="s">
        <v>599</v>
      </c>
      <c r="D298" s="27" t="s">
        <v>261</v>
      </c>
      <c r="E298" s="27" t="s">
        <v>262</v>
      </c>
      <c r="F298" s="55" t="str">
        <f>VLOOKUP(Клиенты[[#This Row],[GardenaChannel]],GardenChannel[[GardenChannel]:[Sales manager]],2,0)</f>
        <v>КАШКИН ВЛАДИМИР</v>
      </c>
      <c r="H298" s="27" t="s">
        <v>557</v>
      </c>
    </row>
    <row r="299" spans="1:8" x14ac:dyDescent="0.25">
      <c r="A299" s="32" t="s">
        <v>1041</v>
      </c>
      <c r="B299" s="27" t="s">
        <v>557</v>
      </c>
      <c r="C299" s="54" t="s">
        <v>600</v>
      </c>
      <c r="D299" s="27" t="s">
        <v>261</v>
      </c>
      <c r="E299" s="27" t="s">
        <v>262</v>
      </c>
      <c r="F299" s="55" t="str">
        <f>VLOOKUP(Клиенты[[#This Row],[GardenaChannel]],GardenChannel[[GardenChannel]:[Sales manager]],2,0)</f>
        <v>КАШКИН ВЛАДИМИР</v>
      </c>
      <c r="H299" s="27" t="s">
        <v>557</v>
      </c>
    </row>
    <row r="300" spans="1:8" x14ac:dyDescent="0.25">
      <c r="A300" s="32" t="s">
        <v>1042</v>
      </c>
      <c r="B300" s="27" t="s">
        <v>557</v>
      </c>
      <c r="C300" s="54" t="s">
        <v>601</v>
      </c>
      <c r="D300" s="27" t="s">
        <v>261</v>
      </c>
      <c r="E300" s="27" t="s">
        <v>262</v>
      </c>
      <c r="F300" s="55" t="str">
        <f>VLOOKUP(Клиенты[[#This Row],[GardenaChannel]],GardenChannel[[GardenChannel]:[Sales manager]],2,0)</f>
        <v>КАШКИН ВЛАДИМИР</v>
      </c>
      <c r="H300" s="27" t="s">
        <v>557</v>
      </c>
    </row>
    <row r="301" spans="1:8" x14ac:dyDescent="0.25">
      <c r="A301" s="32" t="s">
        <v>1043</v>
      </c>
      <c r="B301" s="27" t="s">
        <v>557</v>
      </c>
      <c r="C301" s="54" t="s">
        <v>602</v>
      </c>
      <c r="D301" s="27" t="s">
        <v>261</v>
      </c>
      <c r="E301" s="27" t="s">
        <v>262</v>
      </c>
      <c r="F301" s="55" t="str">
        <f>VLOOKUP(Клиенты[[#This Row],[GardenaChannel]],GardenChannel[[GardenChannel]:[Sales manager]],2,0)</f>
        <v>КАШКИН ВЛАДИМИР</v>
      </c>
      <c r="H301" s="27" t="s">
        <v>557</v>
      </c>
    </row>
    <row r="302" spans="1:8" x14ac:dyDescent="0.25">
      <c r="A302" s="32" t="s">
        <v>1044</v>
      </c>
      <c r="B302" s="27" t="s">
        <v>557</v>
      </c>
      <c r="C302" s="54" t="s">
        <v>603</v>
      </c>
      <c r="D302" s="27" t="s">
        <v>261</v>
      </c>
      <c r="E302" s="27" t="s">
        <v>299</v>
      </c>
      <c r="F302" s="55" t="str">
        <f>VLOOKUP(Клиенты[[#This Row],[GardenaChannel]],GardenChannel[[GardenChannel]:[Sales manager]],2,0)</f>
        <v>КАШКИН ВЛАДИМИР</v>
      </c>
      <c r="H302" s="27" t="s">
        <v>557</v>
      </c>
    </row>
    <row r="303" spans="1:8" x14ac:dyDescent="0.25">
      <c r="A303" s="32" t="s">
        <v>1045</v>
      </c>
      <c r="B303" s="27" t="s">
        <v>557</v>
      </c>
      <c r="C303" s="54" t="s">
        <v>604</v>
      </c>
      <c r="D303" s="27" t="s">
        <v>261</v>
      </c>
      <c r="E303" s="27" t="s">
        <v>262</v>
      </c>
      <c r="F303" s="55" t="str">
        <f>VLOOKUP(Клиенты[[#This Row],[GardenaChannel]],GardenChannel[[GardenChannel]:[Sales manager]],2,0)</f>
        <v>КАШКИН ВЛАДИМИР</v>
      </c>
      <c r="H303" s="27" t="s">
        <v>557</v>
      </c>
    </row>
    <row r="304" spans="1:8" x14ac:dyDescent="0.25">
      <c r="A304" s="32" t="s">
        <v>1046</v>
      </c>
      <c r="B304" s="27" t="s">
        <v>557</v>
      </c>
      <c r="C304" s="54" t="s">
        <v>605</v>
      </c>
      <c r="D304" s="27" t="s">
        <v>261</v>
      </c>
      <c r="E304" s="27" t="s">
        <v>262</v>
      </c>
      <c r="F304" s="55" t="str">
        <f>VLOOKUP(Клиенты[[#This Row],[GardenaChannel]],GardenChannel[[GardenChannel]:[Sales manager]],2,0)</f>
        <v>КАШКИН ВЛАДИМИР</v>
      </c>
      <c r="H304" s="27" t="s">
        <v>557</v>
      </c>
    </row>
    <row r="305" spans="1:8" x14ac:dyDescent="0.25">
      <c r="A305" s="32" t="s">
        <v>1047</v>
      </c>
      <c r="B305" s="27" t="s">
        <v>606</v>
      </c>
      <c r="C305" s="54" t="s">
        <v>607</v>
      </c>
      <c r="D305" s="27" t="s">
        <v>261</v>
      </c>
      <c r="E305" s="27" t="s">
        <v>262</v>
      </c>
      <c r="F305" s="55" t="str">
        <f>VLOOKUP(Клиенты[[#This Row],[GardenaChannel]],GardenChannel[[GardenChannel]:[Sales manager]],2,0)</f>
        <v>КОРНИЛИН ИЛЬЯ</v>
      </c>
      <c r="H305" s="27" t="s">
        <v>606</v>
      </c>
    </row>
    <row r="306" spans="1:8" x14ac:dyDescent="0.25">
      <c r="A306" s="32" t="s">
        <v>1048</v>
      </c>
      <c r="B306" s="27" t="s">
        <v>606</v>
      </c>
      <c r="C306" s="54" t="s">
        <v>609</v>
      </c>
      <c r="D306" s="27" t="s">
        <v>261</v>
      </c>
      <c r="E306" s="27" t="s">
        <v>262</v>
      </c>
      <c r="F306" s="55" t="str">
        <f>VLOOKUP(Клиенты[[#This Row],[GardenaChannel]],GardenChannel[[GardenChannel]:[Sales manager]],2,0)</f>
        <v>КОРНИЛИН ИЛЬЯ</v>
      </c>
      <c r="H306" s="27" t="s">
        <v>606</v>
      </c>
    </row>
    <row r="307" spans="1:8" x14ac:dyDescent="0.25">
      <c r="A307" s="32" t="s">
        <v>1049</v>
      </c>
      <c r="B307" s="27" t="s">
        <v>606</v>
      </c>
      <c r="C307" s="54" t="s">
        <v>610</v>
      </c>
      <c r="D307" s="27" t="s">
        <v>261</v>
      </c>
      <c r="E307" s="27" t="s">
        <v>262</v>
      </c>
      <c r="F307" s="55" t="str">
        <f>VLOOKUP(Клиенты[[#This Row],[GardenaChannel]],GardenChannel[[GardenChannel]:[Sales manager]],2,0)</f>
        <v>КОРНИЛИН ИЛЬЯ</v>
      </c>
      <c r="H307" s="27" t="s">
        <v>606</v>
      </c>
    </row>
    <row r="308" spans="1:8" x14ac:dyDescent="0.25">
      <c r="A308" s="32" t="s">
        <v>1050</v>
      </c>
      <c r="B308" s="27" t="s">
        <v>606</v>
      </c>
      <c r="C308" s="54" t="s">
        <v>611</v>
      </c>
      <c r="D308" s="27" t="s">
        <v>261</v>
      </c>
      <c r="E308" s="27" t="s">
        <v>262</v>
      </c>
      <c r="F308" s="55" t="str">
        <f>VLOOKUP(Клиенты[[#This Row],[GardenaChannel]],GardenChannel[[GardenChannel]:[Sales manager]],2,0)</f>
        <v>КОРНИЛИН ИЛЬЯ</v>
      </c>
      <c r="H308" s="27" t="s">
        <v>606</v>
      </c>
    </row>
    <row r="309" spans="1:8" x14ac:dyDescent="0.25">
      <c r="A309" s="32" t="s">
        <v>1051</v>
      </c>
      <c r="B309" s="27" t="s">
        <v>606</v>
      </c>
      <c r="C309" s="54" t="s">
        <v>612</v>
      </c>
      <c r="D309" s="27" t="s">
        <v>261</v>
      </c>
      <c r="E309" s="27" t="s">
        <v>262</v>
      </c>
      <c r="F309" s="55" t="str">
        <f>VLOOKUP(Клиенты[[#This Row],[GardenaChannel]],GardenChannel[[GardenChannel]:[Sales manager]],2,0)</f>
        <v>КОРНИЛИН ИЛЬЯ</v>
      </c>
      <c r="H309" s="27" t="s">
        <v>606</v>
      </c>
    </row>
    <row r="310" spans="1:8" x14ac:dyDescent="0.25">
      <c r="A310" s="32" t="s">
        <v>1052</v>
      </c>
      <c r="B310" s="27" t="s">
        <v>606</v>
      </c>
      <c r="C310" s="54" t="s">
        <v>613</v>
      </c>
      <c r="D310" s="27" t="s">
        <v>261</v>
      </c>
      <c r="E310" s="27" t="s">
        <v>275</v>
      </c>
      <c r="F310" s="55" t="str">
        <f>VLOOKUP(Клиенты[[#This Row],[GardenaChannel]],GardenChannel[[GardenChannel]:[Sales manager]],2,0)</f>
        <v>КОРНИЛИН ИЛЬЯ</v>
      </c>
      <c r="H310" s="27" t="s">
        <v>606</v>
      </c>
    </row>
    <row r="311" spans="1:8" x14ac:dyDescent="0.25">
      <c r="A311" s="32" t="s">
        <v>1053</v>
      </c>
      <c r="B311" s="27" t="s">
        <v>606</v>
      </c>
      <c r="C311" s="54" t="s">
        <v>614</v>
      </c>
      <c r="D311" s="27" t="s">
        <v>261</v>
      </c>
      <c r="E311" s="27" t="s">
        <v>275</v>
      </c>
      <c r="F311" s="55" t="str">
        <f>VLOOKUP(Клиенты[[#This Row],[GardenaChannel]],GardenChannel[[GardenChannel]:[Sales manager]],2,0)</f>
        <v>КОРНИЛИН ИЛЬЯ</v>
      </c>
      <c r="H311" s="27" t="s">
        <v>606</v>
      </c>
    </row>
    <row r="312" spans="1:8" x14ac:dyDescent="0.25">
      <c r="A312" s="32" t="s">
        <v>1054</v>
      </c>
      <c r="B312" s="27" t="s">
        <v>606</v>
      </c>
      <c r="C312" s="54" t="s">
        <v>615</v>
      </c>
      <c r="D312" s="27" t="s">
        <v>261</v>
      </c>
      <c r="E312" s="27" t="s">
        <v>262</v>
      </c>
      <c r="F312" s="55" t="str">
        <f>VLOOKUP(Клиенты[[#This Row],[GardenaChannel]],GardenChannel[[GardenChannel]:[Sales manager]],2,0)</f>
        <v>КОРНИЛИН ИЛЬЯ</v>
      </c>
      <c r="H312" s="27" t="s">
        <v>606</v>
      </c>
    </row>
    <row r="313" spans="1:8" x14ac:dyDescent="0.25">
      <c r="A313" s="32" t="s">
        <v>1055</v>
      </c>
      <c r="B313" s="27" t="s">
        <v>606</v>
      </c>
      <c r="C313" s="54" t="s">
        <v>616</v>
      </c>
      <c r="D313" s="27" t="s">
        <v>261</v>
      </c>
      <c r="E313" s="27" t="s">
        <v>262</v>
      </c>
      <c r="F313" s="55" t="str">
        <f>VLOOKUP(Клиенты[[#This Row],[GardenaChannel]],GardenChannel[[GardenChannel]:[Sales manager]],2,0)</f>
        <v>КОРНИЛИН ИЛЬЯ</v>
      </c>
      <c r="H313" s="27" t="s">
        <v>606</v>
      </c>
    </row>
    <row r="314" spans="1:8" x14ac:dyDescent="0.25">
      <c r="A314" s="32" t="s">
        <v>1056</v>
      </c>
      <c r="B314" s="27" t="s">
        <v>606</v>
      </c>
      <c r="C314" s="54" t="s">
        <v>617</v>
      </c>
      <c r="D314" s="27" t="s">
        <v>261</v>
      </c>
      <c r="E314" s="27" t="s">
        <v>275</v>
      </c>
      <c r="F314" s="55" t="str">
        <f>VLOOKUP(Клиенты[[#This Row],[GardenaChannel]],GardenChannel[[GardenChannel]:[Sales manager]],2,0)</f>
        <v>КОРНИЛИН ИЛЬЯ</v>
      </c>
      <c r="H314" s="27" t="s">
        <v>606</v>
      </c>
    </row>
    <row r="315" spans="1:8" x14ac:dyDescent="0.25">
      <c r="A315" s="32" t="s">
        <v>1057</v>
      </c>
      <c r="B315" s="27" t="s">
        <v>606</v>
      </c>
      <c r="C315" s="54" t="s">
        <v>618</v>
      </c>
      <c r="D315" s="27" t="s">
        <v>261</v>
      </c>
      <c r="E315" s="27" t="s">
        <v>299</v>
      </c>
      <c r="F315" s="55" t="str">
        <f>VLOOKUP(Клиенты[[#This Row],[GardenaChannel]],GardenChannel[[GardenChannel]:[Sales manager]],2,0)</f>
        <v>КОРНИЛИН ИЛЬЯ</v>
      </c>
      <c r="H315" s="27" t="s">
        <v>606</v>
      </c>
    </row>
    <row r="316" spans="1:8" x14ac:dyDescent="0.25">
      <c r="A316" s="32" t="s">
        <v>1058</v>
      </c>
      <c r="B316" s="27" t="s">
        <v>606</v>
      </c>
      <c r="C316" s="54" t="s">
        <v>619</v>
      </c>
      <c r="D316" s="27" t="s">
        <v>261</v>
      </c>
      <c r="E316" s="27" t="s">
        <v>275</v>
      </c>
      <c r="F316" s="55" t="str">
        <f>VLOOKUP(Клиенты[[#This Row],[GardenaChannel]],GardenChannel[[GardenChannel]:[Sales manager]],2,0)</f>
        <v>КОРНИЛИН ИЛЬЯ</v>
      </c>
      <c r="H316" s="27" t="s">
        <v>606</v>
      </c>
    </row>
    <row r="317" spans="1:8" x14ac:dyDescent="0.25">
      <c r="A317" s="32" t="s">
        <v>1059</v>
      </c>
      <c r="B317" s="27" t="s">
        <v>606</v>
      </c>
      <c r="C317" s="54" t="s">
        <v>620</v>
      </c>
      <c r="D317" s="27" t="s">
        <v>261</v>
      </c>
      <c r="E317" s="27" t="s">
        <v>262</v>
      </c>
      <c r="F317" s="55" t="str">
        <f>VLOOKUP(Клиенты[[#This Row],[GardenaChannel]],GardenChannel[[GardenChannel]:[Sales manager]],2,0)</f>
        <v>КОРНИЛИН ИЛЬЯ</v>
      </c>
      <c r="H317" s="27" t="s">
        <v>606</v>
      </c>
    </row>
    <row r="318" spans="1:8" x14ac:dyDescent="0.25">
      <c r="A318" s="32" t="s">
        <v>1060</v>
      </c>
      <c r="B318" s="27" t="s">
        <v>606</v>
      </c>
      <c r="C318" s="54" t="s">
        <v>621</v>
      </c>
      <c r="D318" s="27" t="s">
        <v>261</v>
      </c>
      <c r="E318" s="27" t="s">
        <v>262</v>
      </c>
      <c r="F318" s="55" t="str">
        <f>VLOOKUP(Клиенты[[#This Row],[GardenaChannel]],GardenChannel[[GardenChannel]:[Sales manager]],2,0)</f>
        <v>КОРНИЛИН ИЛЬЯ</v>
      </c>
      <c r="H318" s="27" t="s">
        <v>606</v>
      </c>
    </row>
    <row r="319" spans="1:8" x14ac:dyDescent="0.25">
      <c r="A319" s="32" t="s">
        <v>1061</v>
      </c>
      <c r="B319" s="27" t="s">
        <v>606</v>
      </c>
      <c r="C319" s="54" t="s">
        <v>622</v>
      </c>
      <c r="D319" s="27" t="s">
        <v>261</v>
      </c>
      <c r="E319" s="27" t="s">
        <v>299</v>
      </c>
      <c r="F319" s="55" t="str">
        <f>VLOOKUP(Клиенты[[#This Row],[GardenaChannel]],GardenChannel[[GardenChannel]:[Sales manager]],2,0)</f>
        <v>КОРНИЛИН ИЛЬЯ</v>
      </c>
      <c r="H319" s="27" t="s">
        <v>606</v>
      </c>
    </row>
    <row r="320" spans="1:8" x14ac:dyDescent="0.25">
      <c r="A320" s="32" t="s">
        <v>1062</v>
      </c>
      <c r="B320" s="27" t="s">
        <v>606</v>
      </c>
      <c r="C320" s="54" t="s">
        <v>623</v>
      </c>
      <c r="D320" s="27" t="s">
        <v>261</v>
      </c>
      <c r="E320" s="27" t="s">
        <v>275</v>
      </c>
      <c r="F320" s="55" t="str">
        <f>VLOOKUP(Клиенты[[#This Row],[GardenaChannel]],GardenChannel[[GardenChannel]:[Sales manager]],2,0)</f>
        <v>КОРНИЛИН ИЛЬЯ</v>
      </c>
      <c r="H320" s="27" t="s">
        <v>606</v>
      </c>
    </row>
    <row r="321" spans="1:8" x14ac:dyDescent="0.25">
      <c r="A321" s="32" t="s">
        <v>1063</v>
      </c>
      <c r="B321" s="27" t="s">
        <v>606</v>
      </c>
      <c r="C321" s="54" t="s">
        <v>624</v>
      </c>
      <c r="D321" s="27" t="s">
        <v>261</v>
      </c>
      <c r="E321" s="27" t="s">
        <v>299</v>
      </c>
      <c r="F321" s="55" t="str">
        <f>VLOOKUP(Клиенты[[#This Row],[GardenaChannel]],GardenChannel[[GardenChannel]:[Sales manager]],2,0)</f>
        <v>КОРНИЛИН ИЛЬЯ</v>
      </c>
      <c r="H321" s="27" t="s">
        <v>606</v>
      </c>
    </row>
    <row r="322" spans="1:8" x14ac:dyDescent="0.25">
      <c r="A322" s="32" t="s">
        <v>1064</v>
      </c>
      <c r="B322" s="27" t="s">
        <v>606</v>
      </c>
      <c r="C322" s="54" t="s">
        <v>625</v>
      </c>
      <c r="D322" s="27" t="s">
        <v>261</v>
      </c>
      <c r="E322" s="27" t="s">
        <v>262</v>
      </c>
      <c r="F322" s="55" t="str">
        <f>VLOOKUP(Клиенты[[#This Row],[GardenaChannel]],GardenChannel[[GardenChannel]:[Sales manager]],2,0)</f>
        <v>КОРНИЛИН ИЛЬЯ</v>
      </c>
      <c r="H322" s="27" t="s">
        <v>606</v>
      </c>
    </row>
    <row r="323" spans="1:8" x14ac:dyDescent="0.25">
      <c r="A323" s="32" t="s">
        <v>1065</v>
      </c>
      <c r="B323" s="27" t="s">
        <v>606</v>
      </c>
      <c r="C323" s="54" t="s">
        <v>626</v>
      </c>
      <c r="D323" s="27" t="s">
        <v>261</v>
      </c>
      <c r="E323" s="27" t="s">
        <v>262</v>
      </c>
      <c r="F323" s="55" t="str">
        <f>VLOOKUP(Клиенты[[#This Row],[GardenaChannel]],GardenChannel[[GardenChannel]:[Sales manager]],2,0)</f>
        <v>КОРНИЛИН ИЛЬЯ</v>
      </c>
      <c r="H323" s="27" t="s">
        <v>606</v>
      </c>
    </row>
    <row r="324" spans="1:8" x14ac:dyDescent="0.25">
      <c r="A324" s="32" t="s">
        <v>1066</v>
      </c>
      <c r="B324" s="27" t="s">
        <v>606</v>
      </c>
      <c r="C324" s="54" t="s">
        <v>627</v>
      </c>
      <c r="D324" s="27" t="s">
        <v>261</v>
      </c>
      <c r="E324" s="27" t="s">
        <v>262</v>
      </c>
      <c r="F324" s="55" t="str">
        <f>VLOOKUP(Клиенты[[#This Row],[GardenaChannel]],GardenChannel[[GardenChannel]:[Sales manager]],2,0)</f>
        <v>КОРНИЛИН ИЛЬЯ</v>
      </c>
      <c r="H324" s="27" t="s">
        <v>606</v>
      </c>
    </row>
    <row r="325" spans="1:8" x14ac:dyDescent="0.25">
      <c r="A325" s="32" t="s">
        <v>1067</v>
      </c>
      <c r="B325" s="27" t="s">
        <v>606</v>
      </c>
      <c r="C325" s="54" t="s">
        <v>628</v>
      </c>
      <c r="D325" s="27" t="s">
        <v>261</v>
      </c>
      <c r="E325" s="27" t="s">
        <v>262</v>
      </c>
      <c r="F325" s="55" t="str">
        <f>VLOOKUP(Клиенты[[#This Row],[GardenaChannel]],GardenChannel[[GardenChannel]:[Sales manager]],2,0)</f>
        <v>КОРНИЛИН ИЛЬЯ</v>
      </c>
      <c r="H325" s="27" t="s">
        <v>606</v>
      </c>
    </row>
    <row r="326" spans="1:8" x14ac:dyDescent="0.25">
      <c r="A326" s="32" t="s">
        <v>1068</v>
      </c>
      <c r="B326" s="27" t="s">
        <v>606</v>
      </c>
      <c r="C326" s="54" t="s">
        <v>629</v>
      </c>
      <c r="D326" s="27" t="s">
        <v>261</v>
      </c>
      <c r="E326" s="27" t="s">
        <v>262</v>
      </c>
      <c r="F326" s="55" t="str">
        <f>VLOOKUP(Клиенты[[#This Row],[GardenaChannel]],GardenChannel[[GardenChannel]:[Sales manager]],2,0)</f>
        <v>КОРНИЛИН ИЛЬЯ</v>
      </c>
      <c r="H326" s="27" t="s">
        <v>606</v>
      </c>
    </row>
    <row r="327" spans="1:8" x14ac:dyDescent="0.25">
      <c r="A327" s="32" t="s">
        <v>1069</v>
      </c>
      <c r="B327" s="27" t="s">
        <v>606</v>
      </c>
      <c r="C327" s="54" t="s">
        <v>630</v>
      </c>
      <c r="D327" s="27" t="s">
        <v>261</v>
      </c>
      <c r="E327" s="27" t="s">
        <v>262</v>
      </c>
      <c r="F327" s="55" t="str">
        <f>VLOOKUP(Клиенты[[#This Row],[GardenaChannel]],GardenChannel[[GardenChannel]:[Sales manager]],2,0)</f>
        <v>КОРНИЛИН ИЛЬЯ</v>
      </c>
      <c r="H327" s="27" t="s">
        <v>606</v>
      </c>
    </row>
    <row r="328" spans="1:8" x14ac:dyDescent="0.25">
      <c r="A328" s="32" t="s">
        <v>1070</v>
      </c>
      <c r="B328" s="27" t="s">
        <v>606</v>
      </c>
      <c r="C328" s="54" t="s">
        <v>631</v>
      </c>
      <c r="D328" s="27" t="s">
        <v>261</v>
      </c>
      <c r="E328" s="27" t="s">
        <v>299</v>
      </c>
      <c r="F328" s="55" t="str">
        <f>VLOOKUP(Клиенты[[#This Row],[GardenaChannel]],GardenChannel[[GardenChannel]:[Sales manager]],2,0)</f>
        <v>КОРНИЛИН ИЛЬЯ</v>
      </c>
      <c r="H328" s="27" t="s">
        <v>606</v>
      </c>
    </row>
    <row r="329" spans="1:8" x14ac:dyDescent="0.25">
      <c r="A329" s="32" t="s">
        <v>1071</v>
      </c>
      <c r="B329" s="27" t="s">
        <v>606</v>
      </c>
      <c r="C329" s="54" t="s">
        <v>632</v>
      </c>
      <c r="D329" s="27" t="s">
        <v>261</v>
      </c>
      <c r="E329" s="27" t="s">
        <v>262</v>
      </c>
      <c r="F329" s="55" t="str">
        <f>VLOOKUP(Клиенты[[#This Row],[GardenaChannel]],GardenChannel[[GardenChannel]:[Sales manager]],2,0)</f>
        <v>КОРНИЛИН ИЛЬЯ</v>
      </c>
      <c r="H329" s="27" t="s">
        <v>606</v>
      </c>
    </row>
    <row r="330" spans="1:8" x14ac:dyDescent="0.25">
      <c r="A330" s="32" t="s">
        <v>1072</v>
      </c>
      <c r="B330" s="27" t="s">
        <v>606</v>
      </c>
      <c r="C330" s="54" t="s">
        <v>633</v>
      </c>
      <c r="D330" s="27" t="s">
        <v>261</v>
      </c>
      <c r="E330" s="27" t="s">
        <v>262</v>
      </c>
      <c r="F330" s="55" t="str">
        <f>VLOOKUP(Клиенты[[#This Row],[GardenaChannel]],GardenChannel[[GardenChannel]:[Sales manager]],2,0)</f>
        <v>КОРНИЛИН ИЛЬЯ</v>
      </c>
      <c r="H330" s="27" t="s">
        <v>606</v>
      </c>
    </row>
    <row r="331" spans="1:8" x14ac:dyDescent="0.25">
      <c r="A331" s="32" t="s">
        <v>1073</v>
      </c>
      <c r="B331" s="27" t="s">
        <v>606</v>
      </c>
      <c r="C331" s="54" t="s">
        <v>634</v>
      </c>
      <c r="D331" s="27" t="s">
        <v>261</v>
      </c>
      <c r="E331" s="27" t="s">
        <v>262</v>
      </c>
      <c r="F331" s="55" t="str">
        <f>VLOOKUP(Клиенты[[#This Row],[GardenaChannel]],GardenChannel[[GardenChannel]:[Sales manager]],2,0)</f>
        <v>КОРНИЛИН ИЛЬЯ</v>
      </c>
      <c r="H331" s="27" t="s">
        <v>606</v>
      </c>
    </row>
    <row r="332" spans="1:8" x14ac:dyDescent="0.25">
      <c r="A332" s="32" t="s">
        <v>1074</v>
      </c>
      <c r="B332" s="27" t="s">
        <v>606</v>
      </c>
      <c r="C332" s="54" t="s">
        <v>635</v>
      </c>
      <c r="D332" s="27" t="s">
        <v>261</v>
      </c>
      <c r="E332" s="27" t="s">
        <v>262</v>
      </c>
      <c r="F332" s="55" t="str">
        <f>VLOOKUP(Клиенты[[#This Row],[GardenaChannel]],GardenChannel[[GardenChannel]:[Sales manager]],2,0)</f>
        <v>КОРНИЛИН ИЛЬЯ</v>
      </c>
      <c r="H332" s="27" t="s">
        <v>606</v>
      </c>
    </row>
    <row r="333" spans="1:8" x14ac:dyDescent="0.25">
      <c r="A333" s="32" t="s">
        <v>1075</v>
      </c>
      <c r="B333" s="27" t="s">
        <v>606</v>
      </c>
      <c r="C333" s="54" t="s">
        <v>636</v>
      </c>
      <c r="D333" s="27" t="s">
        <v>261</v>
      </c>
      <c r="E333" s="27" t="s">
        <v>262</v>
      </c>
      <c r="F333" s="55" t="str">
        <f>VLOOKUP(Клиенты[[#This Row],[GardenaChannel]],GardenChannel[[GardenChannel]:[Sales manager]],2,0)</f>
        <v>КОРНИЛИН ИЛЬЯ</v>
      </c>
      <c r="H333" s="27" t="s">
        <v>606</v>
      </c>
    </row>
    <row r="334" spans="1:8" x14ac:dyDescent="0.25">
      <c r="A334" s="32" t="s">
        <v>1076</v>
      </c>
      <c r="B334" s="27" t="s">
        <v>606</v>
      </c>
      <c r="C334" s="54" t="s">
        <v>637</v>
      </c>
      <c r="D334" s="27" t="s">
        <v>261</v>
      </c>
      <c r="E334" s="27" t="s">
        <v>262</v>
      </c>
      <c r="F334" s="55" t="str">
        <f>VLOOKUP(Клиенты[[#This Row],[GardenaChannel]],GardenChannel[[GardenChannel]:[Sales manager]],2,0)</f>
        <v>КОРНИЛИН ИЛЬЯ</v>
      </c>
      <c r="H334" s="27" t="s">
        <v>606</v>
      </c>
    </row>
    <row r="335" spans="1:8" x14ac:dyDescent="0.25">
      <c r="A335" s="32" t="s">
        <v>1077</v>
      </c>
      <c r="B335" s="27" t="s">
        <v>606</v>
      </c>
      <c r="C335" s="54" t="s">
        <v>638</v>
      </c>
      <c r="D335" s="27" t="s">
        <v>261</v>
      </c>
      <c r="E335" s="27" t="s">
        <v>262</v>
      </c>
      <c r="F335" s="55" t="str">
        <f>VLOOKUP(Клиенты[[#This Row],[GardenaChannel]],GardenChannel[[GardenChannel]:[Sales manager]],2,0)</f>
        <v>КОРНИЛИН ИЛЬЯ</v>
      </c>
      <c r="H335" s="27" t="s">
        <v>606</v>
      </c>
    </row>
    <row r="336" spans="1:8" x14ac:dyDescent="0.25">
      <c r="A336" s="32" t="s">
        <v>1078</v>
      </c>
      <c r="B336" s="27" t="s">
        <v>606</v>
      </c>
      <c r="C336" s="54" t="s">
        <v>639</v>
      </c>
      <c r="D336" s="27" t="s">
        <v>261</v>
      </c>
      <c r="E336" s="27" t="s">
        <v>262</v>
      </c>
      <c r="F336" s="55" t="str">
        <f>VLOOKUP(Клиенты[[#This Row],[GardenaChannel]],GardenChannel[[GardenChannel]:[Sales manager]],2,0)</f>
        <v>КОРНИЛИН ИЛЬЯ</v>
      </c>
      <c r="H336" s="27" t="s">
        <v>606</v>
      </c>
    </row>
    <row r="337" spans="1:8" x14ac:dyDescent="0.25">
      <c r="A337" s="32" t="s">
        <v>1079</v>
      </c>
      <c r="B337" s="27" t="s">
        <v>606</v>
      </c>
      <c r="C337" s="54" t="s">
        <v>640</v>
      </c>
      <c r="D337" s="27" t="s">
        <v>261</v>
      </c>
      <c r="E337" s="27" t="s">
        <v>262</v>
      </c>
      <c r="F337" s="55" t="str">
        <f>VLOOKUP(Клиенты[[#This Row],[GardenaChannel]],GardenChannel[[GardenChannel]:[Sales manager]],2,0)</f>
        <v>КОРНИЛИН ИЛЬЯ</v>
      </c>
      <c r="H337" s="27" t="s">
        <v>606</v>
      </c>
    </row>
    <row r="338" spans="1:8" x14ac:dyDescent="0.25">
      <c r="A338" s="32" t="s">
        <v>1080</v>
      </c>
      <c r="B338" s="27" t="s">
        <v>606</v>
      </c>
      <c r="C338" s="54" t="s">
        <v>641</v>
      </c>
      <c r="D338" s="27" t="s">
        <v>261</v>
      </c>
      <c r="E338" s="27" t="s">
        <v>262</v>
      </c>
      <c r="F338" s="55" t="str">
        <f>VLOOKUP(Клиенты[[#This Row],[GardenaChannel]],GardenChannel[[GardenChannel]:[Sales manager]],2,0)</f>
        <v>КОРНИЛИН ИЛЬЯ</v>
      </c>
      <c r="H338" s="27" t="s">
        <v>606</v>
      </c>
    </row>
    <row r="339" spans="1:8" x14ac:dyDescent="0.25">
      <c r="A339" s="32" t="s">
        <v>1081</v>
      </c>
      <c r="B339" s="27" t="s">
        <v>606</v>
      </c>
      <c r="C339" s="54" t="s">
        <v>642</v>
      </c>
      <c r="D339" s="27" t="s">
        <v>261</v>
      </c>
      <c r="E339" s="27" t="s">
        <v>275</v>
      </c>
      <c r="F339" s="55" t="str">
        <f>VLOOKUP(Клиенты[[#This Row],[GardenaChannel]],GardenChannel[[GardenChannel]:[Sales manager]],2,0)</f>
        <v>КОРНИЛИН ИЛЬЯ</v>
      </c>
      <c r="H339" s="27" t="s">
        <v>606</v>
      </c>
    </row>
    <row r="340" spans="1:8" x14ac:dyDescent="0.25">
      <c r="A340" s="32" t="s">
        <v>1082</v>
      </c>
      <c r="B340" s="27" t="s">
        <v>606</v>
      </c>
      <c r="C340" s="54" t="s">
        <v>643</v>
      </c>
      <c r="D340" s="27" t="s">
        <v>261</v>
      </c>
      <c r="E340" s="27" t="s">
        <v>262</v>
      </c>
      <c r="F340" s="55" t="str">
        <f>VLOOKUP(Клиенты[[#This Row],[GardenaChannel]],GardenChannel[[GardenChannel]:[Sales manager]],2,0)</f>
        <v>КОРНИЛИН ИЛЬЯ</v>
      </c>
      <c r="H340" s="27" t="s">
        <v>606</v>
      </c>
    </row>
    <row r="341" spans="1:8" x14ac:dyDescent="0.25">
      <c r="A341" s="32" t="s">
        <v>1083</v>
      </c>
      <c r="B341" s="27" t="s">
        <v>606</v>
      </c>
      <c r="C341" s="54" t="s">
        <v>644</v>
      </c>
      <c r="D341" s="27" t="s">
        <v>261</v>
      </c>
      <c r="E341" s="27" t="s">
        <v>262</v>
      </c>
      <c r="F341" s="55" t="str">
        <f>VLOOKUP(Клиенты[[#This Row],[GardenaChannel]],GardenChannel[[GardenChannel]:[Sales manager]],2,0)</f>
        <v>КОРНИЛИН ИЛЬЯ</v>
      </c>
      <c r="H341" s="27" t="s">
        <v>606</v>
      </c>
    </row>
    <row r="342" spans="1:8" x14ac:dyDescent="0.25">
      <c r="A342" s="32" t="s">
        <v>1084</v>
      </c>
      <c r="B342" s="27" t="s">
        <v>606</v>
      </c>
      <c r="C342" s="54" t="s">
        <v>645</v>
      </c>
      <c r="D342" s="27" t="s">
        <v>261</v>
      </c>
      <c r="E342" s="27" t="s">
        <v>275</v>
      </c>
      <c r="F342" s="55" t="str">
        <f>VLOOKUP(Клиенты[[#This Row],[GardenaChannel]],GardenChannel[[GardenChannel]:[Sales manager]],2,0)</f>
        <v>КОРНИЛИН ИЛЬЯ</v>
      </c>
      <c r="H342" s="27" t="s">
        <v>606</v>
      </c>
    </row>
    <row r="343" spans="1:8" x14ac:dyDescent="0.25">
      <c r="A343" s="32" t="s">
        <v>1085</v>
      </c>
      <c r="B343" s="27" t="s">
        <v>606</v>
      </c>
      <c r="C343" s="54" t="s">
        <v>646</v>
      </c>
      <c r="D343" s="27" t="s">
        <v>261</v>
      </c>
      <c r="E343" s="27" t="s">
        <v>262</v>
      </c>
      <c r="F343" s="55" t="str">
        <f>VLOOKUP(Клиенты[[#This Row],[GardenaChannel]],GardenChannel[[GardenChannel]:[Sales manager]],2,0)</f>
        <v>КОРНИЛИН ИЛЬЯ</v>
      </c>
      <c r="H343" s="27" t="s">
        <v>606</v>
      </c>
    </row>
    <row r="344" spans="1:8" x14ac:dyDescent="0.25">
      <c r="A344" s="32" t="s">
        <v>1086</v>
      </c>
      <c r="B344" s="27" t="s">
        <v>606</v>
      </c>
      <c r="C344" s="54" t="s">
        <v>647</v>
      </c>
      <c r="D344" s="27" t="s">
        <v>261</v>
      </c>
      <c r="E344" s="27" t="s">
        <v>262</v>
      </c>
      <c r="F344" s="55" t="str">
        <f>VLOOKUP(Клиенты[[#This Row],[GardenaChannel]],GardenChannel[[GardenChannel]:[Sales manager]],2,0)</f>
        <v>КОРНИЛИН ИЛЬЯ</v>
      </c>
      <c r="H344" s="27" t="s">
        <v>606</v>
      </c>
    </row>
    <row r="345" spans="1:8" x14ac:dyDescent="0.25">
      <c r="A345" s="32" t="s">
        <v>1087</v>
      </c>
      <c r="B345" s="27" t="s">
        <v>606</v>
      </c>
      <c r="C345" s="54" t="s">
        <v>648</v>
      </c>
      <c r="D345" s="27" t="s">
        <v>261</v>
      </c>
      <c r="E345" s="27" t="s">
        <v>262</v>
      </c>
      <c r="F345" s="55" t="str">
        <f>VLOOKUP(Клиенты[[#This Row],[GardenaChannel]],GardenChannel[[GardenChannel]:[Sales manager]],2,0)</f>
        <v>КОРНИЛИН ИЛЬЯ</v>
      </c>
      <c r="H345" s="27" t="s">
        <v>606</v>
      </c>
    </row>
    <row r="346" spans="1:8" x14ac:dyDescent="0.25">
      <c r="A346" s="32" t="s">
        <v>1088</v>
      </c>
      <c r="B346" s="27" t="s">
        <v>606</v>
      </c>
      <c r="C346" s="54" t="s">
        <v>649</v>
      </c>
      <c r="D346" s="27" t="s">
        <v>261</v>
      </c>
      <c r="E346" s="27" t="s">
        <v>262</v>
      </c>
      <c r="F346" s="55" t="str">
        <f>VLOOKUP(Клиенты[[#This Row],[GardenaChannel]],GardenChannel[[GardenChannel]:[Sales manager]],2,0)</f>
        <v>КОРНИЛИН ИЛЬЯ</v>
      </c>
      <c r="H346" s="27" t="s">
        <v>606</v>
      </c>
    </row>
    <row r="347" spans="1:8" x14ac:dyDescent="0.25">
      <c r="A347" s="32" t="s">
        <v>1089</v>
      </c>
      <c r="B347" s="27" t="s">
        <v>606</v>
      </c>
      <c r="C347" s="54" t="s">
        <v>650</v>
      </c>
      <c r="D347" s="27" t="s">
        <v>261</v>
      </c>
      <c r="E347" s="27" t="s">
        <v>262</v>
      </c>
      <c r="F347" s="55" t="str">
        <f>VLOOKUP(Клиенты[[#This Row],[GardenaChannel]],GardenChannel[[GardenChannel]:[Sales manager]],2,0)</f>
        <v>КОРНИЛИН ИЛЬЯ</v>
      </c>
      <c r="H347" s="27" t="s">
        <v>606</v>
      </c>
    </row>
    <row r="348" spans="1:8" x14ac:dyDescent="0.25">
      <c r="A348" s="32" t="s">
        <v>1090</v>
      </c>
      <c r="B348" s="27" t="s">
        <v>606</v>
      </c>
      <c r="C348" s="54" t="s">
        <v>651</v>
      </c>
      <c r="D348" s="27" t="s">
        <v>261</v>
      </c>
      <c r="E348" s="27" t="s">
        <v>262</v>
      </c>
      <c r="F348" s="55" t="str">
        <f>VLOOKUP(Клиенты[[#This Row],[GardenaChannel]],GardenChannel[[GardenChannel]:[Sales manager]],2,0)</f>
        <v>КОРНИЛИН ИЛЬЯ</v>
      </c>
      <c r="H348" s="27" t="s">
        <v>606</v>
      </c>
    </row>
    <row r="349" spans="1:8" x14ac:dyDescent="0.25">
      <c r="A349" s="32" t="s">
        <v>1091</v>
      </c>
      <c r="B349" s="27" t="s">
        <v>606</v>
      </c>
      <c r="C349" s="54" t="s">
        <v>652</v>
      </c>
      <c r="D349" s="27" t="s">
        <v>261</v>
      </c>
      <c r="E349" s="27" t="s">
        <v>262</v>
      </c>
      <c r="F349" s="55" t="str">
        <f>VLOOKUP(Клиенты[[#This Row],[GardenaChannel]],GardenChannel[[GardenChannel]:[Sales manager]],2,0)</f>
        <v>КОРНИЛИН ИЛЬЯ</v>
      </c>
      <c r="H349" s="27" t="s">
        <v>606</v>
      </c>
    </row>
    <row r="350" spans="1:8" x14ac:dyDescent="0.25">
      <c r="A350" s="32" t="s">
        <v>1092</v>
      </c>
      <c r="B350" s="27" t="s">
        <v>606</v>
      </c>
      <c r="C350" s="54" t="s">
        <v>653</v>
      </c>
      <c r="D350" s="27" t="s">
        <v>261</v>
      </c>
      <c r="E350" s="27" t="s">
        <v>275</v>
      </c>
      <c r="F350" s="55" t="str">
        <f>VLOOKUP(Клиенты[[#This Row],[GardenaChannel]],GardenChannel[[GardenChannel]:[Sales manager]],2,0)</f>
        <v>КОРНИЛИН ИЛЬЯ</v>
      </c>
      <c r="H350" s="27" t="s">
        <v>606</v>
      </c>
    </row>
    <row r="351" spans="1:8" x14ac:dyDescent="0.25">
      <c r="A351" s="32" t="s">
        <v>1093</v>
      </c>
      <c r="B351" s="27" t="s">
        <v>606</v>
      </c>
      <c r="C351" s="54" t="s">
        <v>654</v>
      </c>
      <c r="D351" s="27" t="s">
        <v>261</v>
      </c>
      <c r="E351" s="27" t="s">
        <v>262</v>
      </c>
      <c r="F351" s="55" t="str">
        <f>VLOOKUP(Клиенты[[#This Row],[GardenaChannel]],GardenChannel[[GardenChannel]:[Sales manager]],2,0)</f>
        <v>КОРНИЛИН ИЛЬЯ</v>
      </c>
      <c r="H351" s="27" t="s">
        <v>606</v>
      </c>
    </row>
    <row r="352" spans="1:8" x14ac:dyDescent="0.25">
      <c r="A352" s="32" t="s">
        <v>1094</v>
      </c>
      <c r="B352" s="27" t="s">
        <v>606</v>
      </c>
      <c r="C352" s="54" t="s">
        <v>655</v>
      </c>
      <c r="D352" s="27" t="s">
        <v>261</v>
      </c>
      <c r="E352" s="27" t="s">
        <v>275</v>
      </c>
      <c r="F352" s="55" t="str">
        <f>VLOOKUP(Клиенты[[#This Row],[GardenaChannel]],GardenChannel[[GardenChannel]:[Sales manager]],2,0)</f>
        <v>КОРНИЛИН ИЛЬЯ</v>
      </c>
      <c r="H352" s="27" t="s">
        <v>606</v>
      </c>
    </row>
    <row r="353" spans="1:8" x14ac:dyDescent="0.25">
      <c r="A353" s="32" t="s">
        <v>1095</v>
      </c>
      <c r="B353" s="27" t="s">
        <v>606</v>
      </c>
      <c r="C353" s="54" t="s">
        <v>656</v>
      </c>
      <c r="D353" s="27" t="s">
        <v>261</v>
      </c>
      <c r="E353" s="27" t="s">
        <v>262</v>
      </c>
      <c r="F353" s="55" t="str">
        <f>VLOOKUP(Клиенты[[#This Row],[GardenaChannel]],GardenChannel[[GardenChannel]:[Sales manager]],2,0)</f>
        <v>КОРНИЛИН ИЛЬЯ</v>
      </c>
      <c r="H353" s="27" t="s">
        <v>606</v>
      </c>
    </row>
    <row r="354" spans="1:8" x14ac:dyDescent="0.25">
      <c r="A354" s="32" t="s">
        <v>1096</v>
      </c>
      <c r="B354" s="27" t="s">
        <v>606</v>
      </c>
      <c r="C354" s="54" t="s">
        <v>657</v>
      </c>
      <c r="D354" s="27" t="s">
        <v>261</v>
      </c>
      <c r="E354" s="27" t="s">
        <v>262</v>
      </c>
      <c r="F354" s="55" t="str">
        <f>VLOOKUP(Клиенты[[#This Row],[GardenaChannel]],GardenChannel[[GardenChannel]:[Sales manager]],2,0)</f>
        <v>КОРНИЛИН ИЛЬЯ</v>
      </c>
      <c r="H354" s="27" t="s">
        <v>606</v>
      </c>
    </row>
    <row r="355" spans="1:8" x14ac:dyDescent="0.25">
      <c r="A355" s="32" t="s">
        <v>1097</v>
      </c>
      <c r="B355" s="27" t="s">
        <v>606</v>
      </c>
      <c r="C355" s="54" t="s">
        <v>658</v>
      </c>
      <c r="D355" s="27" t="s">
        <v>261</v>
      </c>
      <c r="E355" s="27" t="s">
        <v>275</v>
      </c>
      <c r="F355" s="55" t="str">
        <f>VLOOKUP(Клиенты[[#This Row],[GardenaChannel]],GardenChannel[[GardenChannel]:[Sales manager]],2,0)</f>
        <v>КОРНИЛИН ИЛЬЯ</v>
      </c>
      <c r="H355" s="27" t="s">
        <v>606</v>
      </c>
    </row>
    <row r="356" spans="1:8" x14ac:dyDescent="0.25">
      <c r="A356" s="32" t="s">
        <v>1098</v>
      </c>
      <c r="B356" s="27" t="s">
        <v>606</v>
      </c>
      <c r="C356" s="54" t="s">
        <v>659</v>
      </c>
      <c r="D356" s="27" t="s">
        <v>261</v>
      </c>
      <c r="E356" s="27" t="s">
        <v>262</v>
      </c>
      <c r="F356" s="55" t="str">
        <f>VLOOKUP(Клиенты[[#This Row],[GardenaChannel]],GardenChannel[[GardenChannel]:[Sales manager]],2,0)</f>
        <v>КОРНИЛИН ИЛЬЯ</v>
      </c>
      <c r="H356" s="27" t="s">
        <v>606</v>
      </c>
    </row>
    <row r="357" spans="1:8" x14ac:dyDescent="0.25">
      <c r="A357" s="32" t="s">
        <v>1099</v>
      </c>
      <c r="B357" s="27" t="s">
        <v>606</v>
      </c>
      <c r="C357" s="54" t="s">
        <v>660</v>
      </c>
      <c r="D357" s="27" t="s">
        <v>261</v>
      </c>
      <c r="E357" s="27" t="s">
        <v>299</v>
      </c>
      <c r="F357" s="55" t="str">
        <f>VLOOKUP(Клиенты[[#This Row],[GardenaChannel]],GardenChannel[[GardenChannel]:[Sales manager]],2,0)</f>
        <v>КОРНИЛИН ИЛЬЯ</v>
      </c>
      <c r="H357" s="27" t="s">
        <v>606</v>
      </c>
    </row>
    <row r="358" spans="1:8" x14ac:dyDescent="0.25">
      <c r="A358" s="32" t="s">
        <v>1100</v>
      </c>
      <c r="B358" s="27" t="s">
        <v>606</v>
      </c>
      <c r="C358" s="54" t="s">
        <v>661</v>
      </c>
      <c r="D358" s="27" t="s">
        <v>261</v>
      </c>
      <c r="E358" s="27" t="s">
        <v>262</v>
      </c>
      <c r="F358" s="55" t="str">
        <f>VLOOKUP(Клиенты[[#This Row],[GardenaChannel]],GardenChannel[[GardenChannel]:[Sales manager]],2,0)</f>
        <v>КОРНИЛИН ИЛЬЯ</v>
      </c>
      <c r="H358" s="27" t="s">
        <v>606</v>
      </c>
    </row>
    <row r="359" spans="1:8" x14ac:dyDescent="0.25">
      <c r="A359" s="32" t="s">
        <v>1101</v>
      </c>
      <c r="B359" s="27" t="s">
        <v>606</v>
      </c>
      <c r="C359" s="54" t="s">
        <v>662</v>
      </c>
      <c r="D359" s="27" t="s">
        <v>261</v>
      </c>
      <c r="E359" s="27" t="s">
        <v>262</v>
      </c>
      <c r="F359" s="55" t="str">
        <f>VLOOKUP(Клиенты[[#This Row],[GardenaChannel]],GardenChannel[[GardenChannel]:[Sales manager]],2,0)</f>
        <v>КОРНИЛИН ИЛЬЯ</v>
      </c>
      <c r="H359" s="27" t="s">
        <v>606</v>
      </c>
    </row>
    <row r="360" spans="1:8" x14ac:dyDescent="0.25">
      <c r="A360" s="32" t="s">
        <v>1102</v>
      </c>
      <c r="B360" s="27" t="s">
        <v>606</v>
      </c>
      <c r="C360" s="54" t="s">
        <v>663</v>
      </c>
      <c r="D360" s="27" t="s">
        <v>261</v>
      </c>
      <c r="E360" s="27" t="s">
        <v>262</v>
      </c>
      <c r="F360" s="55" t="str">
        <f>VLOOKUP(Клиенты[[#This Row],[GardenaChannel]],GardenChannel[[GardenChannel]:[Sales manager]],2,0)</f>
        <v>КОРНИЛИН ИЛЬЯ</v>
      </c>
      <c r="H360" s="27" t="s">
        <v>606</v>
      </c>
    </row>
    <row r="361" spans="1:8" x14ac:dyDescent="0.25">
      <c r="A361" s="32" t="s">
        <v>1103</v>
      </c>
      <c r="B361" s="27" t="s">
        <v>606</v>
      </c>
      <c r="C361" s="54" t="s">
        <v>664</v>
      </c>
      <c r="D361" s="27" t="s">
        <v>261</v>
      </c>
      <c r="E361" s="27" t="s">
        <v>262</v>
      </c>
      <c r="F361" s="55" t="str">
        <f>VLOOKUP(Клиенты[[#This Row],[GardenaChannel]],GardenChannel[[GardenChannel]:[Sales manager]],2,0)</f>
        <v>КОРНИЛИН ИЛЬЯ</v>
      </c>
      <c r="H361" s="27" t="s">
        <v>606</v>
      </c>
    </row>
    <row r="362" spans="1:8" x14ac:dyDescent="0.25">
      <c r="A362" s="32" t="s">
        <v>1104</v>
      </c>
      <c r="B362" s="27" t="s">
        <v>606</v>
      </c>
      <c r="C362" s="54" t="s">
        <v>665</v>
      </c>
      <c r="D362" s="27" t="s">
        <v>261</v>
      </c>
      <c r="E362" s="27" t="s">
        <v>262</v>
      </c>
      <c r="F362" s="55" t="str">
        <f>VLOOKUP(Клиенты[[#This Row],[GardenaChannel]],GardenChannel[[GardenChannel]:[Sales manager]],2,0)</f>
        <v>КОРНИЛИН ИЛЬЯ</v>
      </c>
      <c r="H362" s="27" t="s">
        <v>606</v>
      </c>
    </row>
    <row r="363" spans="1:8" x14ac:dyDescent="0.25">
      <c r="A363" s="32" t="s">
        <v>1105</v>
      </c>
      <c r="B363" s="27" t="s">
        <v>606</v>
      </c>
      <c r="C363" s="54" t="s">
        <v>666</v>
      </c>
      <c r="D363" s="27" t="s">
        <v>261</v>
      </c>
      <c r="E363" s="27" t="s">
        <v>262</v>
      </c>
      <c r="F363" s="55" t="str">
        <f>VLOOKUP(Клиенты[[#This Row],[GardenaChannel]],GardenChannel[[GardenChannel]:[Sales manager]],2,0)</f>
        <v>КОРНИЛИН ИЛЬЯ</v>
      </c>
      <c r="H363" s="27" t="s">
        <v>606</v>
      </c>
    </row>
    <row r="364" spans="1:8" x14ac:dyDescent="0.25">
      <c r="A364" s="32" t="s">
        <v>1106</v>
      </c>
      <c r="B364" s="27" t="s">
        <v>606</v>
      </c>
      <c r="C364" s="54" t="s">
        <v>667</v>
      </c>
      <c r="D364" s="27" t="s">
        <v>261</v>
      </c>
      <c r="E364" s="27" t="s">
        <v>262</v>
      </c>
      <c r="F364" s="55" t="str">
        <f>VLOOKUP(Клиенты[[#This Row],[GardenaChannel]],GardenChannel[[GardenChannel]:[Sales manager]],2,0)</f>
        <v>КОРНИЛИН ИЛЬЯ</v>
      </c>
      <c r="H364" s="27" t="s">
        <v>606</v>
      </c>
    </row>
    <row r="365" spans="1:8" x14ac:dyDescent="0.25">
      <c r="A365" s="32" t="s">
        <v>1107</v>
      </c>
      <c r="B365" s="27" t="s">
        <v>606</v>
      </c>
      <c r="C365" s="54" t="s">
        <v>668</v>
      </c>
      <c r="D365" s="27" t="s">
        <v>261</v>
      </c>
      <c r="E365" s="27" t="s">
        <v>262</v>
      </c>
      <c r="F365" s="55" t="str">
        <f>VLOOKUP(Клиенты[[#This Row],[GardenaChannel]],GardenChannel[[GardenChannel]:[Sales manager]],2,0)</f>
        <v>КОРНИЛИН ИЛЬЯ</v>
      </c>
      <c r="H365" s="27" t="s">
        <v>606</v>
      </c>
    </row>
    <row r="366" spans="1:8" x14ac:dyDescent="0.25">
      <c r="A366" s="32" t="s">
        <v>1108</v>
      </c>
      <c r="B366" s="27" t="s">
        <v>606</v>
      </c>
      <c r="C366" s="54" t="s">
        <v>669</v>
      </c>
      <c r="D366" s="27" t="s">
        <v>261</v>
      </c>
      <c r="E366" s="27" t="s">
        <v>262</v>
      </c>
      <c r="F366" s="55" t="str">
        <f>VLOOKUP(Клиенты[[#This Row],[GardenaChannel]],GardenChannel[[GardenChannel]:[Sales manager]],2,0)</f>
        <v>КОРНИЛИН ИЛЬЯ</v>
      </c>
      <c r="H366" s="27" t="s">
        <v>606</v>
      </c>
    </row>
    <row r="367" spans="1:8" x14ac:dyDescent="0.25">
      <c r="A367" s="32" t="s">
        <v>1109</v>
      </c>
      <c r="B367" s="27" t="s">
        <v>606</v>
      </c>
      <c r="C367" s="54" t="s">
        <v>670</v>
      </c>
      <c r="D367" s="27" t="s">
        <v>261</v>
      </c>
      <c r="E367" s="27" t="s">
        <v>262</v>
      </c>
      <c r="F367" s="55" t="str">
        <f>VLOOKUP(Клиенты[[#This Row],[GardenaChannel]],GardenChannel[[GardenChannel]:[Sales manager]],2,0)</f>
        <v>КОРНИЛИН ИЛЬЯ</v>
      </c>
      <c r="H367" s="27" t="s">
        <v>606</v>
      </c>
    </row>
    <row r="368" spans="1:8" x14ac:dyDescent="0.25">
      <c r="A368" s="32" t="s">
        <v>1110</v>
      </c>
      <c r="B368" s="27" t="s">
        <v>606</v>
      </c>
      <c r="C368" s="54" t="s">
        <v>671</v>
      </c>
      <c r="D368" s="27" t="s">
        <v>261</v>
      </c>
      <c r="E368" s="27" t="s">
        <v>262</v>
      </c>
      <c r="F368" s="55" t="str">
        <f>VLOOKUP(Клиенты[[#This Row],[GardenaChannel]],GardenChannel[[GardenChannel]:[Sales manager]],2,0)</f>
        <v>КОРНИЛИН ИЛЬЯ</v>
      </c>
      <c r="H368" s="27" t="s">
        <v>606</v>
      </c>
    </row>
    <row r="369" spans="1:8" x14ac:dyDescent="0.25">
      <c r="A369" s="32" t="s">
        <v>1111</v>
      </c>
      <c r="B369" s="27" t="s">
        <v>606</v>
      </c>
      <c r="C369" s="54" t="s">
        <v>672</v>
      </c>
      <c r="D369" s="27" t="s">
        <v>261</v>
      </c>
      <c r="E369" s="27" t="s">
        <v>262</v>
      </c>
      <c r="F369" s="55" t="str">
        <f>VLOOKUP(Клиенты[[#This Row],[GardenaChannel]],GardenChannel[[GardenChannel]:[Sales manager]],2,0)</f>
        <v>КОРНИЛИН ИЛЬЯ</v>
      </c>
      <c r="H369" s="27" t="s">
        <v>606</v>
      </c>
    </row>
    <row r="370" spans="1:8" x14ac:dyDescent="0.25">
      <c r="A370" s="32" t="s">
        <v>1112</v>
      </c>
      <c r="B370" s="27" t="s">
        <v>606</v>
      </c>
      <c r="C370" s="54" t="s">
        <v>673</v>
      </c>
      <c r="D370" s="27" t="s">
        <v>261</v>
      </c>
      <c r="E370" s="27" t="s">
        <v>262</v>
      </c>
      <c r="F370" s="55" t="str">
        <f>VLOOKUP(Клиенты[[#This Row],[GardenaChannel]],GardenChannel[[GardenChannel]:[Sales manager]],2,0)</f>
        <v>КОРНИЛИН ИЛЬЯ</v>
      </c>
      <c r="H370" s="27" t="s">
        <v>606</v>
      </c>
    </row>
    <row r="371" spans="1:8" x14ac:dyDescent="0.25">
      <c r="A371" s="32" t="s">
        <v>1113</v>
      </c>
      <c r="B371" s="27" t="s">
        <v>606</v>
      </c>
      <c r="C371" s="54" t="s">
        <v>674</v>
      </c>
      <c r="D371" s="27" t="s">
        <v>261</v>
      </c>
      <c r="E371" s="27" t="s">
        <v>262</v>
      </c>
      <c r="F371" s="55" t="str">
        <f>VLOOKUP(Клиенты[[#This Row],[GardenaChannel]],GardenChannel[[GardenChannel]:[Sales manager]],2,0)</f>
        <v>КОРНИЛИН ИЛЬЯ</v>
      </c>
      <c r="H371" s="27" t="s">
        <v>606</v>
      </c>
    </row>
    <row r="372" spans="1:8" x14ac:dyDescent="0.25">
      <c r="A372" s="32" t="s">
        <v>1114</v>
      </c>
      <c r="B372" s="27" t="s">
        <v>606</v>
      </c>
      <c r="C372" s="54" t="s">
        <v>675</v>
      </c>
      <c r="D372" s="27" t="s">
        <v>261</v>
      </c>
      <c r="E372" s="27" t="s">
        <v>262</v>
      </c>
      <c r="F372" s="55" t="str">
        <f>VLOOKUP(Клиенты[[#This Row],[GardenaChannel]],GardenChannel[[GardenChannel]:[Sales manager]],2,0)</f>
        <v>КОРНИЛИН ИЛЬЯ</v>
      </c>
      <c r="H372" s="27" t="s">
        <v>606</v>
      </c>
    </row>
    <row r="373" spans="1:8" x14ac:dyDescent="0.25">
      <c r="A373" s="32" t="s">
        <v>1115</v>
      </c>
      <c r="B373" s="27" t="s">
        <v>50</v>
      </c>
      <c r="C373" s="54" t="s">
        <v>676</v>
      </c>
      <c r="D373" s="27" t="s">
        <v>261</v>
      </c>
      <c r="E373" s="27" t="s">
        <v>262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1116</v>
      </c>
      <c r="B374" s="27" t="s">
        <v>50</v>
      </c>
      <c r="C374" s="54" t="s">
        <v>677</v>
      </c>
      <c r="D374" s="27" t="s">
        <v>261</v>
      </c>
      <c r="E374" s="27" t="s">
        <v>262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1117</v>
      </c>
      <c r="B375" s="27" t="s">
        <v>50</v>
      </c>
      <c r="C375" s="54" t="s">
        <v>678</v>
      </c>
      <c r="D375" s="27" t="s">
        <v>261</v>
      </c>
      <c r="E375" s="27" t="s">
        <v>262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1118</v>
      </c>
      <c r="B376" s="27" t="s">
        <v>50</v>
      </c>
      <c r="C376" s="54" t="s">
        <v>679</v>
      </c>
      <c r="D376" s="27" t="s">
        <v>261</v>
      </c>
      <c r="E376" s="27" t="s">
        <v>262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1119</v>
      </c>
      <c r="B377" s="27" t="s">
        <v>50</v>
      </c>
      <c r="C377" s="54" t="s">
        <v>680</v>
      </c>
      <c r="D377" s="27" t="s">
        <v>261</v>
      </c>
      <c r="E377" s="27" t="s">
        <v>262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1120</v>
      </c>
      <c r="B378" s="27" t="s">
        <v>50</v>
      </c>
      <c r="C378" s="54" t="s">
        <v>681</v>
      </c>
      <c r="D378" s="27" t="s">
        <v>261</v>
      </c>
      <c r="E378" s="27" t="s">
        <v>262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1121</v>
      </c>
      <c r="B379" s="27" t="s">
        <v>50</v>
      </c>
      <c r="C379" s="54" t="s">
        <v>682</v>
      </c>
      <c r="D379" s="27" t="s">
        <v>261</v>
      </c>
      <c r="E379" s="27" t="s">
        <v>262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1122</v>
      </c>
      <c r="B380" s="27" t="s">
        <v>50</v>
      </c>
      <c r="C380" s="54" t="s">
        <v>683</v>
      </c>
      <c r="D380" s="27" t="s">
        <v>261</v>
      </c>
      <c r="E380" s="27" t="s">
        <v>262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1123</v>
      </c>
      <c r="B381" s="27" t="s">
        <v>50</v>
      </c>
      <c r="C381" s="54" t="s">
        <v>684</v>
      </c>
      <c r="D381" s="27" t="s">
        <v>261</v>
      </c>
      <c r="E381" s="27" t="s">
        <v>262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1124</v>
      </c>
      <c r="B382" s="27" t="s">
        <v>50</v>
      </c>
      <c r="C382" s="54" t="s">
        <v>685</v>
      </c>
      <c r="D382" s="27" t="s">
        <v>261</v>
      </c>
      <c r="E382" s="27" t="s">
        <v>262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1125</v>
      </c>
      <c r="B383" s="27" t="s">
        <v>50</v>
      </c>
      <c r="C383" s="54" t="s">
        <v>686</v>
      </c>
      <c r="D383" s="27" t="s">
        <v>261</v>
      </c>
      <c r="E383" s="27" t="s">
        <v>275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1126</v>
      </c>
      <c r="B384" s="27" t="s">
        <v>50</v>
      </c>
      <c r="C384" s="54" t="s">
        <v>687</v>
      </c>
      <c r="D384" s="27" t="s">
        <v>261</v>
      </c>
      <c r="E384" s="27" t="s">
        <v>262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1127</v>
      </c>
      <c r="B385" s="27" t="s">
        <v>50</v>
      </c>
      <c r="C385" s="54" t="s">
        <v>688</v>
      </c>
      <c r="D385" s="27" t="s">
        <v>261</v>
      </c>
      <c r="E385" s="27" t="s">
        <v>262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1128</v>
      </c>
      <c r="B386" s="27" t="s">
        <v>50</v>
      </c>
      <c r="C386" s="54" t="s">
        <v>689</v>
      </c>
      <c r="D386" s="27" t="s">
        <v>261</v>
      </c>
      <c r="E386" s="27" t="s">
        <v>262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1129</v>
      </c>
      <c r="B387" s="27" t="s">
        <v>50</v>
      </c>
      <c r="C387" s="54" t="s">
        <v>690</v>
      </c>
      <c r="D387" s="27" t="s">
        <v>261</v>
      </c>
      <c r="E387" s="27" t="s">
        <v>262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1130</v>
      </c>
      <c r="B388" s="27" t="s">
        <v>50</v>
      </c>
      <c r="C388" s="54" t="s">
        <v>691</v>
      </c>
      <c r="D388" s="27" t="s">
        <v>261</v>
      </c>
      <c r="E388" s="27" t="s">
        <v>262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1131</v>
      </c>
      <c r="B389" s="27" t="s">
        <v>50</v>
      </c>
      <c r="C389" s="54" t="s">
        <v>692</v>
      </c>
      <c r="D389" s="27" t="s">
        <v>261</v>
      </c>
      <c r="E389" s="27" t="s">
        <v>299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1132</v>
      </c>
      <c r="B390" s="27" t="s">
        <v>50</v>
      </c>
      <c r="C390" s="54" t="s">
        <v>693</v>
      </c>
      <c r="D390" s="27" t="s">
        <v>261</v>
      </c>
      <c r="E390" s="27" t="s">
        <v>262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1133</v>
      </c>
      <c r="B391" s="27" t="s">
        <v>50</v>
      </c>
      <c r="C391" s="54" t="s">
        <v>694</v>
      </c>
      <c r="D391" s="27" t="s">
        <v>261</v>
      </c>
      <c r="E391" s="27" t="s">
        <v>262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1134</v>
      </c>
      <c r="B392" s="27" t="s">
        <v>50</v>
      </c>
      <c r="C392" s="54" t="s">
        <v>695</v>
      </c>
      <c r="D392" s="27" t="s">
        <v>261</v>
      </c>
      <c r="E392" s="27" t="s">
        <v>275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1135</v>
      </c>
      <c r="B393" s="27" t="s">
        <v>50</v>
      </c>
      <c r="C393" s="54" t="s">
        <v>696</v>
      </c>
      <c r="D393" s="27" t="s">
        <v>261</v>
      </c>
      <c r="E393" s="27" t="s">
        <v>262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1136</v>
      </c>
      <c r="B394" s="27" t="s">
        <v>50</v>
      </c>
      <c r="C394" s="54" t="s">
        <v>697</v>
      </c>
      <c r="D394" s="27" t="s">
        <v>261</v>
      </c>
      <c r="E394" s="27" t="s">
        <v>262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1137</v>
      </c>
      <c r="B395" s="27" t="s">
        <v>50</v>
      </c>
      <c r="C395" s="54" t="s">
        <v>698</v>
      </c>
      <c r="D395" s="27" t="s">
        <v>261</v>
      </c>
      <c r="E395" s="27" t="s">
        <v>262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1138</v>
      </c>
      <c r="B396" s="27" t="s">
        <v>50</v>
      </c>
      <c r="C396" s="54" t="s">
        <v>699</v>
      </c>
      <c r="D396" s="27" t="s">
        <v>261</v>
      </c>
      <c r="E396" s="27" t="s">
        <v>262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1139</v>
      </c>
      <c r="B397" s="27" t="s">
        <v>50</v>
      </c>
      <c r="C397" s="54" t="s">
        <v>700</v>
      </c>
      <c r="D397" s="27" t="s">
        <v>261</v>
      </c>
      <c r="E397" s="27" t="s">
        <v>262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1140</v>
      </c>
      <c r="B398" s="27" t="s">
        <v>50</v>
      </c>
      <c r="C398" s="54" t="s">
        <v>701</v>
      </c>
      <c r="D398" s="27" t="s">
        <v>261</v>
      </c>
      <c r="E398" s="27" t="s">
        <v>262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1141</v>
      </c>
      <c r="B399" s="27" t="s">
        <v>50</v>
      </c>
      <c r="C399" s="54" t="s">
        <v>702</v>
      </c>
      <c r="D399" s="27" t="s">
        <v>261</v>
      </c>
      <c r="E399" s="27" t="s">
        <v>262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1142</v>
      </c>
      <c r="B400" s="27" t="s">
        <v>50</v>
      </c>
      <c r="C400" s="54" t="s">
        <v>703</v>
      </c>
      <c r="D400" s="27" t="s">
        <v>261</v>
      </c>
      <c r="E400" s="27" t="s">
        <v>262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1143</v>
      </c>
      <c r="B401" s="27" t="s">
        <v>50</v>
      </c>
      <c r="C401" s="54" t="s">
        <v>704</v>
      </c>
      <c r="D401" s="27" t="s">
        <v>261</v>
      </c>
      <c r="E401" s="27" t="s">
        <v>262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1144</v>
      </c>
      <c r="B402" s="27" t="s">
        <v>50</v>
      </c>
      <c r="C402" s="54" t="s">
        <v>705</v>
      </c>
      <c r="D402" s="27" t="s">
        <v>261</v>
      </c>
      <c r="E402" s="27" t="s">
        <v>262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1145</v>
      </c>
      <c r="B403" s="27" t="s">
        <v>50</v>
      </c>
      <c r="C403" s="54" t="s">
        <v>706</v>
      </c>
      <c r="D403" s="27" t="s">
        <v>261</v>
      </c>
      <c r="E403" s="27" t="s">
        <v>262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1146</v>
      </c>
      <c r="B404" s="27" t="s">
        <v>50</v>
      </c>
      <c r="C404" s="54" t="s">
        <v>707</v>
      </c>
      <c r="D404" s="27" t="s">
        <v>261</v>
      </c>
      <c r="E404" s="27" t="s">
        <v>262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1147</v>
      </c>
      <c r="B405" s="27" t="s">
        <v>50</v>
      </c>
      <c r="C405" s="54" t="s">
        <v>708</v>
      </c>
      <c r="D405" s="27" t="s">
        <v>261</v>
      </c>
      <c r="E405" s="27" t="s">
        <v>262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1148</v>
      </c>
      <c r="B406" s="27" t="s">
        <v>50</v>
      </c>
      <c r="C406" s="54" t="s">
        <v>709</v>
      </c>
      <c r="D406" s="27" t="s">
        <v>261</v>
      </c>
      <c r="E406" s="27" t="s">
        <v>262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1149</v>
      </c>
      <c r="B407" s="27" t="s">
        <v>50</v>
      </c>
      <c r="C407" s="54" t="s">
        <v>710</v>
      </c>
      <c r="D407" s="27" t="s">
        <v>261</v>
      </c>
      <c r="E407" s="27" t="s">
        <v>262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1150</v>
      </c>
      <c r="B408" s="27" t="s">
        <v>50</v>
      </c>
      <c r="C408" s="54" t="s">
        <v>711</v>
      </c>
      <c r="D408" s="27" t="s">
        <v>261</v>
      </c>
      <c r="E408" s="27" t="s">
        <v>262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1151</v>
      </c>
      <c r="B409" s="27" t="s">
        <v>50</v>
      </c>
      <c r="C409" s="54" t="s">
        <v>712</v>
      </c>
      <c r="D409" s="27" t="s">
        <v>261</v>
      </c>
      <c r="E409" s="27" t="s">
        <v>262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1152</v>
      </c>
      <c r="B410" s="27" t="s">
        <v>50</v>
      </c>
      <c r="C410" s="54" t="s">
        <v>713</v>
      </c>
      <c r="D410" s="27" t="s">
        <v>261</v>
      </c>
      <c r="E410" s="27" t="s">
        <v>262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1153</v>
      </c>
      <c r="B411" s="27" t="s">
        <v>50</v>
      </c>
      <c r="C411" s="54" t="s">
        <v>714</v>
      </c>
      <c r="D411" s="27" t="s">
        <v>261</v>
      </c>
      <c r="E411" s="27" t="s">
        <v>262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1154</v>
      </c>
      <c r="B412" s="27" t="s">
        <v>50</v>
      </c>
      <c r="C412" s="54" t="s">
        <v>715</v>
      </c>
      <c r="D412" s="27" t="s">
        <v>261</v>
      </c>
      <c r="E412" s="27" t="s">
        <v>262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1155</v>
      </c>
      <c r="B413" s="27" t="s">
        <v>50</v>
      </c>
      <c r="C413" s="54" t="s">
        <v>716</v>
      </c>
      <c r="D413" s="27" t="s">
        <v>261</v>
      </c>
      <c r="E413" s="27" t="s">
        <v>262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1156</v>
      </c>
      <c r="B414" s="27" t="s">
        <v>50</v>
      </c>
      <c r="C414" s="54" t="s">
        <v>717</v>
      </c>
      <c r="D414" s="27" t="s">
        <v>261</v>
      </c>
      <c r="E414" s="27" t="s">
        <v>262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1157</v>
      </c>
      <c r="B415" s="27" t="s">
        <v>50</v>
      </c>
      <c r="C415" s="54" t="s">
        <v>718</v>
      </c>
      <c r="D415" s="27" t="s">
        <v>261</v>
      </c>
      <c r="E415" s="27" t="s">
        <v>275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1158</v>
      </c>
      <c r="B416" s="27" t="s">
        <v>50</v>
      </c>
      <c r="C416" s="54" t="s">
        <v>719</v>
      </c>
      <c r="D416" s="27" t="s">
        <v>261</v>
      </c>
      <c r="E416" s="27" t="s">
        <v>262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1159</v>
      </c>
      <c r="B417" s="27" t="s">
        <v>50</v>
      </c>
      <c r="C417" s="54" t="s">
        <v>720</v>
      </c>
      <c r="D417" s="27" t="s">
        <v>261</v>
      </c>
      <c r="E417" s="27" t="s">
        <v>262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1160</v>
      </c>
      <c r="B418" s="27" t="s">
        <v>50</v>
      </c>
      <c r="C418" s="54" t="s">
        <v>721</v>
      </c>
      <c r="D418" s="27" t="s">
        <v>261</v>
      </c>
      <c r="E418" s="27" t="s">
        <v>262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1161</v>
      </c>
      <c r="B419" s="27" t="s">
        <v>50</v>
      </c>
      <c r="C419" s="54" t="s">
        <v>722</v>
      </c>
      <c r="D419" s="27" t="s">
        <v>261</v>
      </c>
      <c r="E419" s="27" t="s">
        <v>262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1162</v>
      </c>
      <c r="B420" s="27" t="s">
        <v>50</v>
      </c>
      <c r="C420" s="54" t="s">
        <v>723</v>
      </c>
      <c r="D420" s="27" t="s">
        <v>261</v>
      </c>
      <c r="E420" s="27" t="s">
        <v>262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1163</v>
      </c>
      <c r="B421" s="27" t="s">
        <v>50</v>
      </c>
      <c r="C421" s="54" t="s">
        <v>724</v>
      </c>
      <c r="D421" s="27" t="s">
        <v>261</v>
      </c>
      <c r="E421" s="27" t="s">
        <v>262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1164</v>
      </c>
      <c r="B422" s="27" t="s">
        <v>50</v>
      </c>
      <c r="C422" s="54" t="s">
        <v>725</v>
      </c>
      <c r="D422" s="27" t="s">
        <v>261</v>
      </c>
      <c r="E422" s="27" t="s">
        <v>262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1165</v>
      </c>
      <c r="B423" s="27" t="s">
        <v>50</v>
      </c>
      <c r="C423" s="54" t="s">
        <v>726</v>
      </c>
      <c r="D423" s="27" t="s">
        <v>261</v>
      </c>
      <c r="E423" s="27" t="s">
        <v>262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1166</v>
      </c>
      <c r="B424" s="27" t="s">
        <v>50</v>
      </c>
      <c r="C424" s="54" t="s">
        <v>727</v>
      </c>
      <c r="D424" s="27" t="s">
        <v>261</v>
      </c>
      <c r="E424" s="27" t="s">
        <v>262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1167</v>
      </c>
      <c r="B425" s="27" t="s">
        <v>50</v>
      </c>
      <c r="C425" s="54" t="s">
        <v>728</v>
      </c>
      <c r="D425" s="27" t="s">
        <v>261</v>
      </c>
      <c r="E425" s="27" t="s">
        <v>275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1168</v>
      </c>
      <c r="B426" s="27" t="s">
        <v>50</v>
      </c>
      <c r="C426" s="54" t="s">
        <v>729</v>
      </c>
      <c r="D426" s="27" t="s">
        <v>261</v>
      </c>
      <c r="E426" s="27" t="s">
        <v>275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1169</v>
      </c>
      <c r="B427" s="27" t="s">
        <v>50</v>
      </c>
      <c r="C427" s="54" t="s">
        <v>730</v>
      </c>
      <c r="D427" s="27" t="s">
        <v>261</v>
      </c>
      <c r="E427" s="27" t="s">
        <v>275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1170</v>
      </c>
      <c r="B428" s="27" t="s">
        <v>50</v>
      </c>
      <c r="C428" s="54" t="s">
        <v>731</v>
      </c>
      <c r="D428" s="27" t="s">
        <v>261</v>
      </c>
      <c r="E428" s="27" t="s">
        <v>262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1171</v>
      </c>
      <c r="B429" s="27" t="s">
        <v>50</v>
      </c>
      <c r="C429" s="54" t="s">
        <v>732</v>
      </c>
      <c r="D429" s="27" t="s">
        <v>261</v>
      </c>
      <c r="E429" s="27" t="s">
        <v>262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1172</v>
      </c>
      <c r="B430" s="27" t="s">
        <v>50</v>
      </c>
      <c r="C430" s="54" t="s">
        <v>733</v>
      </c>
      <c r="D430" s="27" t="s">
        <v>261</v>
      </c>
      <c r="E430" s="27" t="s">
        <v>262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1173</v>
      </c>
      <c r="B431" s="27" t="s">
        <v>50</v>
      </c>
      <c r="C431" s="54" t="s">
        <v>734</v>
      </c>
      <c r="D431" s="27" t="s">
        <v>261</v>
      </c>
      <c r="E431" s="27" t="s">
        <v>262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1174</v>
      </c>
      <c r="B432" s="27" t="s">
        <v>50</v>
      </c>
      <c r="C432" s="54" t="s">
        <v>735</v>
      </c>
      <c r="D432" s="27" t="s">
        <v>261</v>
      </c>
      <c r="E432" s="27" t="s">
        <v>262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1175</v>
      </c>
      <c r="B433" s="27" t="s">
        <v>50</v>
      </c>
      <c r="C433" s="54" t="s">
        <v>736</v>
      </c>
      <c r="D433" s="27" t="s">
        <v>261</v>
      </c>
      <c r="E433" s="27" t="s">
        <v>275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1176</v>
      </c>
      <c r="B434" s="27" t="s">
        <v>50</v>
      </c>
      <c r="C434" s="54" t="s">
        <v>737</v>
      </c>
      <c r="D434" s="27" t="s">
        <v>261</v>
      </c>
      <c r="E434" s="27" t="s">
        <v>262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1177</v>
      </c>
      <c r="B435" s="27" t="s">
        <v>50</v>
      </c>
      <c r="C435" s="54" t="s">
        <v>738</v>
      </c>
      <c r="D435" s="27" t="s">
        <v>261</v>
      </c>
      <c r="E435" s="27" t="s">
        <v>262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1178</v>
      </c>
      <c r="B436" s="27" t="s">
        <v>50</v>
      </c>
      <c r="C436" s="54" t="s">
        <v>739</v>
      </c>
      <c r="D436" s="27" t="s">
        <v>261</v>
      </c>
      <c r="E436" s="27" t="s">
        <v>262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1179</v>
      </c>
      <c r="B437" s="27" t="s">
        <v>50</v>
      </c>
      <c r="C437" s="54" t="s">
        <v>740</v>
      </c>
      <c r="D437" s="27" t="s">
        <v>261</v>
      </c>
      <c r="E437" s="27" t="s">
        <v>262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1180</v>
      </c>
      <c r="B438" s="27" t="s">
        <v>50</v>
      </c>
      <c r="C438" s="54" t="s">
        <v>741</v>
      </c>
      <c r="D438" s="27" t="s">
        <v>261</v>
      </c>
      <c r="E438" s="27" t="s">
        <v>262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1181</v>
      </c>
      <c r="B439" s="27" t="s">
        <v>50</v>
      </c>
      <c r="C439" s="54" t="s">
        <v>742</v>
      </c>
      <c r="D439" s="27" t="s">
        <v>261</v>
      </c>
      <c r="E439" s="27" t="s">
        <v>262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1182</v>
      </c>
      <c r="B440" s="27" t="s">
        <v>50</v>
      </c>
      <c r="C440" s="54" t="s">
        <v>743</v>
      </c>
      <c r="D440" s="27" t="s">
        <v>261</v>
      </c>
      <c r="E440" s="27" t="s">
        <v>262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zoomScale="85" zoomScaleNormal="85" workbookViewId="0">
      <selection activeCell="D13" sqref="D13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744</v>
      </c>
      <c r="B2" s="6" t="s">
        <v>250</v>
      </c>
      <c r="C2" s="6" t="s">
        <v>37</v>
      </c>
      <c r="D2" s="13">
        <v>43831</v>
      </c>
      <c r="E2" s="30" t="s">
        <v>1218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  <row r="3" spans="1:11" x14ac:dyDescent="0.25">
      <c r="A3" s="10" t="s">
        <v>745</v>
      </c>
      <c r="B3" s="6" t="s">
        <v>250</v>
      </c>
      <c r="C3" s="6" t="s">
        <v>37</v>
      </c>
      <c r="D3" s="13">
        <v>44197</v>
      </c>
      <c r="E3" s="30" t="s">
        <v>1218</v>
      </c>
      <c r="F3" s="6" t="s">
        <v>55</v>
      </c>
      <c r="G3" s="6" t="s">
        <v>57</v>
      </c>
      <c r="H3" s="6" t="s">
        <v>59</v>
      </c>
      <c r="I3" s="6" t="s">
        <v>57</v>
      </c>
      <c r="J3" s="6" t="s">
        <v>57</v>
      </c>
      <c r="K3" s="29">
        <v>0.05</v>
      </c>
    </row>
    <row r="4" spans="1:11" x14ac:dyDescent="0.25">
      <c r="A4" s="10">
        <v>3</v>
      </c>
      <c r="B4" s="6" t="s">
        <v>250</v>
      </c>
      <c r="C4" s="6" t="s">
        <v>37</v>
      </c>
      <c r="D4" s="13">
        <v>43466</v>
      </c>
      <c r="E4" s="30" t="s">
        <v>1218</v>
      </c>
      <c r="F4" s="6" t="s">
        <v>55</v>
      </c>
      <c r="G4" s="6" t="s">
        <v>57</v>
      </c>
      <c r="H4" s="6" t="s">
        <v>59</v>
      </c>
      <c r="I4" s="6" t="s">
        <v>57</v>
      </c>
      <c r="J4" s="6" t="s">
        <v>57</v>
      </c>
      <c r="K4" s="29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223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224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225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226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227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228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229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230</v>
      </c>
      <c r="D9">
        <v>100</v>
      </c>
      <c r="E9">
        <v>200</v>
      </c>
      <c r="F9" s="13">
        <v>43863</v>
      </c>
    </row>
  </sheetData>
  <conditionalFormatting sqref="B2:B9">
    <cfRule type="expression" dxfId="418" priority="1">
      <formula>$AL2="Новинка следующего года"</formula>
    </cfRule>
    <cfRule type="expression" dxfId="417" priority="2">
      <formula>$AL2="Новинка текущего года"</formula>
    </cfRule>
    <cfRule type="expression" dxfId="416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zoomScale="98" zoomScaleNormal="98" workbookViewId="0">
      <selection activeCell="D9" sqref="D9"/>
    </sheetView>
  </sheetViews>
  <sheetFormatPr defaultRowHeight="15" x14ac:dyDescent="0.25"/>
  <cols>
    <col min="1" max="2" width="13.85546875" style="28" customWidth="1"/>
    <col min="3" max="4" width="24.7109375" style="6" bestFit="1" customWidth="1"/>
    <col min="5" max="5" width="15.7109375" style="13" customWidth="1"/>
    <col min="6" max="6" width="29.140625" customWidth="1"/>
    <col min="7" max="7" width="14.140625" style="7" customWidth="1"/>
    <col min="8" max="8" width="10" style="7" customWidth="1"/>
    <col min="9" max="9" width="16.28515625" style="7" customWidth="1"/>
    <col min="10" max="10" width="13" style="7" customWidth="1"/>
    <col min="11" max="11" width="25.28515625" style="7" customWidth="1"/>
    <col min="12" max="13" width="16.7109375" style="7" customWidth="1"/>
    <col min="14" max="14" width="19.85546875" style="7" customWidth="1"/>
    <col min="15" max="15" width="16.7109375" style="28" customWidth="1"/>
    <col min="16" max="16" width="18.140625" style="28" customWidth="1"/>
    <col min="17" max="17" width="14.85546875" style="28" customWidth="1"/>
    <col min="18" max="18" width="16.7109375" style="28" customWidth="1"/>
    <col min="19" max="19" width="14.28515625" style="28" customWidth="1"/>
    <col min="20" max="21" width="15.5703125" style="28" customWidth="1"/>
    <col min="22" max="22" width="16.140625" style="28" customWidth="1"/>
    <col min="23" max="23" width="18.42578125" style="28" customWidth="1"/>
    <col min="24" max="24" width="17.5703125" style="28" customWidth="1"/>
    <col min="25" max="25" width="16.7109375" style="28" customWidth="1"/>
    <col min="26" max="26" width="18" style="28" customWidth="1"/>
    <col min="27" max="27" width="23" style="28" customWidth="1"/>
    <col min="28" max="28" width="24.42578125" style="28" customWidth="1"/>
    <col min="29" max="29" width="21.28515625" style="28" customWidth="1"/>
    <col min="30" max="30" width="23" style="28" customWidth="1"/>
    <col min="31" max="31" width="20.5703125" style="28" customWidth="1"/>
    <col min="32" max="33" width="21.85546875" style="28" customWidth="1"/>
    <col min="34" max="34" width="22.42578125" style="28" customWidth="1"/>
    <col min="35" max="35" width="24.7109375" style="28" customWidth="1"/>
    <col min="36" max="36" width="23.85546875" style="28" customWidth="1"/>
    <col min="37" max="37" width="23" style="28" customWidth="1"/>
    <col min="38" max="38" width="24.28515625" style="28" customWidth="1"/>
    <col min="39" max="39" width="20" style="28" customWidth="1"/>
    <col min="40" max="40" width="13.42578125" style="28" customWidth="1"/>
    <col min="41" max="41" width="10.140625" style="28" customWidth="1"/>
    <col min="42" max="42" width="12" style="28" customWidth="1"/>
    <col min="43" max="43" width="9.5703125" style="28" customWidth="1"/>
    <col min="44" max="45" width="10.85546875" style="28" customWidth="1"/>
    <col min="46" max="46" width="11.42578125" style="28" customWidth="1"/>
    <col min="47" max="47" width="13.7109375" style="28" customWidth="1"/>
    <col min="48" max="48" width="12.85546875" style="28" customWidth="1"/>
    <col min="49" max="49" width="12" style="28" customWidth="1"/>
    <col min="50" max="50" width="13.28515625" style="28" customWidth="1"/>
    <col min="51" max="51" width="12.42578125" style="28" customWidth="1"/>
    <col min="52" max="52" width="13.7109375" style="28" customWidth="1"/>
    <col min="53" max="53" width="10.42578125" style="28" customWidth="1"/>
    <col min="54" max="54" width="12.28515625" style="28" customWidth="1"/>
    <col min="55" max="55" width="9.85546875" style="28" customWidth="1"/>
    <col min="56" max="57" width="11" style="28" customWidth="1"/>
    <col min="58" max="58" width="11.5703125" style="28" customWidth="1"/>
    <col min="59" max="59" width="13.85546875" style="28" customWidth="1"/>
    <col min="60" max="60" width="13" style="28" customWidth="1"/>
    <col min="61" max="61" width="12.28515625" style="28" customWidth="1"/>
    <col min="62" max="62" width="13.42578125" style="28" customWidth="1"/>
    <col min="63" max="63" width="30.85546875" style="28" bestFit="1" customWidth="1"/>
    <col min="64" max="64" width="24.140625" style="28" customWidth="1"/>
    <col min="65" max="65" width="20.85546875" style="28" customWidth="1"/>
    <col min="66" max="66" width="22.7109375" style="28" customWidth="1"/>
    <col min="67" max="67" width="20.140625" style="28" customWidth="1"/>
    <col min="68" max="69" width="21.42578125" style="28" customWidth="1"/>
    <col min="70" max="70" width="22" style="28" customWidth="1"/>
    <col min="71" max="71" width="24.28515625" style="28" bestFit="1" customWidth="1"/>
    <col min="72" max="72" width="23.42578125" style="28" customWidth="1"/>
    <col min="73" max="73" width="22.7109375" style="28" customWidth="1"/>
    <col min="74" max="74" width="23.85546875" style="28" customWidth="1"/>
    <col min="75" max="75" width="37" style="28" customWidth="1"/>
    <col min="76" max="76" width="23.28515625" style="28" customWidth="1"/>
    <col min="77" max="77" width="20" style="28" customWidth="1"/>
    <col min="78" max="78" width="21.85546875" style="28" customWidth="1"/>
    <col min="79" max="79" width="19.42578125" style="28" customWidth="1"/>
    <col min="80" max="81" width="20.5703125" style="28" customWidth="1"/>
    <col min="82" max="82" width="21.28515625" style="28" customWidth="1"/>
    <col min="83" max="83" width="23.42578125" style="28" customWidth="1"/>
    <col min="84" max="84" width="22.7109375" style="28" customWidth="1"/>
    <col min="85" max="85" width="21.85546875" style="28" customWidth="1"/>
    <col min="86" max="86" width="23" style="28" customWidth="1"/>
    <col min="87" max="87" width="25.85546875" style="28" customWidth="1"/>
    <col min="88" max="88" width="19.42578125" style="28" customWidth="1"/>
    <col min="89" max="89" width="16.140625" style="28" customWidth="1"/>
    <col min="90" max="90" width="18" style="28" customWidth="1"/>
    <col min="91" max="91" width="15.5703125" style="28" customWidth="1"/>
    <col min="92" max="93" width="16.7109375" style="28" customWidth="1"/>
    <col min="94" max="94" width="17.28515625" style="28" customWidth="1"/>
    <col min="95" max="95" width="19.5703125" style="28" customWidth="1"/>
    <col min="96" max="96" width="18.7109375" style="28" customWidth="1"/>
    <col min="97" max="97" width="18" style="28" customWidth="1"/>
    <col min="98" max="98" width="19.140625" style="28" customWidth="1"/>
    <col min="99" max="99" width="26.140625" style="28" customWidth="1"/>
    <col min="100" max="100" width="19.5703125" style="28" customWidth="1"/>
    <col min="101" max="101" width="16.28515625" style="28" customWidth="1"/>
    <col min="102" max="102" width="18.140625" style="28" customWidth="1"/>
    <col min="103" max="103" width="15.7109375" style="28" customWidth="1"/>
    <col min="104" max="105" width="17" style="28" customWidth="1"/>
    <col min="106" max="106" width="17.5703125" style="28" customWidth="1"/>
    <col min="107" max="107" width="19.85546875" style="28" customWidth="1"/>
    <col min="108" max="108" width="19" style="28" customWidth="1"/>
    <col min="109" max="109" width="18.140625" style="28" customWidth="1"/>
    <col min="110" max="110" width="19.42578125" style="28" customWidth="1"/>
    <col min="111" max="111" width="25.140625" style="28" customWidth="1"/>
    <col min="112" max="112" width="18.5703125" style="28" customWidth="1"/>
    <col min="113" max="113" width="15.28515625" style="28" customWidth="1"/>
    <col min="114" max="114" width="17.140625" style="28" customWidth="1"/>
    <col min="115" max="115" width="14.7109375" style="28" customWidth="1"/>
    <col min="116" max="117" width="15.85546875" style="28" customWidth="1"/>
    <col min="118" max="118" width="16.5703125" style="28" customWidth="1"/>
    <col min="119" max="119" width="18.7109375" style="28" customWidth="1"/>
    <col min="120" max="120" width="18" style="28" customWidth="1"/>
    <col min="121" max="121" width="17.140625" style="28" customWidth="1"/>
    <col min="122" max="122" width="18.42578125" style="28" customWidth="1"/>
  </cols>
  <sheetData>
    <row r="1" spans="1:122" x14ac:dyDescent="0.25">
      <c r="A1" s="28" t="s">
        <v>0</v>
      </c>
      <c r="B1" s="28" t="s">
        <v>18</v>
      </c>
      <c r="C1" s="6" t="s">
        <v>43</v>
      </c>
      <c r="D1" s="6" t="s">
        <v>44</v>
      </c>
      <c r="E1" s="13" t="s">
        <v>64</v>
      </c>
      <c r="F1" t="s">
        <v>65</v>
      </c>
      <c r="G1" s="7" t="s">
        <v>30</v>
      </c>
      <c r="H1" s="7" t="s">
        <v>32</v>
      </c>
      <c r="I1" s="7" t="s">
        <v>66</v>
      </c>
      <c r="J1" s="7" t="s">
        <v>67</v>
      </c>
      <c r="K1" s="7" t="s">
        <v>34</v>
      </c>
      <c r="L1" s="7" t="s">
        <v>68</v>
      </c>
      <c r="M1" s="7" t="s">
        <v>69</v>
      </c>
      <c r="N1" s="7" t="s">
        <v>70</v>
      </c>
      <c r="O1" s="28" t="s">
        <v>72</v>
      </c>
      <c r="P1" s="28" t="s">
        <v>73</v>
      </c>
      <c r="Q1" s="28" t="s">
        <v>74</v>
      </c>
      <c r="R1" s="28" t="s">
        <v>75</v>
      </c>
      <c r="S1" s="28" t="s">
        <v>76</v>
      </c>
      <c r="T1" s="28" t="s">
        <v>77</v>
      </c>
      <c r="U1" s="28" t="s">
        <v>78</v>
      </c>
      <c r="V1" s="28" t="s">
        <v>79</v>
      </c>
      <c r="W1" s="28" t="s">
        <v>80</v>
      </c>
      <c r="X1" s="28" t="s">
        <v>81</v>
      </c>
      <c r="Y1" s="28" t="s">
        <v>82</v>
      </c>
      <c r="Z1" s="28" t="s">
        <v>83</v>
      </c>
      <c r="AA1" s="28" t="s">
        <v>95</v>
      </c>
      <c r="AB1" s="28" t="s">
        <v>84</v>
      </c>
      <c r="AC1" s="28" t="s">
        <v>85</v>
      </c>
      <c r="AD1" s="28" t="s">
        <v>86</v>
      </c>
      <c r="AE1" s="28" t="s">
        <v>87</v>
      </c>
      <c r="AF1" s="28" t="s">
        <v>88</v>
      </c>
      <c r="AG1" s="28" t="s">
        <v>89</v>
      </c>
      <c r="AH1" s="28" t="s">
        <v>90</v>
      </c>
      <c r="AI1" s="28" t="s">
        <v>91</v>
      </c>
      <c r="AJ1" s="28" t="s">
        <v>92</v>
      </c>
      <c r="AK1" s="28" t="s">
        <v>93</v>
      </c>
      <c r="AL1" s="28" t="s">
        <v>94</v>
      </c>
      <c r="AM1" s="28" t="s">
        <v>164</v>
      </c>
      <c r="AN1" s="28" t="s">
        <v>153</v>
      </c>
      <c r="AO1" s="28" t="s">
        <v>154</v>
      </c>
      <c r="AP1" s="28" t="s">
        <v>155</v>
      </c>
      <c r="AQ1" s="28" t="s">
        <v>156</v>
      </c>
      <c r="AR1" s="28" t="s">
        <v>157</v>
      </c>
      <c r="AS1" s="28" t="s">
        <v>158</v>
      </c>
      <c r="AT1" s="28" t="s">
        <v>159</v>
      </c>
      <c r="AU1" s="28" t="s">
        <v>160</v>
      </c>
      <c r="AV1" s="28" t="s">
        <v>161</v>
      </c>
      <c r="AW1" s="28" t="s">
        <v>162</v>
      </c>
      <c r="AX1" s="28" t="s">
        <v>163</v>
      </c>
      <c r="AY1" s="28" t="s">
        <v>141</v>
      </c>
      <c r="AZ1" s="28" t="s">
        <v>142</v>
      </c>
      <c r="BA1" s="28" t="s">
        <v>143</v>
      </c>
      <c r="BB1" s="28" t="s">
        <v>144</v>
      </c>
      <c r="BC1" s="28" t="s">
        <v>145</v>
      </c>
      <c r="BD1" s="28" t="s">
        <v>146</v>
      </c>
      <c r="BE1" s="28" t="s">
        <v>147</v>
      </c>
      <c r="BF1" s="28" t="s">
        <v>148</v>
      </c>
      <c r="BG1" s="28" t="s">
        <v>149</v>
      </c>
      <c r="BH1" s="28" t="s">
        <v>150</v>
      </c>
      <c r="BI1" s="28" t="s">
        <v>151</v>
      </c>
      <c r="BJ1" s="28" t="s">
        <v>152</v>
      </c>
      <c r="BK1" s="28" t="s">
        <v>165</v>
      </c>
      <c r="BL1" s="28" t="s">
        <v>130</v>
      </c>
      <c r="BM1" s="28" t="s">
        <v>131</v>
      </c>
      <c r="BN1" s="28" t="s">
        <v>132</v>
      </c>
      <c r="BO1" s="28" t="s">
        <v>133</v>
      </c>
      <c r="BP1" s="28" t="s">
        <v>134</v>
      </c>
      <c r="BQ1" s="28" t="s">
        <v>135</v>
      </c>
      <c r="BR1" s="28" t="s">
        <v>136</v>
      </c>
      <c r="BS1" s="28" t="s">
        <v>137</v>
      </c>
      <c r="BT1" s="28" t="s">
        <v>138</v>
      </c>
      <c r="BU1" s="28" t="s">
        <v>139</v>
      </c>
      <c r="BV1" s="28" t="s">
        <v>140</v>
      </c>
      <c r="BW1" s="28" t="s">
        <v>166</v>
      </c>
      <c r="BX1" s="28" t="s">
        <v>1467</v>
      </c>
      <c r="BY1" s="28" t="s">
        <v>1468</v>
      </c>
      <c r="BZ1" s="28" t="s">
        <v>1469</v>
      </c>
      <c r="CA1" s="28" t="s">
        <v>129</v>
      </c>
      <c r="CB1" s="28" t="s">
        <v>1470</v>
      </c>
      <c r="CC1" s="28" t="s">
        <v>1471</v>
      </c>
      <c r="CD1" s="28" t="s">
        <v>1472</v>
      </c>
      <c r="CE1" s="28" t="s">
        <v>1473</v>
      </c>
      <c r="CF1" s="28" t="s">
        <v>1474</v>
      </c>
      <c r="CG1" s="28" t="s">
        <v>1475</v>
      </c>
      <c r="CH1" s="28" t="s">
        <v>1476</v>
      </c>
      <c r="CI1" s="28" t="s">
        <v>167</v>
      </c>
      <c r="CJ1" s="28" t="s">
        <v>118</v>
      </c>
      <c r="CK1" s="28" t="s">
        <v>119</v>
      </c>
      <c r="CL1" s="28" t="s">
        <v>120</v>
      </c>
      <c r="CM1" s="28" t="s">
        <v>121</v>
      </c>
      <c r="CN1" s="28" t="s">
        <v>122</v>
      </c>
      <c r="CO1" s="28" t="s">
        <v>123</v>
      </c>
      <c r="CP1" s="28" t="s">
        <v>124</v>
      </c>
      <c r="CQ1" s="28" t="s">
        <v>125</v>
      </c>
      <c r="CR1" s="28" t="s">
        <v>126</v>
      </c>
      <c r="CS1" s="28" t="s">
        <v>127</v>
      </c>
      <c r="CT1" s="28" t="s">
        <v>128</v>
      </c>
      <c r="CU1" s="28" t="s">
        <v>168</v>
      </c>
      <c r="CV1" s="28" t="s">
        <v>107</v>
      </c>
      <c r="CW1" s="28" t="s">
        <v>108</v>
      </c>
      <c r="CX1" s="28" t="s">
        <v>109</v>
      </c>
      <c r="CY1" s="28" t="s">
        <v>110</v>
      </c>
      <c r="CZ1" s="28" t="s">
        <v>111</v>
      </c>
      <c r="DA1" s="28" t="s">
        <v>112</v>
      </c>
      <c r="DB1" s="28" t="s">
        <v>113</v>
      </c>
      <c r="DC1" s="28" t="s">
        <v>114</v>
      </c>
      <c r="DD1" s="28" t="s">
        <v>115</v>
      </c>
      <c r="DE1" s="28" t="s">
        <v>116</v>
      </c>
      <c r="DF1" s="28" t="s">
        <v>117</v>
      </c>
      <c r="DG1" s="28" t="s">
        <v>169</v>
      </c>
      <c r="DH1" s="28" t="s">
        <v>96</v>
      </c>
      <c r="DI1" s="28" t="s">
        <v>97</v>
      </c>
      <c r="DJ1" s="28" t="s">
        <v>98</v>
      </c>
      <c r="DK1" s="28" t="s">
        <v>99</v>
      </c>
      <c r="DL1" s="28" t="s">
        <v>100</v>
      </c>
      <c r="DM1" s="28" t="s">
        <v>101</v>
      </c>
      <c r="DN1" s="28" t="s">
        <v>102</v>
      </c>
      <c r="DO1" s="28" t="s">
        <v>103</v>
      </c>
      <c r="DP1" s="28" t="s">
        <v>104</v>
      </c>
      <c r="DQ1" s="28" t="s">
        <v>105</v>
      </c>
      <c r="DR1" s="28" t="s">
        <v>106</v>
      </c>
    </row>
    <row r="2" spans="1:122" x14ac:dyDescent="0.25">
      <c r="A2" s="28" t="s">
        <v>63</v>
      </c>
      <c r="B2" s="28" t="s">
        <v>1477</v>
      </c>
      <c r="C2" s="6" t="s">
        <v>51</v>
      </c>
      <c r="D2" s="6" t="s">
        <v>51</v>
      </c>
      <c r="E2" s="13">
        <v>43831</v>
      </c>
      <c r="O2" s="28" t="s">
        <v>71</v>
      </c>
      <c r="AA2" s="28" t="s">
        <v>71</v>
      </c>
      <c r="AM2" s="28" t="s">
        <v>71</v>
      </c>
      <c r="AY2" s="28" t="s">
        <v>71</v>
      </c>
      <c r="BK2" s="28" t="s">
        <v>71</v>
      </c>
      <c r="BW2" s="28" t="s">
        <v>71</v>
      </c>
      <c r="CI2" s="28" t="s">
        <v>71</v>
      </c>
      <c r="CU2" s="28" t="s">
        <v>71</v>
      </c>
      <c r="DG2" s="28" t="s">
        <v>71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14"/>
      <c r="C2" s="114"/>
    </row>
    <row r="3" spans="1:22" x14ac:dyDescent="0.25">
      <c r="C3" s="63"/>
      <c r="F3" s="63"/>
    </row>
    <row r="4" spans="1:22" x14ac:dyDescent="0.25">
      <c r="B4" s="115" t="s">
        <v>1189</v>
      </c>
      <c r="C4" s="115"/>
      <c r="D4" s="64"/>
      <c r="E4" s="64"/>
      <c r="F4" s="65"/>
      <c r="G4" s="66"/>
      <c r="I4" s="64"/>
    </row>
    <row r="5" spans="1:22" x14ac:dyDescent="0.25">
      <c r="B5" s="115" t="s">
        <v>1190</v>
      </c>
      <c r="C5" s="115"/>
      <c r="D5" s="67">
        <v>43831</v>
      </c>
      <c r="F5" s="63"/>
    </row>
    <row r="6" spans="1:22" x14ac:dyDescent="0.25">
      <c r="B6" s="115" t="s">
        <v>1191</v>
      </c>
      <c r="C6" s="115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1192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1193</v>
      </c>
      <c r="C10" s="69"/>
      <c r="F10" s="59"/>
      <c r="U10" s="59"/>
    </row>
    <row r="11" spans="1:22" x14ac:dyDescent="0.25">
      <c r="B11" s="68" t="s">
        <v>1194</v>
      </c>
      <c r="C11" s="69"/>
    </row>
    <row r="12" spans="1:22" ht="62.25" customHeight="1" x14ac:dyDescent="0.25">
      <c r="B12" s="116" t="s">
        <v>1195</v>
      </c>
      <c r="C12" s="116"/>
      <c r="D12" s="116"/>
    </row>
    <row r="13" spans="1:22" ht="31.5" x14ac:dyDescent="0.25">
      <c r="A13" s="70" t="s">
        <v>1219</v>
      </c>
      <c r="B13" s="70" t="s">
        <v>1196</v>
      </c>
      <c r="C13" s="70" t="s">
        <v>1197</v>
      </c>
      <c r="D13" s="70" t="s">
        <v>1198</v>
      </c>
      <c r="E13" s="70" t="s">
        <v>1199</v>
      </c>
      <c r="F13" s="70" t="s">
        <v>1200</v>
      </c>
      <c r="G13" s="70" t="s">
        <v>25</v>
      </c>
      <c r="H13" s="70" t="s">
        <v>1201</v>
      </c>
      <c r="I13" s="70" t="s">
        <v>1202</v>
      </c>
      <c r="J13" s="70" t="s">
        <v>1203</v>
      </c>
      <c r="K13" s="70" t="s">
        <v>1204</v>
      </c>
      <c r="L13" s="70" t="s">
        <v>1205</v>
      </c>
      <c r="M13" s="71" t="s">
        <v>1206</v>
      </c>
      <c r="N13" s="70" t="s">
        <v>1207</v>
      </c>
      <c r="O13" s="70" t="s">
        <v>1208</v>
      </c>
      <c r="P13" s="70" t="s">
        <v>1209</v>
      </c>
      <c r="Q13" s="70" t="s">
        <v>1210</v>
      </c>
      <c r="R13" s="70" t="s">
        <v>1211</v>
      </c>
      <c r="S13" s="70" t="s">
        <v>1212</v>
      </c>
      <c r="T13" s="71" t="s">
        <v>1213</v>
      </c>
      <c r="U13" s="72" t="s">
        <v>1214</v>
      </c>
      <c r="V13" s="70" t="s">
        <v>1215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EY1" zoomScale="85" zoomScaleNormal="85" workbookViewId="0">
      <selection activeCell="EY5" sqref="EY5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hidden="1" customWidth="1"/>
    <col min="12" max="12" width="14.140625" style="87" hidden="1" customWidth="1"/>
    <col min="13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250</v>
      </c>
      <c r="C1" s="76" t="s">
        <v>1227</v>
      </c>
      <c r="V1" s="75" t="s">
        <v>1221</v>
      </c>
      <c r="X1" s="77" t="s">
        <v>1222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1223</v>
      </c>
      <c r="DY1" s="76" t="s">
        <v>1224</v>
      </c>
      <c r="EJ1" s="78"/>
      <c r="EK1" s="80" t="s">
        <v>1225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1224</v>
      </c>
      <c r="FN1" s="79"/>
      <c r="FO1" s="76" t="s">
        <v>1224</v>
      </c>
      <c r="GA1" s="79"/>
      <c r="GB1" s="78"/>
      <c r="GD1" s="76" t="s">
        <v>1226</v>
      </c>
      <c r="GO1" s="78"/>
      <c r="GQ1" s="76" t="s">
        <v>1226</v>
      </c>
      <c r="HC1" s="79"/>
      <c r="HD1" s="76" t="s">
        <v>1226</v>
      </c>
      <c r="HO1" s="78"/>
    </row>
    <row r="2" spans="1:223" s="76" customFormat="1" ht="75" x14ac:dyDescent="0.25">
      <c r="A2" s="102" t="s">
        <v>52</v>
      </c>
      <c r="B2" s="101">
        <v>2021</v>
      </c>
      <c r="V2" s="112"/>
      <c r="X2" s="74" t="s">
        <v>1228</v>
      </c>
      <c r="AV2" s="79"/>
      <c r="BI2" s="79"/>
      <c r="BV2" s="79"/>
      <c r="CI2" s="79"/>
      <c r="CV2" s="79"/>
      <c r="DI2" s="79"/>
      <c r="DV2" s="82">
        <v>43831</v>
      </c>
      <c r="DY2" s="76" t="s">
        <v>1229</v>
      </c>
      <c r="DZ2" s="76" t="s">
        <v>1230</v>
      </c>
      <c r="EA2" s="76" t="s">
        <v>1231</v>
      </c>
      <c r="EJ2" s="78"/>
      <c r="EK2" s="80"/>
      <c r="EL2" s="81" t="s">
        <v>1232</v>
      </c>
      <c r="EM2" s="81" t="s">
        <v>1233</v>
      </c>
      <c r="EN2" s="81" t="s">
        <v>1234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1230</v>
      </c>
      <c r="FC2" s="76" t="s">
        <v>1231</v>
      </c>
      <c r="FN2" s="79"/>
      <c r="FO2" s="76" t="s">
        <v>1230</v>
      </c>
      <c r="FP2" s="76" t="s">
        <v>1231</v>
      </c>
      <c r="GA2" s="79"/>
      <c r="GB2" s="78"/>
      <c r="GD2" s="76" t="s">
        <v>1235</v>
      </c>
      <c r="GE2" s="76" t="s">
        <v>1230</v>
      </c>
      <c r="GF2" s="76" t="s">
        <v>1231</v>
      </c>
      <c r="GO2" s="78"/>
      <c r="GQ2" s="76" t="s">
        <v>1230</v>
      </c>
      <c r="GR2" s="76" t="s">
        <v>1231</v>
      </c>
      <c r="HC2" s="79"/>
      <c r="HD2" s="76" t="s">
        <v>1230</v>
      </c>
      <c r="HE2" s="76" t="s">
        <v>1231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1236</v>
      </c>
      <c r="B4" s="76" t="s">
        <v>1236</v>
      </c>
      <c r="V4" s="79" t="s">
        <v>1237</v>
      </c>
      <c r="W4" s="79" t="s">
        <v>1237</v>
      </c>
      <c r="X4" s="79" t="s">
        <v>1237</v>
      </c>
      <c r="Y4" s="79" t="s">
        <v>1237</v>
      </c>
      <c r="Z4" s="79" t="s">
        <v>1237</v>
      </c>
      <c r="AA4" s="79" t="s">
        <v>1237</v>
      </c>
      <c r="AB4" s="79" t="s">
        <v>1237</v>
      </c>
      <c r="AC4" s="79" t="s">
        <v>1237</v>
      </c>
      <c r="AD4" s="79" t="s">
        <v>1237</v>
      </c>
      <c r="AE4" s="79" t="s">
        <v>1237</v>
      </c>
      <c r="AF4" s="79" t="s">
        <v>1237</v>
      </c>
      <c r="AG4" s="79" t="s">
        <v>1237</v>
      </c>
      <c r="AH4" s="79" t="s">
        <v>1237</v>
      </c>
      <c r="AI4" s="79" t="s">
        <v>1237</v>
      </c>
      <c r="AJ4" s="79" t="s">
        <v>1237</v>
      </c>
      <c r="AK4" s="79" t="s">
        <v>1237</v>
      </c>
      <c r="AL4" s="79" t="s">
        <v>1237</v>
      </c>
      <c r="AM4" s="79" t="s">
        <v>1237</v>
      </c>
      <c r="AN4" s="79" t="s">
        <v>1237</v>
      </c>
      <c r="AO4" s="79" t="s">
        <v>1237</v>
      </c>
      <c r="AP4" s="79" t="s">
        <v>1237</v>
      </c>
      <c r="AQ4" s="79" t="s">
        <v>1237</v>
      </c>
      <c r="AR4" s="79" t="s">
        <v>1237</v>
      </c>
      <c r="AS4" s="79" t="s">
        <v>1237</v>
      </c>
      <c r="AT4" s="79"/>
      <c r="AU4" s="79" t="s">
        <v>1237</v>
      </c>
      <c r="AV4" s="79" t="s">
        <v>1237</v>
      </c>
      <c r="AW4" s="79" t="s">
        <v>1237</v>
      </c>
      <c r="AX4" s="79" t="s">
        <v>1237</v>
      </c>
      <c r="AY4" s="79" t="s">
        <v>1237</v>
      </c>
      <c r="AZ4" s="79" t="s">
        <v>1237</v>
      </c>
      <c r="BA4" s="79" t="s">
        <v>1237</v>
      </c>
      <c r="BB4" s="79" t="s">
        <v>1237</v>
      </c>
      <c r="BC4" s="79" t="s">
        <v>1237</v>
      </c>
      <c r="BD4" s="79" t="s">
        <v>1237</v>
      </c>
      <c r="BE4" s="79" t="s">
        <v>1237</v>
      </c>
      <c r="BF4" s="79" t="s">
        <v>1237</v>
      </c>
      <c r="BG4" s="79"/>
      <c r="BH4" s="79" t="s">
        <v>1237</v>
      </c>
      <c r="BI4" s="79" t="s">
        <v>1238</v>
      </c>
      <c r="BJ4" s="79" t="s">
        <v>1237</v>
      </c>
      <c r="BK4" s="79" t="s">
        <v>1237</v>
      </c>
      <c r="BL4" s="79" t="s">
        <v>1237</v>
      </c>
      <c r="BM4" s="79" t="s">
        <v>1237</v>
      </c>
      <c r="BN4" s="79" t="s">
        <v>1237</v>
      </c>
      <c r="BO4" s="79" t="s">
        <v>1237</v>
      </c>
      <c r="BP4" s="79" t="s">
        <v>1237</v>
      </c>
      <c r="BQ4" s="79" t="s">
        <v>1237</v>
      </c>
      <c r="BR4" s="79" t="s">
        <v>1237</v>
      </c>
      <c r="BS4" s="79" t="s">
        <v>1237</v>
      </c>
      <c r="BT4" s="79" t="s">
        <v>1237</v>
      </c>
      <c r="BU4" s="79"/>
      <c r="BV4" s="79" t="s">
        <v>1239</v>
      </c>
      <c r="BW4" s="79" t="s">
        <v>1237</v>
      </c>
      <c r="BX4" s="79" t="s">
        <v>1237</v>
      </c>
      <c r="BY4" s="79" t="s">
        <v>1237</v>
      </c>
      <c r="BZ4" s="79" t="s">
        <v>1237</v>
      </c>
      <c r="CA4" s="79" t="s">
        <v>1237</v>
      </c>
      <c r="CB4" s="79" t="s">
        <v>1237</v>
      </c>
      <c r="CC4" s="79" t="s">
        <v>1237</v>
      </c>
      <c r="CD4" s="79" t="s">
        <v>1237</v>
      </c>
      <c r="CE4" s="79" t="s">
        <v>1237</v>
      </c>
      <c r="CF4" s="79" t="s">
        <v>1237</v>
      </c>
      <c r="CG4" s="79"/>
      <c r="CH4" s="79" t="s">
        <v>1237</v>
      </c>
      <c r="CI4" s="79" t="s">
        <v>1240</v>
      </c>
      <c r="CJ4" s="79" t="s">
        <v>1237</v>
      </c>
      <c r="CK4" s="79" t="s">
        <v>1237</v>
      </c>
      <c r="CL4" s="79" t="s">
        <v>1237</v>
      </c>
      <c r="CM4" s="79" t="s">
        <v>1237</v>
      </c>
      <c r="CN4" s="79" t="s">
        <v>1237</v>
      </c>
      <c r="CO4" s="79" t="s">
        <v>1237</v>
      </c>
      <c r="CP4" s="79" t="s">
        <v>1237</v>
      </c>
      <c r="CQ4" s="79" t="s">
        <v>1237</v>
      </c>
      <c r="CR4" s="79" t="s">
        <v>1237</v>
      </c>
      <c r="CS4" s="79" t="s">
        <v>1237</v>
      </c>
      <c r="CT4" s="79"/>
      <c r="CU4" s="79" t="s">
        <v>1237</v>
      </c>
      <c r="CV4" s="79" t="s">
        <v>1241</v>
      </c>
      <c r="CW4" s="79" t="s">
        <v>1237</v>
      </c>
      <c r="CX4" s="79" t="s">
        <v>1237</v>
      </c>
      <c r="CY4" s="79" t="s">
        <v>1237</v>
      </c>
      <c r="CZ4" s="79" t="s">
        <v>1237</v>
      </c>
      <c r="DA4" s="79" t="s">
        <v>1237</v>
      </c>
      <c r="DB4" s="79" t="s">
        <v>1237</v>
      </c>
      <c r="DC4" s="79" t="s">
        <v>1237</v>
      </c>
      <c r="DD4" s="79" t="s">
        <v>1237</v>
      </c>
      <c r="DE4" s="79" t="s">
        <v>1237</v>
      </c>
      <c r="DF4" s="79" t="s">
        <v>1237</v>
      </c>
      <c r="DG4" s="79"/>
      <c r="DH4" s="79" t="s">
        <v>1237</v>
      </c>
      <c r="DI4" s="79" t="s">
        <v>1242</v>
      </c>
      <c r="DJ4" s="79" t="s">
        <v>1237</v>
      </c>
      <c r="DK4" s="79" t="s">
        <v>1237</v>
      </c>
      <c r="DL4" s="79" t="s">
        <v>1237</v>
      </c>
      <c r="DM4" s="79" t="s">
        <v>1237</v>
      </c>
      <c r="DN4" s="79" t="s">
        <v>1237</v>
      </c>
      <c r="DO4" s="79" t="s">
        <v>1237</v>
      </c>
      <c r="DP4" s="79" t="s">
        <v>1237</v>
      </c>
      <c r="DQ4" s="79" t="s">
        <v>1237</v>
      </c>
      <c r="DR4" s="79" t="s">
        <v>1237</v>
      </c>
      <c r="DS4" s="79" t="s">
        <v>1237</v>
      </c>
      <c r="DT4" s="79"/>
      <c r="DU4" s="79" t="s">
        <v>1237</v>
      </c>
      <c r="DV4" s="79" t="s">
        <v>1243</v>
      </c>
      <c r="DW4" s="79" t="s">
        <v>1237</v>
      </c>
      <c r="DX4" s="76" t="s">
        <v>1244</v>
      </c>
      <c r="DY4" s="76" t="s">
        <v>1245</v>
      </c>
      <c r="DZ4" s="76" t="s">
        <v>1245</v>
      </c>
      <c r="EA4" s="76" t="s">
        <v>1246</v>
      </c>
      <c r="EB4" s="76" t="s">
        <v>1245</v>
      </c>
      <c r="EC4" s="76" t="s">
        <v>1245</v>
      </c>
      <c r="ED4" s="76" t="s">
        <v>1245</v>
      </c>
      <c r="EE4" s="76" t="s">
        <v>1245</v>
      </c>
      <c r="EF4" s="76" t="s">
        <v>1245</v>
      </c>
      <c r="EG4" s="76" t="s">
        <v>1245</v>
      </c>
      <c r="EH4" s="76" t="s">
        <v>1245</v>
      </c>
      <c r="EI4" s="76" t="s">
        <v>1245</v>
      </c>
      <c r="EJ4" s="76" t="s">
        <v>1245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1244</v>
      </c>
      <c r="FB4" s="104" t="s">
        <v>1456</v>
      </c>
      <c r="FC4" s="104" t="s">
        <v>1459</v>
      </c>
      <c r="FN4" s="76" t="s">
        <v>1244</v>
      </c>
      <c r="FO4" s="104" t="s">
        <v>1458</v>
      </c>
      <c r="FP4" s="104" t="s">
        <v>1455</v>
      </c>
      <c r="GA4" s="79" t="s">
        <v>1244</v>
      </c>
      <c r="GB4" s="78" t="s">
        <v>1247</v>
      </c>
      <c r="GC4" s="76" t="s">
        <v>1244</v>
      </c>
      <c r="GD4" s="76" t="s">
        <v>1245</v>
      </c>
      <c r="GE4" s="76" t="s">
        <v>1245</v>
      </c>
      <c r="GF4" s="76" t="s">
        <v>1246</v>
      </c>
      <c r="GO4" s="78"/>
      <c r="GQ4" s="104" t="s">
        <v>1456</v>
      </c>
      <c r="GR4" s="104" t="s">
        <v>1457</v>
      </c>
      <c r="HC4" s="79"/>
      <c r="HD4" s="104" t="s">
        <v>1454</v>
      </c>
      <c r="HE4" s="104" t="s">
        <v>1455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66</v>
      </c>
      <c r="D6" s="92" t="s">
        <v>1248</v>
      </c>
      <c r="E6" s="93" t="s">
        <v>1249</v>
      </c>
      <c r="F6" s="93" t="s">
        <v>30</v>
      </c>
      <c r="G6" s="93" t="s">
        <v>32</v>
      </c>
      <c r="H6" s="93" t="s">
        <v>1434</v>
      </c>
      <c r="I6" s="93" t="s">
        <v>67</v>
      </c>
      <c r="J6" s="93" t="s">
        <v>34</v>
      </c>
      <c r="K6" s="93" t="s">
        <v>1250</v>
      </c>
      <c r="L6" s="93" t="s">
        <v>68</v>
      </c>
      <c r="M6" s="93" t="s">
        <v>1453</v>
      </c>
      <c r="N6" s="93" t="s">
        <v>69</v>
      </c>
      <c r="O6" s="93" t="s">
        <v>1251</v>
      </c>
      <c r="P6" s="93" t="s">
        <v>1252</v>
      </c>
      <c r="Q6" s="93" t="s">
        <v>1253</v>
      </c>
      <c r="R6" s="93" t="s">
        <v>1254</v>
      </c>
      <c r="S6" s="93" t="s">
        <v>1255</v>
      </c>
      <c r="T6" s="93" t="s">
        <v>1256</v>
      </c>
      <c r="U6" s="93" t="s">
        <v>70</v>
      </c>
      <c r="V6" s="90" t="s">
        <v>1257</v>
      </c>
      <c r="W6" s="91" t="s">
        <v>1258</v>
      </c>
      <c r="X6" s="91" t="s">
        <v>1259</v>
      </c>
      <c r="Y6" s="91" t="s">
        <v>1260</v>
      </c>
      <c r="Z6" s="91" t="s">
        <v>1261</v>
      </c>
      <c r="AA6" s="91" t="s">
        <v>1262</v>
      </c>
      <c r="AB6" s="91" t="s">
        <v>1263</v>
      </c>
      <c r="AC6" s="91" t="s">
        <v>1264</v>
      </c>
      <c r="AD6" s="91" t="s">
        <v>1265</v>
      </c>
      <c r="AE6" s="91" t="s">
        <v>1266</v>
      </c>
      <c r="AF6" s="91" t="s">
        <v>1267</v>
      </c>
      <c r="AG6" s="91" t="s">
        <v>1268</v>
      </c>
      <c r="AH6" s="94" t="s">
        <v>1269</v>
      </c>
      <c r="AI6" s="91" t="s">
        <v>1270</v>
      </c>
      <c r="AJ6" s="91" t="s">
        <v>1271</v>
      </c>
      <c r="AK6" s="91" t="s">
        <v>1272</v>
      </c>
      <c r="AL6" s="91" t="s">
        <v>1273</v>
      </c>
      <c r="AM6" s="91" t="s">
        <v>1274</v>
      </c>
      <c r="AN6" s="91" t="s">
        <v>1275</v>
      </c>
      <c r="AO6" s="91" t="s">
        <v>1276</v>
      </c>
      <c r="AP6" s="91" t="s">
        <v>1277</v>
      </c>
      <c r="AQ6" s="91" t="s">
        <v>1278</v>
      </c>
      <c r="AR6" s="91" t="s">
        <v>1279</v>
      </c>
      <c r="AS6" s="91" t="s">
        <v>1280</v>
      </c>
      <c r="AT6" s="91" t="s">
        <v>1281</v>
      </c>
      <c r="AU6" s="91" t="s">
        <v>1462</v>
      </c>
      <c r="AV6" s="105" t="s">
        <v>1282</v>
      </c>
      <c r="AW6" s="106" t="s">
        <v>1283</v>
      </c>
      <c r="AX6" s="106" t="s">
        <v>1284</v>
      </c>
      <c r="AY6" s="106" t="s">
        <v>1285</v>
      </c>
      <c r="AZ6" s="106" t="s">
        <v>1286</v>
      </c>
      <c r="BA6" s="106" t="s">
        <v>1287</v>
      </c>
      <c r="BB6" s="106" t="s">
        <v>1288</v>
      </c>
      <c r="BC6" s="106" t="s">
        <v>1289</v>
      </c>
      <c r="BD6" s="106" t="s">
        <v>1290</v>
      </c>
      <c r="BE6" s="106" t="s">
        <v>1291</v>
      </c>
      <c r="BF6" s="106" t="s">
        <v>1292</v>
      </c>
      <c r="BG6" s="107" t="s">
        <v>1293</v>
      </c>
      <c r="BH6" s="107" t="s">
        <v>1463</v>
      </c>
      <c r="BI6" s="90" t="s">
        <v>1294</v>
      </c>
      <c r="BJ6" s="91" t="s">
        <v>1295</v>
      </c>
      <c r="BK6" s="91" t="s">
        <v>1296</v>
      </c>
      <c r="BL6" s="91" t="s">
        <v>1297</v>
      </c>
      <c r="BM6" s="91" t="s">
        <v>1298</v>
      </c>
      <c r="BN6" s="91" t="s">
        <v>1299</v>
      </c>
      <c r="BO6" s="91" t="s">
        <v>1300</v>
      </c>
      <c r="BP6" s="91" t="s">
        <v>1301</v>
      </c>
      <c r="BQ6" s="91" t="s">
        <v>1302</v>
      </c>
      <c r="BR6" s="91" t="s">
        <v>1303</v>
      </c>
      <c r="BS6" s="91" t="s">
        <v>1304</v>
      </c>
      <c r="BT6" s="94" t="s">
        <v>1305</v>
      </c>
      <c r="BU6" s="94" t="s">
        <v>1464</v>
      </c>
      <c r="BV6" s="105" t="s">
        <v>1306</v>
      </c>
      <c r="BW6" s="106" t="s">
        <v>1307</v>
      </c>
      <c r="BX6" s="106" t="s">
        <v>1308</v>
      </c>
      <c r="BY6" s="106" t="s">
        <v>1309</v>
      </c>
      <c r="BZ6" s="106" t="s">
        <v>1310</v>
      </c>
      <c r="CA6" s="106" t="s">
        <v>1311</v>
      </c>
      <c r="CB6" s="106" t="s">
        <v>1312</v>
      </c>
      <c r="CC6" s="106" t="s">
        <v>1313</v>
      </c>
      <c r="CD6" s="106" t="s">
        <v>1314</v>
      </c>
      <c r="CE6" s="106" t="s">
        <v>1315</v>
      </c>
      <c r="CF6" s="106" t="s">
        <v>1316</v>
      </c>
      <c r="CG6" s="107" t="s">
        <v>1317</v>
      </c>
      <c r="CH6" s="107" t="s">
        <v>1465</v>
      </c>
      <c r="CI6" s="90" t="s">
        <v>1318</v>
      </c>
      <c r="CJ6" s="91" t="s">
        <v>1319</v>
      </c>
      <c r="CK6" s="91" t="s">
        <v>1320</v>
      </c>
      <c r="CL6" s="91" t="s">
        <v>1321</v>
      </c>
      <c r="CM6" s="91" t="s">
        <v>1322</v>
      </c>
      <c r="CN6" s="91" t="s">
        <v>1323</v>
      </c>
      <c r="CO6" s="91" t="s">
        <v>1324</v>
      </c>
      <c r="CP6" s="91" t="s">
        <v>1325</v>
      </c>
      <c r="CQ6" s="91" t="s">
        <v>1326</v>
      </c>
      <c r="CR6" s="91" t="s">
        <v>1327</v>
      </c>
      <c r="CS6" s="91" t="s">
        <v>1328</v>
      </c>
      <c r="CT6" s="94" t="s">
        <v>1329</v>
      </c>
      <c r="CU6" s="94" t="s">
        <v>1466</v>
      </c>
      <c r="CV6" s="90" t="s">
        <v>1330</v>
      </c>
      <c r="CW6" s="91" t="s">
        <v>1331</v>
      </c>
      <c r="CX6" s="91" t="s">
        <v>1332</v>
      </c>
      <c r="CY6" s="91" t="s">
        <v>1333</v>
      </c>
      <c r="CZ6" s="91" t="s">
        <v>1334</v>
      </c>
      <c r="DA6" s="91" t="s">
        <v>1335</v>
      </c>
      <c r="DB6" s="91" t="s">
        <v>1336</v>
      </c>
      <c r="DC6" s="91" t="s">
        <v>1337</v>
      </c>
      <c r="DD6" s="91" t="s">
        <v>1338</v>
      </c>
      <c r="DE6" s="91" t="s">
        <v>1339</v>
      </c>
      <c r="DF6" s="91" t="s">
        <v>1340</v>
      </c>
      <c r="DG6" s="94" t="s">
        <v>1341</v>
      </c>
      <c r="DH6" s="94" t="s">
        <v>1461</v>
      </c>
      <c r="DI6" s="105" t="s">
        <v>1342</v>
      </c>
      <c r="DJ6" s="106" t="s">
        <v>1343</v>
      </c>
      <c r="DK6" s="106" t="s">
        <v>1344</v>
      </c>
      <c r="DL6" s="106" t="s">
        <v>1345</v>
      </c>
      <c r="DM6" s="106" t="s">
        <v>1346</v>
      </c>
      <c r="DN6" s="106" t="s">
        <v>1347</v>
      </c>
      <c r="DO6" s="106" t="s">
        <v>1348</v>
      </c>
      <c r="DP6" s="106" t="s">
        <v>1349</v>
      </c>
      <c r="DQ6" s="106" t="s">
        <v>1350</v>
      </c>
      <c r="DR6" s="106" t="s">
        <v>1351</v>
      </c>
      <c r="DS6" s="106" t="s">
        <v>1352</v>
      </c>
      <c r="DT6" s="107" t="s">
        <v>1353</v>
      </c>
      <c r="DU6" s="107" t="s">
        <v>1460</v>
      </c>
      <c r="DV6" s="90" t="s">
        <v>1354</v>
      </c>
      <c r="DW6" s="91" t="s">
        <v>1355</v>
      </c>
      <c r="DX6" s="95" t="s">
        <v>1356</v>
      </c>
      <c r="DY6" s="95" t="s">
        <v>1357</v>
      </c>
      <c r="DZ6" s="95" t="s">
        <v>1358</v>
      </c>
      <c r="EA6" s="95" t="s">
        <v>1359</v>
      </c>
      <c r="EB6" s="95" t="s">
        <v>1360</v>
      </c>
      <c r="EC6" s="95" t="s">
        <v>1361</v>
      </c>
      <c r="ED6" s="95" t="s">
        <v>1362</v>
      </c>
      <c r="EE6" s="95" t="s">
        <v>1363</v>
      </c>
      <c r="EF6" s="95" t="s">
        <v>1364</v>
      </c>
      <c r="EG6" s="95" t="s">
        <v>1365</v>
      </c>
      <c r="EH6" s="95" t="s">
        <v>1366</v>
      </c>
      <c r="EI6" s="95" t="s">
        <v>1367</v>
      </c>
      <c r="EJ6" s="108" t="s">
        <v>1368</v>
      </c>
      <c r="EK6" s="90" t="s">
        <v>1452</v>
      </c>
      <c r="EL6" s="91" t="s">
        <v>1369</v>
      </c>
      <c r="EM6" s="91" t="s">
        <v>1435</v>
      </c>
      <c r="EN6" s="91" t="s">
        <v>1451</v>
      </c>
      <c r="EO6" s="91" t="s">
        <v>1450</v>
      </c>
      <c r="EP6" s="91" t="s">
        <v>1449</v>
      </c>
      <c r="EQ6" s="91" t="s">
        <v>1448</v>
      </c>
      <c r="ER6" s="91" t="s">
        <v>1447</v>
      </c>
      <c r="ES6" s="91" t="s">
        <v>1446</v>
      </c>
      <c r="ET6" s="91" t="s">
        <v>1445</v>
      </c>
      <c r="EU6" s="91" t="s">
        <v>1444</v>
      </c>
      <c r="EV6" s="91" t="s">
        <v>1443</v>
      </c>
      <c r="EW6" s="91" t="s">
        <v>1442</v>
      </c>
      <c r="EX6" s="91" t="s">
        <v>1441</v>
      </c>
      <c r="EY6" s="91" t="s">
        <v>1440</v>
      </c>
      <c r="EZ6" s="94" t="s">
        <v>1438</v>
      </c>
      <c r="FA6" s="91" t="s">
        <v>1370</v>
      </c>
      <c r="FB6" s="91" t="s">
        <v>1371</v>
      </c>
      <c r="FC6" s="91" t="s">
        <v>1372</v>
      </c>
      <c r="FD6" s="91" t="s">
        <v>1373</v>
      </c>
      <c r="FE6" s="91" t="s">
        <v>1374</v>
      </c>
      <c r="FF6" s="91" t="s">
        <v>1375</v>
      </c>
      <c r="FG6" s="91" t="s">
        <v>1376</v>
      </c>
      <c r="FH6" s="91" t="s">
        <v>1377</v>
      </c>
      <c r="FI6" s="91" t="s">
        <v>1378</v>
      </c>
      <c r="FJ6" s="91" t="s">
        <v>1379</v>
      </c>
      <c r="FK6" s="91" t="s">
        <v>1380</v>
      </c>
      <c r="FL6" s="91" t="s">
        <v>1381</v>
      </c>
      <c r="FM6" s="91" t="s">
        <v>1439</v>
      </c>
      <c r="FN6" s="90" t="s">
        <v>1382</v>
      </c>
      <c r="FO6" s="91" t="s">
        <v>1383</v>
      </c>
      <c r="FP6" s="91" t="s">
        <v>1384</v>
      </c>
      <c r="FQ6" s="91" t="s">
        <v>1385</v>
      </c>
      <c r="FR6" s="91" t="s">
        <v>1386</v>
      </c>
      <c r="FS6" s="91" t="s">
        <v>1387</v>
      </c>
      <c r="FT6" s="91" t="s">
        <v>1388</v>
      </c>
      <c r="FU6" s="91" t="s">
        <v>1389</v>
      </c>
      <c r="FV6" s="91" t="s">
        <v>1390</v>
      </c>
      <c r="FW6" s="91" t="s">
        <v>1391</v>
      </c>
      <c r="FX6" s="91" t="s">
        <v>1392</v>
      </c>
      <c r="FY6" s="91" t="s">
        <v>1393</v>
      </c>
      <c r="FZ6" s="91" t="s">
        <v>1394</v>
      </c>
      <c r="GA6" s="90" t="s">
        <v>1395</v>
      </c>
      <c r="GB6" s="94" t="s">
        <v>1396</v>
      </c>
      <c r="GC6" s="91" t="s">
        <v>1397</v>
      </c>
      <c r="GD6" s="95" t="s">
        <v>1398</v>
      </c>
      <c r="GE6" s="95" t="s">
        <v>1399</v>
      </c>
      <c r="GF6" s="95" t="s">
        <v>1400</v>
      </c>
      <c r="GG6" s="95" t="s">
        <v>1401</v>
      </c>
      <c r="GH6" s="95" t="s">
        <v>1402</v>
      </c>
      <c r="GI6" s="95" t="s">
        <v>1403</v>
      </c>
      <c r="GJ6" s="95" t="s">
        <v>1404</v>
      </c>
      <c r="GK6" s="95" t="s">
        <v>1405</v>
      </c>
      <c r="GL6" s="95" t="s">
        <v>1406</v>
      </c>
      <c r="GM6" s="95" t="s">
        <v>1407</v>
      </c>
      <c r="GN6" s="95" t="s">
        <v>1408</v>
      </c>
      <c r="GO6" s="108" t="s">
        <v>1409</v>
      </c>
      <c r="GP6" s="91" t="s">
        <v>1410</v>
      </c>
      <c r="GQ6" s="91" t="s">
        <v>1411</v>
      </c>
      <c r="GR6" s="91" t="s">
        <v>1412</v>
      </c>
      <c r="GS6" s="91" t="s">
        <v>1413</v>
      </c>
      <c r="GT6" s="91" t="s">
        <v>1414</v>
      </c>
      <c r="GU6" s="91" t="s">
        <v>1415</v>
      </c>
      <c r="GV6" s="91" t="s">
        <v>1416</v>
      </c>
      <c r="GW6" s="91" t="s">
        <v>1417</v>
      </c>
      <c r="GX6" s="91" t="s">
        <v>1418</v>
      </c>
      <c r="GY6" s="91" t="s">
        <v>1419</v>
      </c>
      <c r="GZ6" s="91" t="s">
        <v>1420</v>
      </c>
      <c r="HA6" s="91" t="s">
        <v>1421</v>
      </c>
      <c r="HB6" s="91" t="s">
        <v>1436</v>
      </c>
      <c r="HC6" s="90" t="s">
        <v>1422</v>
      </c>
      <c r="HD6" s="91" t="s">
        <v>1423</v>
      </c>
      <c r="HE6" s="91" t="s">
        <v>1424</v>
      </c>
      <c r="HF6" s="91" t="s">
        <v>1425</v>
      </c>
      <c r="HG6" s="91" t="s">
        <v>1426</v>
      </c>
      <c r="HH6" s="91" t="s">
        <v>1427</v>
      </c>
      <c r="HI6" s="91" t="s">
        <v>1428</v>
      </c>
      <c r="HJ6" s="91" t="s">
        <v>1429</v>
      </c>
      <c r="HK6" s="91" t="s">
        <v>1430</v>
      </c>
      <c r="HL6" s="91" t="s">
        <v>1431</v>
      </c>
      <c r="HM6" s="91" t="s">
        <v>1432</v>
      </c>
      <c r="HN6" s="91" t="s">
        <v>1433</v>
      </c>
      <c r="HO6" s="91" t="s">
        <v>1437</v>
      </c>
    </row>
    <row r="7" spans="1:223" x14ac:dyDescent="0.25">
      <c r="A7" s="96"/>
      <c r="B7" s="113"/>
      <c r="C7" s="96"/>
      <c r="D7" s="96"/>
      <c r="E7" s="96"/>
      <c r="F7" s="96"/>
      <c r="G7" s="96"/>
      <c r="H7" s="96"/>
      <c r="I7" s="96"/>
      <c r="J7" s="96"/>
      <c r="K7" s="96"/>
      <c r="L7" s="109" t="str">
        <f>IFERROR(Планирование_новый_год[[#This Row],[GS, руб.]]/Планирование_новый_год[[#This Row],[Прогноз за год, шт. ]],"")</f>
        <v/>
      </c>
      <c r="M7" s="96"/>
      <c r="N7" s="109" t="str">
        <f>IFERROR(Планирование_новый_год[[#This Row],[2 net цена, руб.]]-Планирование_новый_год[[#This Row],[2 net цена, руб.]]*$V$2,"")</f>
        <v/>
      </c>
      <c r="O7" s="96"/>
      <c r="P7" s="109">
        <f>IFERROR(Планирование_новый_год[[#This Row],[Промо GS за год, руб.]]+Планирование_новый_год[[#This Row],[GS за год, руб.]],"")</f>
        <v>0</v>
      </c>
      <c r="Q7" s="109">
        <f>IFERROR(Планирование_новый_год[[#This Row],[NS за год, руб.]]+Планирование_новый_год[[#This Row],[Промо NS за год, руб.]],"")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09">
        <f>IFERROR(Планирование_новый_год[[#This Row],[GS за год, руб.]],"")</f>
        <v>0</v>
      </c>
      <c r="AJ7" s="109">
        <f>IFERROR(Планирование_новый_год[[#This Row],[GS январь, руб.]],"")</f>
        <v>0</v>
      </c>
      <c r="AK7" s="109">
        <f>IFERROR(Планирование_новый_год[[#This Row],[GS февраль, руб.]],"")</f>
        <v>0</v>
      </c>
      <c r="AL7" s="109">
        <f>IFERROR(Планирование_новый_год[[#This Row],[GS март, руб.]],"")</f>
        <v>0</v>
      </c>
      <c r="AM7" s="109">
        <f>IFERROR(Планирование_новый_год[[#This Row],[GS апрель, руб.]],"")</f>
        <v>0</v>
      </c>
      <c r="AN7" s="109">
        <f>IFERROR(Планирование_новый_год[[#This Row],[GS май, руб.]],"")</f>
        <v>0</v>
      </c>
      <c r="AO7" s="109">
        <f>IFERROR(Планирование_новый_год[[#This Row],[GS июнь, руб.]],"")</f>
        <v>0</v>
      </c>
      <c r="AP7" s="109">
        <f>IFERROR(Планирование_новый_год[[#This Row],[GS июль, руб.]],"")</f>
        <v>0</v>
      </c>
      <c r="AQ7" s="109">
        <f>IFERROR(Планирование_новый_год[[#This Row],[GS август, руб.]],"")</f>
        <v>0</v>
      </c>
      <c r="AR7" s="109">
        <f>IFERROR(Планирование_новый_год[[#This Row],[GS сентрябрь, руб.]],"")</f>
        <v>0</v>
      </c>
      <c r="AS7" s="109">
        <f>IFERROR(Планирование_новый_год[[#This Row],[GS октябрь, руб.]],"")</f>
        <v>0</v>
      </c>
      <c r="AT7" s="109">
        <f>IFERROR(Планирование_новый_год[[#This Row],[GS ноябрь, руб.]],"")</f>
        <v>0</v>
      </c>
      <c r="AU7" s="109">
        <f>IFERROR(Планирование_новый_год[[#This Row],[GS декабрь, руб.]],"")</f>
        <v>0</v>
      </c>
      <c r="AV7" s="103">
        <f>IFERROR(Планирование_новый_год[[#This Row],[NS за год, руб.]],"")</f>
        <v>0</v>
      </c>
      <c r="AW7" s="110">
        <f>IFERROR(Планирование_новый_год[[#This Row],[NS январь, руб.]],"")</f>
        <v>0</v>
      </c>
      <c r="AX7" s="110">
        <f>IFERROR(Планирование_новый_год[[#This Row],[NS февраль, руб.]],"")</f>
        <v>0</v>
      </c>
      <c r="AY7" s="110">
        <f>IFERROR(Планирование_новый_год[[#This Row],[NS март, руб.]],"")</f>
        <v>0</v>
      </c>
      <c r="AZ7" s="110">
        <f>IFERROR(Планирование_новый_год[[#This Row],[NS апрель, руб.]],"")</f>
        <v>0</v>
      </c>
      <c r="BA7" s="110">
        <f>IFERROR(Планирование_новый_год[[#This Row],[NS май, руб.]],"")</f>
        <v>0</v>
      </c>
      <c r="BB7" s="110">
        <f>IFERROR(Планирование_новый_год[[#This Row],[NS июнь, руб.]],"")</f>
        <v>0</v>
      </c>
      <c r="BC7" s="110">
        <f>IFERROR(Планирование_новый_год[[#This Row],[NS июль, руб.]],"")</f>
        <v>0</v>
      </c>
      <c r="BD7" s="110">
        <f>IFERROR(Планирование_новый_год[[#This Row],[NS август, руб.]],"")</f>
        <v>0</v>
      </c>
      <c r="BE7" s="110">
        <f>IFERROR(Планирование_новый_год[[#This Row],[NS сентрябрь, руб.]],"")</f>
        <v>0</v>
      </c>
      <c r="BF7" s="110">
        <f>IFERROR(Планирование_новый_год[[#This Row],[NS октябрь, руб.]],"")</f>
        <v>0</v>
      </c>
      <c r="BG7" s="110">
        <f>IFERROR(Планирование_новый_год[[#This Row],[NS ноябрь, руб.]],"")</f>
        <v>0</v>
      </c>
      <c r="BH7" s="111">
        <f>IFERROR(Планирование_новый_год[[#This Row],[NS декабрь, шт.]],"")</f>
        <v>0</v>
      </c>
      <c r="BI7" s="110">
        <f>IFERROR(Планирование_новый_год[[#This Row],[ИТОГО Прогноз за год, шт. ]]*Планирование_новый_год[[#This Row],[STK 2.5, руб.]],"")</f>
        <v>0</v>
      </c>
      <c r="BJ7" s="110">
        <f>IFERROR(Планирование_новый_год[[#This Row],[ИТОГО Прогноз январь, шт.]]*Планирование_новый_год[[#This Row],[STK 2.5, руб.]],"")</f>
        <v>0</v>
      </c>
      <c r="BK7" s="110">
        <f>IFERROR(Планирование_новый_год[[#This Row],[ИТОГО Прогноз февраль, шт.]]*Планирование_новый_год[[#This Row],[STK 2.5, руб.]],"")</f>
        <v>0</v>
      </c>
      <c r="BL7" s="110">
        <f>IFERROR(Планирование_новый_год[[#This Row],[ИТОГО Прогноз март, шт.]]*Планирование_новый_год[[#This Row],[STK 2.5, руб.]],"")</f>
        <v>0</v>
      </c>
      <c r="BM7" s="110">
        <f>IFERROR(Планирование_новый_год[[#This Row],[ИТОГО Прогноз апрель, шт.]]*Планирование_новый_год[[#This Row],[STK 2.5, руб.]],"")</f>
        <v>0</v>
      </c>
      <c r="BN7" s="110">
        <f>IFERROR(Планирование_новый_год[[#This Row],[ИТОГО Прогноз май, шт.]]*Планирование_новый_год[[#This Row],[STK 2.5, руб.]],"")</f>
        <v>0</v>
      </c>
      <c r="BO7" s="110">
        <f>IFERROR(Планирование_новый_год[[#This Row],[ИТОГО Прогноз июнь, шт.]]*Планирование_новый_год[[#This Row],[STK 2.5, руб.]],"")</f>
        <v>0</v>
      </c>
      <c r="BP7" s="110">
        <f>IFERROR(Планирование_новый_год[[#This Row],[ИТОГО Прогноз июль, шт.]]*Планирование_новый_год[[#This Row],[STK 2.5, руб.]],"")</f>
        <v>0</v>
      </c>
      <c r="BQ7" s="110">
        <f>IFERROR(Планирование_новый_год[[#This Row],[ИТОГО Прогноз август, шт.]]*Планирование_новый_год[[#This Row],[STK 2.5, руб.]],"")</f>
        <v>0</v>
      </c>
      <c r="BR7" s="110">
        <f>IFERROR(Планирование_новый_год[[#This Row],[ИТОГО Прогноз сентрябрь, шт.]]*Планирование_новый_год[[#This Row],[STK 2.5, руб.]],"")</f>
        <v>0</v>
      </c>
      <c r="BS7" s="110">
        <f>IFERROR(Планирование_новый_год[[#This Row],[ИТОГО Прогноз октябрь, шт.]]*Планирование_новый_год[[#This Row],[STK 2.5, руб.]],"")</f>
        <v>0</v>
      </c>
      <c r="BT7" s="110">
        <f>IFERROR(Планирование_новый_год[[#This Row],[ИТОГО Прогноз ноябрь, шт.]]*Планирование_новый_год[[#This Row],[STK 2.5, руб.]],"")</f>
        <v>0</v>
      </c>
      <c r="BU7" s="110">
        <f>IFERROR(Планирование_новый_год[[#This Row],[ИТОГО Прогноз декабрь, шт.]]*Планирование_новый_год[[#This Row],[STK 2.5, руб.]],"")</f>
        <v>0</v>
      </c>
      <c r="BV7" s="103" t="str">
        <f>IFERROR(Планирование_новый_год[[#This Row],[GP, %]]/Планирование_новый_год[[#This Row],[ИТОГО NS за год, руб.]],"")</f>
        <v/>
      </c>
      <c r="BW7" s="110" t="str">
        <f>IFERROR(Планирование_новый_год[[#This Row],[GP, %]]/Планирование_новый_год[[#This Row],[ИТОГО NS январь, шт.]],"")</f>
        <v/>
      </c>
      <c r="BX7" s="110" t="str">
        <f>IFERROR(Планирование_новый_год[[#This Row],[GP, %]]/Планирование_новый_год[[#This Row],[ИТОГО NS февраль, шт.]],"")</f>
        <v/>
      </c>
      <c r="BY7" s="110" t="str">
        <f>IFERROR(Планирование_новый_год[[#This Row],[GP, %]]/Планирование_новый_год[[#This Row],[ИТОГО NS март, шт.]],"")</f>
        <v/>
      </c>
      <c r="BZ7" s="110" t="str">
        <f>IFERROR(Планирование_новый_год[[#This Row],[GP, %]]/Планирование_новый_год[[#This Row],[ИТОГО NS апрель, шт.]],"")</f>
        <v/>
      </c>
      <c r="CA7" s="110" t="str">
        <f>IFERROR(Планирование_новый_год[[#This Row],[GP, %]]/Планирование_новый_год[[#This Row],[ИТОГО NS май, шт.]],"")</f>
        <v/>
      </c>
      <c r="CB7" s="110" t="str">
        <f>IFERROR(Планирование_новый_год[[#This Row],[GP, %]]/Планирование_новый_год[[#This Row],[ИТОГО NS июнь, шт.]],"")</f>
        <v/>
      </c>
      <c r="CC7" s="110" t="str">
        <f>IFERROR(Планирование_новый_год[[#This Row],[GP, %]]/Планирование_новый_год[[#This Row],[ИТОГО NS июль, шт.]],"")</f>
        <v/>
      </c>
      <c r="CD7" s="110" t="str">
        <f>IFERROR(Планирование_новый_год[[#This Row],[GP, %]]/Планирование_новый_год[[#This Row],[ИТОГО NS август, шт.]],"")</f>
        <v/>
      </c>
      <c r="CE7" s="110" t="str">
        <f>IFERROR(Планирование_новый_год[[#This Row],[GP, %]]/Планирование_новый_год[[#This Row],[ИТОГО NS сентрябрь, шт.]],"")</f>
        <v/>
      </c>
      <c r="CF7" s="110" t="str">
        <f>IFERROR(Планирование_новый_год[[#This Row],[GP, %]]/Планирование_новый_год[[#This Row],[ИТОГО NS октябрь, шт.]],"")</f>
        <v/>
      </c>
      <c r="CG7" s="110" t="str">
        <f>IFERROR(Планирование_новый_год[[#This Row],[GP, %]]/Планирование_новый_год[[#This Row],[ИТОГО NS ноябрь, шт.]],"")</f>
        <v/>
      </c>
      <c r="CH7" s="111" t="str">
        <f>IFERROR(Планирование_новый_год[[#This Row],[GP, %]]/Планирование_новый_год[[#This Row],[ИТОГО NS декабрь, шт.]],"")</f>
        <v/>
      </c>
      <c r="CI7" s="110" t="str">
        <f>IFERROR(1-Планирование_новый_год[[#This Row],[LC, руб.]]/Планирование_новый_год[[#This Row],[ИТОГО NS за год, руб.]],"")</f>
        <v/>
      </c>
      <c r="CJ7" s="110" t="str">
        <f>IFERROR(1-Планирование_новый_год[[#This Row],[LC, руб.]]/Планирование_новый_год[[#This Row],[ИТОГО NS январь, шт.]],"")</f>
        <v/>
      </c>
      <c r="CK7" s="110" t="str">
        <f>IFERROR(1-Планирование_новый_год[[#This Row],[LC, руб.]]/Планирование_новый_год[[#This Row],[ИТОГО NS февраль, шт.]],"")</f>
        <v/>
      </c>
      <c r="CL7" s="110" t="str">
        <f>IFERROR(1-Планирование_новый_год[[#This Row],[LC, руб.]]/Планирование_новый_год[[#This Row],[ИТОГО NS март, шт.]],"")</f>
        <v/>
      </c>
      <c r="CM7" s="110" t="str">
        <f>IFERROR(1-Планирование_новый_год[[#This Row],[LC, руб.]]/Планирование_новый_год[[#This Row],[ИТОГО NS апрель, шт.]],"")</f>
        <v/>
      </c>
      <c r="CN7" s="110" t="str">
        <f>IFERROR(1-Планирование_новый_год[[#This Row],[LC, руб.]]/Планирование_новый_год[[#This Row],[ИТОГО NS май, шт.]],"")</f>
        <v/>
      </c>
      <c r="CO7" s="110" t="str">
        <f>IFERROR(1-Планирование_новый_год[[#This Row],[LC, руб.]]/Планирование_новый_год[[#This Row],[ИТОГО NS июнь, шт.]],"")</f>
        <v/>
      </c>
      <c r="CP7" s="110" t="str">
        <f>IFERROR(1-Планирование_новый_год[[#This Row],[LC, руб.]]/Планирование_новый_год[[#This Row],[ИТОГО NS июль, шт.]],"")</f>
        <v/>
      </c>
      <c r="CQ7" s="110" t="str">
        <f>IFERROR(1-Планирование_новый_год[[#This Row],[LC, руб.]]/Планирование_новый_год[[#This Row],[ИТОГО NS август, шт.]],"")</f>
        <v/>
      </c>
      <c r="CR7" s="110" t="str">
        <f>IFERROR(1-Планирование_новый_год[[#This Row],[LC, руб.]]/Планирование_новый_год[[#This Row],[ИТОГО NS сентрябрь, шт.]],"")</f>
        <v/>
      </c>
      <c r="CS7" s="110" t="str">
        <f>IFERROR(1-Планирование_новый_год[[#This Row],[LC, руб.]]/Планирование_новый_год[[#This Row],[ИТОГО NS октябрь, шт.]],"")</f>
        <v/>
      </c>
      <c r="CT7" s="110" t="str">
        <f>IFERROR(1-Планирование_новый_год[[#This Row],[LC, руб.]]/Планирование_новый_год[[#This Row],[ИТОГО NS ноябрь, шт.]],"")</f>
        <v/>
      </c>
      <c r="CU7" s="110" t="str">
        <f>IFERROR(1-Планирование_новый_год[[#This Row],[LC, руб.]]/Планирование_новый_год[[#This Row],[ИТОГО NS декабрь, шт.]],"")</f>
        <v/>
      </c>
      <c r="CV7" s="103" t="str">
        <f>IFERROR(Планирование_новый_год[[#This Row],[ИТОГО GS за год, руб.]]/Планирование_новый_год[[#This Row],[ИТОГО Прогноз за год, шт. ]],"")</f>
        <v/>
      </c>
      <c r="CW7" s="103" t="str">
        <f>IFERROR(Планирование_новый_год[[#This Row],[ИТОГО GS январь, шт.]]/Планирование_новый_год[[#This Row],[ИТОГО Прогноз январь, шт.]],"")</f>
        <v/>
      </c>
      <c r="CX7" s="103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103" t="str">
        <f>IFERROR(Планирование_новый_год[[#This Row],[ИТОГО GS март, шт.]]/Планирование_новый_год[[#This Row],[ИТОГО Прогноз март, шт.]],"")</f>
        <v/>
      </c>
      <c r="CZ7" s="103" t="str">
        <f>IFERROR(Планирование_новый_год[[#This Row],[ИТОГО GS апрель, шт.]]/Планирование_новый_год[[#This Row],[ИТОГО Прогноз апрель, шт.]],"")</f>
        <v/>
      </c>
      <c r="DA7" s="103" t="str">
        <f>IFERROR(Планирование_новый_год[[#This Row],[ИТОГО GS май, шт.]]/Планирование_новый_год[[#This Row],[ИТОГО Прогноз май, шт.]],"")</f>
        <v/>
      </c>
      <c r="DB7" s="103" t="str">
        <f>IFERROR(Планирование_новый_год[[#This Row],[ИТОГО GS июнь, шт.]]/Планирование_новый_год[[#This Row],[ИТОГО Прогноз июнь, шт.]],"")</f>
        <v/>
      </c>
      <c r="DC7" s="103" t="str">
        <f>IFERROR(Планирование_новый_год[[#This Row],[ИТОГО GS июль, шт.]]/Планирование_новый_год[[#This Row],[ИТОГО Прогноз июль, шт.]],"")</f>
        <v/>
      </c>
      <c r="DD7" s="103" t="str">
        <f>IFERROR(Планирование_новый_год[[#This Row],[ИТОГО GS август, шт.]]/Планирование_новый_год[[#This Row],[ИТОГО Прогноз август, шт.]],"")</f>
        <v/>
      </c>
      <c r="DE7" s="103" t="str">
        <f>IFERROR(Планирование_новый_год[[#This Row],[ИТОГО GS сентрябрь, шт.]]/Планирование_новый_год[[#This Row],[ИТОГО Прогноз сентрябрь, шт.]],"")</f>
        <v/>
      </c>
      <c r="DF7" s="103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103" t="str">
        <f>IFERROR(Планирование_новый_год[[#This Row],[ИТОГО GS ноябрь, шт.]]/Планирование_новый_год[[#This Row],[ИТОГО Прогноз ноябрь, шт.]],"")</f>
        <v/>
      </c>
      <c r="DH7" s="103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103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10" t="str">
        <f>IFERROR(Планирование_новый_год[[#This Row],[ИТОГО NS январь, шт.]]/Планирование_новый_год[[#This Row],[ИТОГО Прогноз январь, шт.]],"")</f>
        <v/>
      </c>
      <c r="DK7" s="110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10" t="str">
        <f>IFERROR(Планирование_новый_год[[#This Row],[ИТОГО NS март, шт.]]/Планирование_новый_год[[#This Row],[ИТОГО Прогноз март, шт.]],"")</f>
        <v/>
      </c>
      <c r="DM7" s="110" t="str">
        <f>IFERROR(Планирование_новый_год[[#This Row],[ИТОГО NS апрель, шт.]]/Планирование_новый_год[[#This Row],[ИТОГО Прогноз апрель, шт.]],"")</f>
        <v/>
      </c>
      <c r="DN7" s="110" t="str">
        <f>IFERROR(Планирование_новый_год[[#This Row],[ИТОГО NS май, шт.]]/Планирование_новый_год[[#This Row],[ИТОГО Прогноз май, шт.]],"")</f>
        <v/>
      </c>
      <c r="DO7" s="110" t="str">
        <f>IFERROR(Планирование_новый_год[[#This Row],[ИТОГО NS июнь, шт.]]/Планирование_новый_год[[#This Row],[ИТОГО Прогноз июнь, шт.]],"")</f>
        <v/>
      </c>
      <c r="DP7" s="110" t="str">
        <f>IFERROR(Планирование_новый_год[[#This Row],[ИТОГО NS июль, шт.]]/Планирование_новый_год[[#This Row],[ИТОГО Прогноз июль, шт.]],"")</f>
        <v/>
      </c>
      <c r="DQ7" s="110" t="str">
        <f>IFERROR(Планирование_новый_год[[#This Row],[ИТОГО NS август, шт.]]/Планирование_новый_год[[#This Row],[ИТОГО Прогноз август, шт.]],"")</f>
        <v/>
      </c>
      <c r="DR7" s="110" t="str">
        <f>IFERROR(Планирование_новый_год[[#This Row],[ИТОГО NS сентрябрь, шт.]]/Планирование_новый_год[[#This Row],[ИТОГО Прогноз сентрябрь, шт.]],"")</f>
        <v/>
      </c>
      <c r="DS7" s="110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10" t="str">
        <f>IFERROR(Планирование_новый_год[[#This Row],[ИТОГО NS ноябрь, шт.]]/Планирование_новый_год[[#This Row],[ИТОГО Прогноз ноябрь, шт.]],"")</f>
        <v/>
      </c>
      <c r="DU7" s="111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6" t="str">
        <f>IFERROR(INDEX(РРЦ[DIY price list, руб. без НДС],MATCH(Планирование_новый_год[[#This Row],[Артикул]],РРЦ[Артикул],0)),"")</f>
        <v/>
      </c>
      <c r="DW7" s="96"/>
      <c r="DX7" s="109">
        <f>IFERROR(SUM(Планирование_новый_год[[#This Row],[Прогноз январь, шт.]:[Прогноз декабрь, шт.]]),"")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09">
        <f>IFERROR(SUM(Планирование_новый_год[[#This Row],[Прогноз январь, шт.2]:[Прогноз декабрь, шт.2]]),"")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09">
        <f>IFERROR(SUM(Планирование_новый_год[[#This Row],[GS январь, руб.]:[GS декабрь, руб.]]),"")</f>
        <v>0</v>
      </c>
      <c r="FB7" s="109"/>
      <c r="FC7" s="109"/>
      <c r="FD7" s="109"/>
      <c r="FE7" s="109"/>
      <c r="FF7" s="109"/>
      <c r="FG7" s="109"/>
      <c r="FH7" s="109"/>
      <c r="FI7" s="109"/>
      <c r="FJ7" s="109"/>
      <c r="FK7" s="109"/>
      <c r="FL7" s="109"/>
      <c r="FM7" s="109"/>
      <c r="FN7" s="103">
        <f>IFERROR(SUM(Планирование_новый_год[[#This Row],[NS январь, руб.]:[NS декабрь, шт.]]),"")</f>
        <v>0</v>
      </c>
      <c r="FO7" s="109"/>
      <c r="FP7" s="109"/>
      <c r="FQ7" s="109"/>
      <c r="FR7" s="109"/>
      <c r="FS7" s="109"/>
      <c r="FT7" s="109"/>
      <c r="FU7" s="109"/>
      <c r="FV7" s="109"/>
      <c r="FW7" s="109"/>
      <c r="FX7" s="109"/>
      <c r="FY7" s="109"/>
      <c r="FZ7" s="109"/>
      <c r="GA7" s="103">
        <f>IFERROR(Планирование_новый_год[[#This Row],[DIY price list, руб. без НДС]]*Планирование_новый_год[[#This Row],[скидка от Price list цены, %]],"")</f>
        <v>0</v>
      </c>
      <c r="GB7" s="98"/>
      <c r="GC7" s="109">
        <f>IFERROR(SUM(Планирование_новый_год[[#This Row],[Промо прогноз январь, шт.]:[Промо прогноз декабрь, шт.]]),"")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09">
        <f>IFERROR(SUM(Планирование_новый_год[[#This Row],[Промо GS январь, руб.]:[Промо GS декабрь, руб.]]),"")</f>
        <v>0</v>
      </c>
      <c r="GQ7" s="109"/>
      <c r="GR7" s="109"/>
      <c r="GS7" s="109"/>
      <c r="GT7" s="109"/>
      <c r="GU7" s="109"/>
      <c r="GV7" s="109"/>
      <c r="GW7" s="109"/>
      <c r="GX7" s="109"/>
      <c r="GY7" s="109"/>
      <c r="GZ7" s="109"/>
      <c r="HA7" s="109"/>
      <c r="HB7" s="109"/>
      <c r="HC7" s="103">
        <f>IFERROR(SUM(Планирование_новый_год[[#This Row],[Промо NS январь, руб.]:[Промо NS декабрь, руб.]]),"")</f>
        <v>0</v>
      </c>
      <c r="HD7" s="109"/>
      <c r="HE7" s="109"/>
      <c r="HF7" s="109"/>
      <c r="HG7" s="109"/>
      <c r="HH7" s="109"/>
      <c r="HI7" s="109"/>
      <c r="HJ7" s="109"/>
      <c r="HK7" s="109"/>
      <c r="HL7" s="109"/>
      <c r="HM7" s="109"/>
      <c r="HN7" s="109"/>
      <c r="HO7" s="109"/>
    </row>
  </sheetData>
  <dataValidations disablePrompts="1"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tabSelected="1"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1220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250</v>
      </c>
    </row>
    <row r="3" spans="1:2" x14ac:dyDescent="0.25">
      <c r="A3">
        <v>2</v>
      </c>
      <c r="B3" t="s">
        <v>261</v>
      </c>
    </row>
    <row r="4" spans="1:2" x14ac:dyDescent="0.25">
      <c r="A4">
        <v>3</v>
      </c>
      <c r="B4" t="s">
        <v>430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254</v>
      </c>
    </row>
    <row r="4" spans="1:2" x14ac:dyDescent="0.25">
      <c r="A4">
        <v>3</v>
      </c>
      <c r="B4" t="s">
        <v>257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275</v>
      </c>
    </row>
    <row r="7" spans="1:2" x14ac:dyDescent="0.25">
      <c r="A7">
        <v>6</v>
      </c>
      <c r="B7" t="s">
        <v>299</v>
      </c>
    </row>
    <row r="8" spans="1:2" x14ac:dyDescent="0.25">
      <c r="A8">
        <v>7</v>
      </c>
      <c r="B8" t="s">
        <v>318</v>
      </c>
    </row>
    <row r="9" spans="1:2" x14ac:dyDescent="0.25">
      <c r="A9">
        <v>8</v>
      </c>
      <c r="B9" t="s">
        <v>321</v>
      </c>
    </row>
    <row r="10" spans="1:2" x14ac:dyDescent="0.25">
      <c r="A10">
        <v>9</v>
      </c>
      <c r="B10" t="s">
        <v>325</v>
      </c>
    </row>
    <row r="11" spans="1:2" x14ac:dyDescent="0.25">
      <c r="A11">
        <v>10</v>
      </c>
      <c r="B11" t="s">
        <v>332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342</v>
      </c>
    </row>
    <row r="14" spans="1:2" x14ac:dyDescent="0.25">
      <c r="A14">
        <v>13</v>
      </c>
      <c r="B14" t="s">
        <v>418</v>
      </c>
    </row>
    <row r="15" spans="1:2" x14ac:dyDescent="0.25">
      <c r="A15">
        <v>14</v>
      </c>
      <c r="B15" t="s">
        <v>426</v>
      </c>
    </row>
    <row r="16" spans="1:2" x14ac:dyDescent="0.25">
      <c r="A16">
        <v>15</v>
      </c>
      <c r="B16" t="s">
        <v>430</v>
      </c>
    </row>
    <row r="17" spans="1:2" x14ac:dyDescent="0.25">
      <c r="A17">
        <v>16</v>
      </c>
      <c r="B17" t="s">
        <v>436</v>
      </c>
    </row>
    <row r="18" spans="1:2" x14ac:dyDescent="0.25">
      <c r="A18">
        <v>17</v>
      </c>
      <c r="B18" t="s">
        <v>440</v>
      </c>
    </row>
    <row r="19" spans="1:2" x14ac:dyDescent="0.25">
      <c r="A19">
        <v>18</v>
      </c>
      <c r="B19" t="s">
        <v>449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193</v>
      </c>
    </row>
    <row r="4" spans="1:4" x14ac:dyDescent="0.25">
      <c r="A4" s="5">
        <v>3</v>
      </c>
      <c r="B4" s="3" t="s">
        <v>190</v>
      </c>
    </row>
    <row r="5" spans="1:4" x14ac:dyDescent="0.25">
      <c r="A5" s="5">
        <v>4</v>
      </c>
      <c r="B5" s="3" t="s">
        <v>194</v>
      </c>
    </row>
    <row r="6" spans="1:4" x14ac:dyDescent="0.25">
      <c r="A6" s="5">
        <v>5</v>
      </c>
      <c r="B6" s="3" t="s">
        <v>195</v>
      </c>
    </row>
    <row r="7" spans="1:4" x14ac:dyDescent="0.25">
      <c r="A7" s="5">
        <v>6</v>
      </c>
      <c r="B7" s="3" t="s">
        <v>196</v>
      </c>
    </row>
    <row r="8" spans="1:4" x14ac:dyDescent="0.25">
      <c r="A8" s="5">
        <v>7</v>
      </c>
      <c r="B8" s="3" t="s">
        <v>197</v>
      </c>
    </row>
    <row r="9" spans="1:4" x14ac:dyDescent="0.25">
      <c r="A9" s="5">
        <v>8</v>
      </c>
      <c r="B9" s="3" t="s">
        <v>198</v>
      </c>
    </row>
    <row r="10" spans="1:4" x14ac:dyDescent="0.25">
      <c r="A10" s="5">
        <v>9</v>
      </c>
      <c r="B10" s="3" t="s">
        <v>199</v>
      </c>
    </row>
    <row r="11" spans="1:4" x14ac:dyDescent="0.25">
      <c r="A11" s="5">
        <v>10</v>
      </c>
      <c r="B11" s="3" t="s">
        <v>200</v>
      </c>
    </row>
    <row r="12" spans="1:4" x14ac:dyDescent="0.25">
      <c r="A12" s="5">
        <v>11</v>
      </c>
      <c r="B12" s="3" t="s">
        <v>201</v>
      </c>
    </row>
    <row r="13" spans="1:4" x14ac:dyDescent="0.25">
      <c r="A13" s="5">
        <v>12</v>
      </c>
      <c r="B13" s="3" t="s">
        <v>202</v>
      </c>
    </row>
    <row r="14" spans="1:4" x14ac:dyDescent="0.25">
      <c r="A14" s="5">
        <v>13</v>
      </c>
      <c r="B14" s="3" t="s">
        <v>203</v>
      </c>
    </row>
    <row r="15" spans="1:4" x14ac:dyDescent="0.25">
      <c r="A15" s="5">
        <v>14</v>
      </c>
      <c r="B15" s="3" t="s">
        <v>204</v>
      </c>
    </row>
    <row r="16" spans="1:4" x14ac:dyDescent="0.25">
      <c r="A16" s="5">
        <v>15</v>
      </c>
      <c r="B16" s="3" t="s">
        <v>205</v>
      </c>
    </row>
    <row r="17" spans="1:2" x14ac:dyDescent="0.25">
      <c r="A17" s="5">
        <v>16</v>
      </c>
      <c r="B17" s="3" t="s">
        <v>206</v>
      </c>
    </row>
    <row r="18" spans="1:2" x14ac:dyDescent="0.25">
      <c r="A18" s="5">
        <v>17</v>
      </c>
      <c r="B18" s="3" t="s">
        <v>207</v>
      </c>
    </row>
    <row r="19" spans="1:2" x14ac:dyDescent="0.25">
      <c r="A19" s="5">
        <v>18</v>
      </c>
      <c r="B19" s="3" t="s">
        <v>208</v>
      </c>
    </row>
    <row r="20" spans="1:2" x14ac:dyDescent="0.25">
      <c r="A20" s="5">
        <v>19</v>
      </c>
      <c r="B20" s="3" t="s">
        <v>209</v>
      </c>
    </row>
    <row r="21" spans="1:2" x14ac:dyDescent="0.25">
      <c r="A21" s="5">
        <v>20</v>
      </c>
      <c r="B21" s="3" t="s">
        <v>210</v>
      </c>
    </row>
    <row r="22" spans="1:2" x14ac:dyDescent="0.25">
      <c r="A22" s="5">
        <v>21</v>
      </c>
      <c r="B22" s="3" t="s">
        <v>211</v>
      </c>
    </row>
    <row r="23" spans="1:2" x14ac:dyDescent="0.25">
      <c r="A23" s="5">
        <v>22</v>
      </c>
      <c r="B23" s="3" t="s">
        <v>212</v>
      </c>
    </row>
    <row r="24" spans="1:2" x14ac:dyDescent="0.25">
      <c r="A24" s="5">
        <v>23</v>
      </c>
      <c r="B24" s="3" t="s">
        <v>213</v>
      </c>
    </row>
    <row r="25" spans="1:2" x14ac:dyDescent="0.25">
      <c r="A25" s="5">
        <v>24</v>
      </c>
      <c r="B25" s="3" t="s">
        <v>214</v>
      </c>
    </row>
    <row r="26" spans="1:2" x14ac:dyDescent="0.25">
      <c r="A26" s="5">
        <v>25</v>
      </c>
      <c r="B26" s="3" t="s">
        <v>215</v>
      </c>
    </row>
    <row r="27" spans="1:2" x14ac:dyDescent="0.25">
      <c r="A27" s="5">
        <v>26</v>
      </c>
      <c r="B27" s="3" t="s">
        <v>216</v>
      </c>
    </row>
    <row r="28" spans="1:2" x14ac:dyDescent="0.25">
      <c r="A28" s="5">
        <v>27</v>
      </c>
      <c r="B28" s="3" t="s">
        <v>191</v>
      </c>
    </row>
    <row r="29" spans="1:2" x14ac:dyDescent="0.25">
      <c r="A29" s="5">
        <v>28</v>
      </c>
      <c r="B29" s="3" t="s">
        <v>217</v>
      </c>
    </row>
    <row r="30" spans="1:2" x14ac:dyDescent="0.25">
      <c r="A30" s="5">
        <v>29</v>
      </c>
      <c r="B30" s="3" t="s">
        <v>218</v>
      </c>
    </row>
    <row r="31" spans="1:2" x14ac:dyDescent="0.25">
      <c r="A31" s="5">
        <v>30</v>
      </c>
      <c r="B31" s="3" t="s">
        <v>219</v>
      </c>
    </row>
    <row r="32" spans="1:2" x14ac:dyDescent="0.25">
      <c r="A32" s="5">
        <v>31</v>
      </c>
      <c r="B32" s="3" t="s">
        <v>220</v>
      </c>
    </row>
    <row r="33" spans="1:2" x14ac:dyDescent="0.25">
      <c r="A33" s="5">
        <v>32</v>
      </c>
      <c r="B33" s="3" t="s">
        <v>221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237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A2" s="11">
        <v>1</v>
      </c>
      <c r="B2" s="37" t="s">
        <v>223</v>
      </c>
      <c r="C2" s="8">
        <v>100</v>
      </c>
      <c r="D2" s="8">
        <v>1100</v>
      </c>
      <c r="E2" s="15">
        <v>44197</v>
      </c>
    </row>
    <row r="3" spans="1:5" x14ac:dyDescent="0.25">
      <c r="A3" s="11">
        <v>2</v>
      </c>
      <c r="B3" s="37" t="s">
        <v>224</v>
      </c>
      <c r="C3" s="8">
        <v>200</v>
      </c>
      <c r="D3" s="8">
        <v>1100</v>
      </c>
      <c r="E3" s="15">
        <v>44197</v>
      </c>
    </row>
    <row r="4" spans="1:5" x14ac:dyDescent="0.25">
      <c r="A4" s="11">
        <v>3</v>
      </c>
      <c r="B4" s="37" t="s">
        <v>225</v>
      </c>
      <c r="C4" s="8">
        <v>300</v>
      </c>
      <c r="D4" s="8">
        <v>1100</v>
      </c>
      <c r="E4" s="15">
        <v>44197</v>
      </c>
    </row>
    <row r="5" spans="1:5" x14ac:dyDescent="0.25">
      <c r="A5" s="11">
        <v>4</v>
      </c>
      <c r="B5" s="37" t="s">
        <v>226</v>
      </c>
      <c r="C5" s="8">
        <v>400</v>
      </c>
      <c r="D5" s="8">
        <v>1100</v>
      </c>
      <c r="E5" s="15">
        <v>44197</v>
      </c>
    </row>
    <row r="6" spans="1:5" x14ac:dyDescent="0.25">
      <c r="A6" s="11">
        <v>5</v>
      </c>
      <c r="B6" s="37" t="s">
        <v>227</v>
      </c>
      <c r="C6" s="8">
        <v>500</v>
      </c>
      <c r="D6" s="8">
        <v>1100</v>
      </c>
      <c r="E6" s="15">
        <v>44197</v>
      </c>
    </row>
    <row r="7" spans="1:5" x14ac:dyDescent="0.25">
      <c r="A7" s="11">
        <v>6</v>
      </c>
      <c r="B7" s="37" t="s">
        <v>228</v>
      </c>
      <c r="C7" s="8">
        <v>600</v>
      </c>
      <c r="D7" s="8">
        <v>1100</v>
      </c>
      <c r="E7" s="15">
        <v>44197</v>
      </c>
    </row>
    <row r="8" spans="1:5" x14ac:dyDescent="0.25">
      <c r="A8" s="11">
        <v>7</v>
      </c>
      <c r="B8" s="37" t="s">
        <v>229</v>
      </c>
      <c r="C8" s="8">
        <v>700</v>
      </c>
      <c r="D8" s="8">
        <v>1100</v>
      </c>
      <c r="E8" s="15">
        <v>44197</v>
      </c>
    </row>
    <row r="9" spans="1:5" x14ac:dyDescent="0.25">
      <c r="A9" s="11">
        <v>8</v>
      </c>
      <c r="B9" s="37" t="s">
        <v>230</v>
      </c>
      <c r="C9" s="8">
        <v>800</v>
      </c>
      <c r="D9" s="8">
        <v>1100</v>
      </c>
      <c r="E9" s="15">
        <v>44197</v>
      </c>
    </row>
  </sheetData>
  <conditionalFormatting sqref="B2:B9">
    <cfRule type="expression" dxfId="20" priority="1">
      <formula>$AL2="Новинка следующего года"</formula>
    </cfRule>
    <cfRule type="expression" dxfId="19" priority="2">
      <formula>$AL2="Новинка текущего года"</formula>
    </cfRule>
    <cfRule type="expression" dxfId="18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238</v>
      </c>
    </row>
    <row r="6" spans="1:2" x14ac:dyDescent="0.25">
      <c r="A6" s="9">
        <v>5</v>
      </c>
      <c r="B6" s="1" t="s">
        <v>239</v>
      </c>
    </row>
    <row r="7" spans="1:2" x14ac:dyDescent="0.25">
      <c r="A7" s="9">
        <v>6</v>
      </c>
      <c r="B7" s="1" t="s">
        <v>240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424</v>
      </c>
    </row>
    <row r="3" spans="1:3" x14ac:dyDescent="0.25">
      <c r="A3" s="9">
        <v>2</v>
      </c>
      <c r="B3" s="10" t="s">
        <v>259</v>
      </c>
      <c r="C3" s="10" t="s">
        <v>263</v>
      </c>
    </row>
    <row r="4" spans="1:3" x14ac:dyDescent="0.25">
      <c r="A4" s="9">
        <v>3</v>
      </c>
      <c r="B4" s="10" t="s">
        <v>606</v>
      </c>
      <c r="C4" s="10" t="s">
        <v>608</v>
      </c>
    </row>
    <row r="5" spans="1:3" x14ac:dyDescent="0.25">
      <c r="A5" s="9">
        <v>4</v>
      </c>
      <c r="B5" s="10" t="s">
        <v>451</v>
      </c>
      <c r="C5" s="10" t="s">
        <v>445</v>
      </c>
    </row>
    <row r="6" spans="1:3" x14ac:dyDescent="0.25">
      <c r="A6" s="9">
        <v>5</v>
      </c>
      <c r="B6" s="10" t="s">
        <v>344</v>
      </c>
      <c r="C6" s="10" t="s">
        <v>346</v>
      </c>
    </row>
    <row r="7" spans="1:3" x14ac:dyDescent="0.25">
      <c r="A7" s="9">
        <v>6</v>
      </c>
      <c r="B7" s="10" t="s">
        <v>557</v>
      </c>
      <c r="C7" s="10" t="s">
        <v>559</v>
      </c>
    </row>
    <row r="8" spans="1:3" x14ac:dyDescent="0.25">
      <c r="A8" s="9">
        <v>7</v>
      </c>
      <c r="B8" s="10" t="s">
        <v>483</v>
      </c>
      <c r="C8" s="10" t="s">
        <v>485</v>
      </c>
    </row>
    <row r="9" spans="1:3" x14ac:dyDescent="0.25">
      <c r="A9" s="9">
        <v>8</v>
      </c>
      <c r="B9" s="10" t="s">
        <v>422</v>
      </c>
      <c r="C9" s="10" t="s">
        <v>424</v>
      </c>
    </row>
    <row r="10" spans="1:3" x14ac:dyDescent="0.25">
      <c r="A10" s="9">
        <v>9</v>
      </c>
      <c r="B10" s="10" t="s">
        <v>438</v>
      </c>
      <c r="C10" s="10" t="s">
        <v>263</v>
      </c>
    </row>
    <row r="11" spans="1:3" x14ac:dyDescent="0.25">
      <c r="A11" s="9">
        <v>10</v>
      </c>
      <c r="B11" s="10" t="s">
        <v>1183</v>
      </c>
      <c r="C11" s="10" t="s">
        <v>608</v>
      </c>
    </row>
    <row r="12" spans="1:3" x14ac:dyDescent="0.25">
      <c r="A12" s="9">
        <v>11</v>
      </c>
      <c r="B12" s="10" t="s">
        <v>443</v>
      </c>
      <c r="C12" s="10" t="s">
        <v>445</v>
      </c>
    </row>
    <row r="13" spans="1:3" x14ac:dyDescent="0.25">
      <c r="A13" s="9">
        <v>12</v>
      </c>
      <c r="B13" s="10" t="s">
        <v>441</v>
      </c>
      <c r="C13" s="10" t="s">
        <v>346</v>
      </c>
    </row>
    <row r="14" spans="1:3" x14ac:dyDescent="0.25">
      <c r="A14" s="9">
        <v>13</v>
      </c>
      <c r="B14" s="10" t="s">
        <v>1184</v>
      </c>
      <c r="C14" s="10" t="s">
        <v>559</v>
      </c>
    </row>
    <row r="15" spans="1:3" x14ac:dyDescent="0.25">
      <c r="A15" s="9">
        <v>14</v>
      </c>
      <c r="B15" s="10" t="s">
        <v>1185</v>
      </c>
      <c r="C15" s="10" t="s">
        <v>485</v>
      </c>
    </row>
    <row r="16" spans="1:3" x14ac:dyDescent="0.25">
      <c r="A16" s="9">
        <v>15</v>
      </c>
      <c r="B16" s="10" t="s">
        <v>428</v>
      </c>
      <c r="C16" s="10" t="s">
        <v>431</v>
      </c>
    </row>
    <row r="17" spans="1:3" x14ac:dyDescent="0.25">
      <c r="A17" s="9">
        <v>16</v>
      </c>
      <c r="B17" s="10" t="s">
        <v>248</v>
      </c>
      <c r="C17" s="10" t="s">
        <v>251</v>
      </c>
    </row>
    <row r="18" spans="1:3" x14ac:dyDescent="0.25">
      <c r="A18" s="9">
        <v>17</v>
      </c>
      <c r="B18" s="10" t="s">
        <v>334</v>
      </c>
      <c r="C18" s="10" t="s">
        <v>336</v>
      </c>
    </row>
    <row r="19" spans="1:3" x14ac:dyDescent="0.25">
      <c r="A19" s="9">
        <v>18</v>
      </c>
      <c r="B19" s="10" t="s">
        <v>316</v>
      </c>
      <c r="C19" s="10" t="s">
        <v>319</v>
      </c>
    </row>
    <row r="20" spans="1:3" x14ac:dyDescent="0.25">
      <c r="A20" s="9">
        <v>19</v>
      </c>
      <c r="B20" s="10" t="s">
        <v>447</v>
      </c>
      <c r="C20" s="10" t="s">
        <v>450</v>
      </c>
    </row>
    <row r="21" spans="1:3" x14ac:dyDescent="0.25">
      <c r="A21" s="9">
        <v>20</v>
      </c>
      <c r="B21" s="10" t="s">
        <v>416</v>
      </c>
      <c r="C21" s="10" t="s">
        <v>419</v>
      </c>
    </row>
    <row r="22" spans="1:3" x14ac:dyDescent="0.25">
      <c r="A22" s="9">
        <v>21</v>
      </c>
      <c r="B22" s="10" t="s">
        <v>1186</v>
      </c>
      <c r="C22" s="10" t="s">
        <v>1187</v>
      </c>
    </row>
    <row r="23" spans="1:3" x14ac:dyDescent="0.25">
      <c r="A23" s="9">
        <v>22</v>
      </c>
      <c r="B23" s="10" t="s">
        <v>1188</v>
      </c>
      <c r="C23" s="10" t="s">
        <v>1187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2</vt:i4>
      </vt:variant>
    </vt:vector>
  </HeadingPairs>
  <TitlesOfParts>
    <vt:vector size="21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2020-07-13T14:23:43Z</dcterms:modified>
</cp:coreProperties>
</file>